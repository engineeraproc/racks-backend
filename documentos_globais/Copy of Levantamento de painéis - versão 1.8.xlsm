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X:\Divisao Engenharia e Projetos\Engenharia\Dimensionamento\"/>
    </mc:Choice>
  </mc:AlternateContent>
  <xr:revisionPtr revIDLastSave="0" documentId="13_ncr:1_{86209A65-3F6C-4A6F-AB03-A4A2CEB01CF5}" xr6:coauthVersionLast="47" xr6:coauthVersionMax="47" xr10:uidLastSave="{00000000-0000-0000-0000-000000000000}"/>
  <bookViews>
    <workbookView xWindow="-120" yWindow="-120" windowWidth="20730" windowHeight="11040" tabRatio="836" firstSheet="1" activeTab="2" xr2:uid="{00000000-000D-0000-FFFF-FFFF00000000}"/>
  </bookViews>
  <sheets>
    <sheet name="Atualizações" sheetId="41" state="hidden" r:id="rId1"/>
    <sheet name="CHAPA DE PROTEÇÃO" sheetId="36" r:id="rId2"/>
    <sheet name="PAREDE-TETO" sheetId="22" r:id="rId3"/>
    <sheet name="PISO" sheetId="23" r:id="rId4"/>
    <sheet name="PORTA FRIGORÍFICA" sheetId="24" r:id="rId5"/>
    <sheet name="PVV" sheetId="25" r:id="rId6"/>
    <sheet name="CORTINA FLEXTIRA" sheetId="26" r:id="rId7"/>
    <sheet name="VISOR" sheetId="38" r:id="rId8"/>
    <sheet name="VÁLVULAS DE ALÍVIO" sheetId="29" r:id="rId9"/>
    <sheet name="RESUMO" sheetId="39" r:id="rId10"/>
    <sheet name="RESUMO ORDENADO" sheetId="47" state="hidden" r:id="rId11"/>
  </sheets>
  <functionGroups builtInGroupCount="19"/>
  <definedNames>
    <definedName name="_xlnm._FilterDatabase" localSheetId="1" hidden="1">'CHAPA DE PROTEÇÃO'!$B$6:$B$208</definedName>
    <definedName name="_xlnm._FilterDatabase" localSheetId="2" hidden="1">'PAREDE-TETO'!$B$6:$B$316</definedName>
    <definedName name="_xlnm._FilterDatabase" localSheetId="3" hidden="1">PISO!$B$6:$B$108</definedName>
    <definedName name="_xlnm._FilterDatabase" localSheetId="4" hidden="1">'PORTA FRIGORÍFICA'!$D$7:$D$78</definedName>
    <definedName name="_xlnm._FilterDatabase" localSheetId="9" hidden="1">RESUMO!$A$3:$D$568</definedName>
    <definedName name="_xlnm._FilterDatabase" localSheetId="10" hidden="1">'RESUMO ORDENADO'!$A$2:$C$52</definedName>
    <definedName name="_xlnm.Print_Area" localSheetId="1">'CHAPA DE PROTEÇÃO'!$C$1:$I$15</definedName>
    <definedName name="_xlnm.Print_Area" localSheetId="6">'CORTINA FLEXTIRA'!$B$6:$J$14</definedName>
    <definedName name="_xlnm.Print_Area" localSheetId="2">'PAREDE-TETO'!$C$1:$L$404</definedName>
    <definedName name="_xlnm.Print_Area" localSheetId="3">PISO!$C$1:$M$15</definedName>
    <definedName name="_xlnm.Print_Area" localSheetId="4">'PORTA FRIGORÍFICA'!$B$7:$H$13</definedName>
    <definedName name="_xlnm.Print_Area" localSheetId="5">PVV!$B$6:$L$15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6" i="29" l="1"/>
  <c r="K35" i="29"/>
  <c r="K34" i="29"/>
  <c r="K33" i="29"/>
  <c r="K32" i="29"/>
  <c r="K31" i="29"/>
  <c r="K30" i="29"/>
  <c r="K29" i="29"/>
  <c r="K28" i="29"/>
  <c r="K27" i="29"/>
  <c r="K26" i="29"/>
  <c r="K25" i="29"/>
  <c r="K24" i="29"/>
  <c r="K23" i="29"/>
  <c r="K22" i="29"/>
  <c r="K21" i="29"/>
  <c r="K20" i="29"/>
  <c r="K19" i="29"/>
  <c r="K18" i="29"/>
  <c r="K17" i="29"/>
  <c r="K16" i="29"/>
  <c r="K15" i="29"/>
  <c r="K14" i="29"/>
  <c r="K13" i="29"/>
  <c r="K12" i="29"/>
  <c r="K11" i="29"/>
  <c r="K8" i="29"/>
  <c r="K10" i="29"/>
  <c r="I9" i="29"/>
  <c r="K9" i="29" s="1"/>
  <c r="I10" i="29"/>
  <c r="I8" i="29"/>
  <c r="M36" i="29" l="1"/>
  <c r="M35" i="29"/>
  <c r="M34" i="29"/>
  <c r="M33" i="29"/>
  <c r="M32" i="29"/>
  <c r="M31" i="29"/>
  <c r="M30" i="29"/>
  <c r="M29" i="29"/>
  <c r="M28" i="29"/>
  <c r="M27" i="29"/>
  <c r="M26" i="29"/>
  <c r="M25" i="29"/>
  <c r="M24" i="29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H9" i="36"/>
  <c r="H10" i="36"/>
  <c r="L10" i="36" s="1"/>
  <c r="N10" i="36" s="1"/>
  <c r="H11" i="36"/>
  <c r="L11" i="36" s="1"/>
  <c r="N11" i="36" s="1"/>
  <c r="H12" i="36"/>
  <c r="L12" i="36" s="1"/>
  <c r="N12" i="36" s="1"/>
  <c r="H13" i="36"/>
  <c r="L13" i="36" s="1"/>
  <c r="N13" i="36" s="1"/>
  <c r="H14" i="36"/>
  <c r="L14" i="36" s="1"/>
  <c r="N14" i="36" s="1"/>
  <c r="H15" i="36"/>
  <c r="I9" i="36"/>
  <c r="I10" i="36"/>
  <c r="I11" i="36"/>
  <c r="I12" i="36"/>
  <c r="I13" i="36"/>
  <c r="M13" i="36" s="1"/>
  <c r="O13" i="36" s="1"/>
  <c r="I14" i="36"/>
  <c r="I15" i="36"/>
  <c r="O25" i="36"/>
  <c r="O57" i="36"/>
  <c r="O89" i="36"/>
  <c r="O121" i="36"/>
  <c r="O153" i="36"/>
  <c r="M10" i="36"/>
  <c r="O10" i="36" s="1"/>
  <c r="M11" i="36"/>
  <c r="O11" i="36" s="1"/>
  <c r="M12" i="36"/>
  <c r="O12" i="36" s="1"/>
  <c r="M14" i="36"/>
  <c r="O14" i="36" s="1"/>
  <c r="L15" i="36"/>
  <c r="N15" i="36" s="1"/>
  <c r="M15" i="36"/>
  <c r="O15" i="36" s="1"/>
  <c r="L16" i="36"/>
  <c r="N16" i="36" s="1"/>
  <c r="M16" i="36"/>
  <c r="O16" i="36" s="1"/>
  <c r="L17" i="36"/>
  <c r="N17" i="36" s="1"/>
  <c r="M17" i="36"/>
  <c r="O17" i="36" s="1"/>
  <c r="L18" i="36"/>
  <c r="N18" i="36" s="1"/>
  <c r="M18" i="36"/>
  <c r="O18" i="36" s="1"/>
  <c r="L19" i="36"/>
  <c r="N19" i="36" s="1"/>
  <c r="M19" i="36"/>
  <c r="O19" i="36" s="1"/>
  <c r="L20" i="36"/>
  <c r="N20" i="36" s="1"/>
  <c r="M20" i="36"/>
  <c r="O20" i="36" s="1"/>
  <c r="L21" i="36"/>
  <c r="N21" i="36" s="1"/>
  <c r="M21" i="36"/>
  <c r="O21" i="36" s="1"/>
  <c r="L22" i="36"/>
  <c r="N22" i="36" s="1"/>
  <c r="M22" i="36"/>
  <c r="O22" i="36" s="1"/>
  <c r="L23" i="36"/>
  <c r="N23" i="36" s="1"/>
  <c r="M23" i="36"/>
  <c r="O23" i="36" s="1"/>
  <c r="L24" i="36"/>
  <c r="N24" i="36" s="1"/>
  <c r="M24" i="36"/>
  <c r="O24" i="36" s="1"/>
  <c r="L25" i="36"/>
  <c r="N25" i="36" s="1"/>
  <c r="M25" i="36"/>
  <c r="L26" i="36"/>
  <c r="N26" i="36" s="1"/>
  <c r="M26" i="36"/>
  <c r="O26" i="36" s="1"/>
  <c r="L27" i="36"/>
  <c r="N27" i="36" s="1"/>
  <c r="M27" i="36"/>
  <c r="O27" i="36" s="1"/>
  <c r="L28" i="36"/>
  <c r="N28" i="36" s="1"/>
  <c r="M28" i="36"/>
  <c r="O28" i="36" s="1"/>
  <c r="L29" i="36"/>
  <c r="N29" i="36" s="1"/>
  <c r="M29" i="36"/>
  <c r="O29" i="36" s="1"/>
  <c r="L30" i="36"/>
  <c r="N30" i="36" s="1"/>
  <c r="M30" i="36"/>
  <c r="O30" i="36" s="1"/>
  <c r="L31" i="36"/>
  <c r="N31" i="36" s="1"/>
  <c r="M31" i="36"/>
  <c r="O31" i="36" s="1"/>
  <c r="L32" i="36"/>
  <c r="N32" i="36" s="1"/>
  <c r="M32" i="36"/>
  <c r="O32" i="36" s="1"/>
  <c r="L33" i="36"/>
  <c r="N33" i="36" s="1"/>
  <c r="M33" i="36"/>
  <c r="O33" i="36" s="1"/>
  <c r="L34" i="36"/>
  <c r="N34" i="36" s="1"/>
  <c r="M34" i="36"/>
  <c r="O34" i="36" s="1"/>
  <c r="L35" i="36"/>
  <c r="N35" i="36" s="1"/>
  <c r="M35" i="36"/>
  <c r="O35" i="36" s="1"/>
  <c r="L36" i="36"/>
  <c r="N36" i="36" s="1"/>
  <c r="M36" i="36"/>
  <c r="O36" i="36" s="1"/>
  <c r="L37" i="36"/>
  <c r="N37" i="36" s="1"/>
  <c r="M37" i="36"/>
  <c r="O37" i="36" s="1"/>
  <c r="L38" i="36"/>
  <c r="N38" i="36" s="1"/>
  <c r="M38" i="36"/>
  <c r="O38" i="36" s="1"/>
  <c r="L39" i="36"/>
  <c r="N39" i="36" s="1"/>
  <c r="M39" i="36"/>
  <c r="O39" i="36" s="1"/>
  <c r="L40" i="36"/>
  <c r="N40" i="36" s="1"/>
  <c r="M40" i="36"/>
  <c r="O40" i="36" s="1"/>
  <c r="L41" i="36"/>
  <c r="N41" i="36" s="1"/>
  <c r="M41" i="36"/>
  <c r="O41" i="36" s="1"/>
  <c r="L42" i="36"/>
  <c r="N42" i="36" s="1"/>
  <c r="M42" i="36"/>
  <c r="O42" i="36" s="1"/>
  <c r="L43" i="36"/>
  <c r="N43" i="36" s="1"/>
  <c r="M43" i="36"/>
  <c r="O43" i="36" s="1"/>
  <c r="L44" i="36"/>
  <c r="N44" i="36" s="1"/>
  <c r="M44" i="36"/>
  <c r="O44" i="36" s="1"/>
  <c r="L45" i="36"/>
  <c r="N45" i="36" s="1"/>
  <c r="M45" i="36"/>
  <c r="O45" i="36" s="1"/>
  <c r="L46" i="36"/>
  <c r="N46" i="36" s="1"/>
  <c r="M46" i="36"/>
  <c r="O46" i="36" s="1"/>
  <c r="L47" i="36"/>
  <c r="N47" i="36" s="1"/>
  <c r="M47" i="36"/>
  <c r="O47" i="36" s="1"/>
  <c r="L48" i="36"/>
  <c r="N48" i="36" s="1"/>
  <c r="M48" i="36"/>
  <c r="O48" i="36" s="1"/>
  <c r="L49" i="36"/>
  <c r="N49" i="36" s="1"/>
  <c r="M49" i="36"/>
  <c r="O49" i="36" s="1"/>
  <c r="L50" i="36"/>
  <c r="N50" i="36" s="1"/>
  <c r="M50" i="36"/>
  <c r="O50" i="36" s="1"/>
  <c r="L51" i="36"/>
  <c r="N51" i="36" s="1"/>
  <c r="M51" i="36"/>
  <c r="O51" i="36" s="1"/>
  <c r="L52" i="36"/>
  <c r="N52" i="36" s="1"/>
  <c r="M52" i="36"/>
  <c r="O52" i="36" s="1"/>
  <c r="L53" i="36"/>
  <c r="N53" i="36" s="1"/>
  <c r="M53" i="36"/>
  <c r="O53" i="36" s="1"/>
  <c r="L54" i="36"/>
  <c r="N54" i="36" s="1"/>
  <c r="M54" i="36"/>
  <c r="O54" i="36" s="1"/>
  <c r="L55" i="36"/>
  <c r="N55" i="36" s="1"/>
  <c r="M55" i="36"/>
  <c r="O55" i="36" s="1"/>
  <c r="L56" i="36"/>
  <c r="N56" i="36" s="1"/>
  <c r="M56" i="36"/>
  <c r="O56" i="36" s="1"/>
  <c r="L57" i="36"/>
  <c r="N57" i="36" s="1"/>
  <c r="M57" i="36"/>
  <c r="L58" i="36"/>
  <c r="N58" i="36" s="1"/>
  <c r="M58" i="36"/>
  <c r="O58" i="36" s="1"/>
  <c r="L59" i="36"/>
  <c r="N59" i="36" s="1"/>
  <c r="M59" i="36"/>
  <c r="O59" i="36" s="1"/>
  <c r="L60" i="36"/>
  <c r="N60" i="36" s="1"/>
  <c r="M60" i="36"/>
  <c r="O60" i="36" s="1"/>
  <c r="L61" i="36"/>
  <c r="N61" i="36" s="1"/>
  <c r="M61" i="36"/>
  <c r="O61" i="36" s="1"/>
  <c r="L62" i="36"/>
  <c r="N62" i="36" s="1"/>
  <c r="M62" i="36"/>
  <c r="O62" i="36" s="1"/>
  <c r="L63" i="36"/>
  <c r="N63" i="36" s="1"/>
  <c r="M63" i="36"/>
  <c r="O63" i="36" s="1"/>
  <c r="L64" i="36"/>
  <c r="N64" i="36" s="1"/>
  <c r="M64" i="36"/>
  <c r="O64" i="36" s="1"/>
  <c r="L65" i="36"/>
  <c r="N65" i="36" s="1"/>
  <c r="M65" i="36"/>
  <c r="O65" i="36" s="1"/>
  <c r="L66" i="36"/>
  <c r="N66" i="36" s="1"/>
  <c r="M66" i="36"/>
  <c r="O66" i="36" s="1"/>
  <c r="L67" i="36"/>
  <c r="N67" i="36" s="1"/>
  <c r="M67" i="36"/>
  <c r="O67" i="36" s="1"/>
  <c r="L68" i="36"/>
  <c r="N68" i="36" s="1"/>
  <c r="M68" i="36"/>
  <c r="O68" i="36" s="1"/>
  <c r="L69" i="36"/>
  <c r="N69" i="36" s="1"/>
  <c r="M69" i="36"/>
  <c r="O69" i="36" s="1"/>
  <c r="L70" i="36"/>
  <c r="N70" i="36" s="1"/>
  <c r="M70" i="36"/>
  <c r="O70" i="36" s="1"/>
  <c r="L71" i="36"/>
  <c r="N71" i="36" s="1"/>
  <c r="M71" i="36"/>
  <c r="O71" i="36" s="1"/>
  <c r="L72" i="36"/>
  <c r="N72" i="36" s="1"/>
  <c r="M72" i="36"/>
  <c r="O72" i="36" s="1"/>
  <c r="L73" i="36"/>
  <c r="N73" i="36" s="1"/>
  <c r="M73" i="36"/>
  <c r="O73" i="36" s="1"/>
  <c r="L74" i="36"/>
  <c r="N74" i="36" s="1"/>
  <c r="M74" i="36"/>
  <c r="O74" i="36" s="1"/>
  <c r="L75" i="36"/>
  <c r="N75" i="36" s="1"/>
  <c r="M75" i="36"/>
  <c r="O75" i="36" s="1"/>
  <c r="L76" i="36"/>
  <c r="N76" i="36" s="1"/>
  <c r="M76" i="36"/>
  <c r="O76" i="36" s="1"/>
  <c r="L77" i="36"/>
  <c r="N77" i="36" s="1"/>
  <c r="M77" i="36"/>
  <c r="O77" i="36" s="1"/>
  <c r="L78" i="36"/>
  <c r="N78" i="36" s="1"/>
  <c r="M78" i="36"/>
  <c r="O78" i="36" s="1"/>
  <c r="L79" i="36"/>
  <c r="N79" i="36" s="1"/>
  <c r="M79" i="36"/>
  <c r="O79" i="36" s="1"/>
  <c r="L80" i="36"/>
  <c r="N80" i="36" s="1"/>
  <c r="M80" i="36"/>
  <c r="O80" i="36" s="1"/>
  <c r="L81" i="36"/>
  <c r="N81" i="36" s="1"/>
  <c r="M81" i="36"/>
  <c r="O81" i="36" s="1"/>
  <c r="L82" i="36"/>
  <c r="N82" i="36" s="1"/>
  <c r="M82" i="36"/>
  <c r="O82" i="36" s="1"/>
  <c r="L83" i="36"/>
  <c r="N83" i="36" s="1"/>
  <c r="M83" i="36"/>
  <c r="O83" i="36" s="1"/>
  <c r="L84" i="36"/>
  <c r="N84" i="36" s="1"/>
  <c r="M84" i="36"/>
  <c r="O84" i="36" s="1"/>
  <c r="L85" i="36"/>
  <c r="N85" i="36" s="1"/>
  <c r="M85" i="36"/>
  <c r="O85" i="36" s="1"/>
  <c r="L86" i="36"/>
  <c r="N86" i="36" s="1"/>
  <c r="M86" i="36"/>
  <c r="O86" i="36" s="1"/>
  <c r="L87" i="36"/>
  <c r="N87" i="36" s="1"/>
  <c r="M87" i="36"/>
  <c r="O87" i="36" s="1"/>
  <c r="L88" i="36"/>
  <c r="N88" i="36" s="1"/>
  <c r="M88" i="36"/>
  <c r="O88" i="36" s="1"/>
  <c r="L89" i="36"/>
  <c r="N89" i="36" s="1"/>
  <c r="M89" i="36"/>
  <c r="L90" i="36"/>
  <c r="N90" i="36" s="1"/>
  <c r="M90" i="36"/>
  <c r="O90" i="36" s="1"/>
  <c r="L91" i="36"/>
  <c r="N91" i="36" s="1"/>
  <c r="M91" i="36"/>
  <c r="O91" i="36" s="1"/>
  <c r="L92" i="36"/>
  <c r="N92" i="36" s="1"/>
  <c r="M92" i="36"/>
  <c r="O92" i="36" s="1"/>
  <c r="L93" i="36"/>
  <c r="N93" i="36" s="1"/>
  <c r="M93" i="36"/>
  <c r="O93" i="36" s="1"/>
  <c r="L94" i="36"/>
  <c r="N94" i="36" s="1"/>
  <c r="M94" i="36"/>
  <c r="O94" i="36" s="1"/>
  <c r="L95" i="36"/>
  <c r="N95" i="36" s="1"/>
  <c r="M95" i="36"/>
  <c r="O95" i="36" s="1"/>
  <c r="L96" i="36"/>
  <c r="N96" i="36" s="1"/>
  <c r="M96" i="36"/>
  <c r="O96" i="36" s="1"/>
  <c r="L97" i="36"/>
  <c r="N97" i="36" s="1"/>
  <c r="M97" i="36"/>
  <c r="O97" i="36" s="1"/>
  <c r="L98" i="36"/>
  <c r="N98" i="36" s="1"/>
  <c r="M98" i="36"/>
  <c r="O98" i="36" s="1"/>
  <c r="L99" i="36"/>
  <c r="N99" i="36" s="1"/>
  <c r="M99" i="36"/>
  <c r="O99" i="36" s="1"/>
  <c r="L100" i="36"/>
  <c r="N100" i="36" s="1"/>
  <c r="M100" i="36"/>
  <c r="O100" i="36" s="1"/>
  <c r="L101" i="36"/>
  <c r="N101" i="36" s="1"/>
  <c r="M101" i="36"/>
  <c r="O101" i="36" s="1"/>
  <c r="L102" i="36"/>
  <c r="N102" i="36" s="1"/>
  <c r="M102" i="36"/>
  <c r="O102" i="36" s="1"/>
  <c r="L103" i="36"/>
  <c r="N103" i="36" s="1"/>
  <c r="M103" i="36"/>
  <c r="O103" i="36" s="1"/>
  <c r="L104" i="36"/>
  <c r="N104" i="36" s="1"/>
  <c r="M104" i="36"/>
  <c r="O104" i="36" s="1"/>
  <c r="L105" i="36"/>
  <c r="N105" i="36" s="1"/>
  <c r="M105" i="36"/>
  <c r="O105" i="36" s="1"/>
  <c r="L106" i="36"/>
  <c r="N106" i="36" s="1"/>
  <c r="M106" i="36"/>
  <c r="O106" i="36" s="1"/>
  <c r="L107" i="36"/>
  <c r="N107" i="36" s="1"/>
  <c r="M107" i="36"/>
  <c r="O107" i="36" s="1"/>
  <c r="L108" i="36"/>
  <c r="N108" i="36" s="1"/>
  <c r="M108" i="36"/>
  <c r="O108" i="36" s="1"/>
  <c r="L109" i="36"/>
  <c r="N109" i="36" s="1"/>
  <c r="M109" i="36"/>
  <c r="O109" i="36" s="1"/>
  <c r="L110" i="36"/>
  <c r="N110" i="36" s="1"/>
  <c r="M110" i="36"/>
  <c r="O110" i="36" s="1"/>
  <c r="L111" i="36"/>
  <c r="N111" i="36" s="1"/>
  <c r="M111" i="36"/>
  <c r="O111" i="36" s="1"/>
  <c r="L112" i="36"/>
  <c r="N112" i="36" s="1"/>
  <c r="M112" i="36"/>
  <c r="O112" i="36" s="1"/>
  <c r="L113" i="36"/>
  <c r="N113" i="36" s="1"/>
  <c r="M113" i="36"/>
  <c r="O113" i="36" s="1"/>
  <c r="L114" i="36"/>
  <c r="N114" i="36" s="1"/>
  <c r="M114" i="36"/>
  <c r="O114" i="36" s="1"/>
  <c r="L115" i="36"/>
  <c r="N115" i="36" s="1"/>
  <c r="M115" i="36"/>
  <c r="O115" i="36" s="1"/>
  <c r="L116" i="36"/>
  <c r="N116" i="36" s="1"/>
  <c r="M116" i="36"/>
  <c r="O116" i="36" s="1"/>
  <c r="L117" i="36"/>
  <c r="N117" i="36" s="1"/>
  <c r="M117" i="36"/>
  <c r="O117" i="36" s="1"/>
  <c r="L118" i="36"/>
  <c r="N118" i="36" s="1"/>
  <c r="M118" i="36"/>
  <c r="O118" i="36" s="1"/>
  <c r="L119" i="36"/>
  <c r="N119" i="36" s="1"/>
  <c r="M119" i="36"/>
  <c r="O119" i="36" s="1"/>
  <c r="L120" i="36"/>
  <c r="N120" i="36" s="1"/>
  <c r="M120" i="36"/>
  <c r="O120" i="36" s="1"/>
  <c r="L121" i="36"/>
  <c r="N121" i="36" s="1"/>
  <c r="M121" i="36"/>
  <c r="L122" i="36"/>
  <c r="N122" i="36" s="1"/>
  <c r="M122" i="36"/>
  <c r="O122" i="36" s="1"/>
  <c r="L123" i="36"/>
  <c r="N123" i="36" s="1"/>
  <c r="M123" i="36"/>
  <c r="O123" i="36" s="1"/>
  <c r="L124" i="36"/>
  <c r="N124" i="36" s="1"/>
  <c r="M124" i="36"/>
  <c r="O124" i="36" s="1"/>
  <c r="L125" i="36"/>
  <c r="N125" i="36" s="1"/>
  <c r="M125" i="36"/>
  <c r="O125" i="36" s="1"/>
  <c r="L126" i="36"/>
  <c r="N126" i="36" s="1"/>
  <c r="M126" i="36"/>
  <c r="O126" i="36" s="1"/>
  <c r="L127" i="36"/>
  <c r="N127" i="36" s="1"/>
  <c r="M127" i="36"/>
  <c r="O127" i="36" s="1"/>
  <c r="L128" i="36"/>
  <c r="N128" i="36" s="1"/>
  <c r="M128" i="36"/>
  <c r="O128" i="36" s="1"/>
  <c r="L129" i="36"/>
  <c r="N129" i="36" s="1"/>
  <c r="M129" i="36"/>
  <c r="O129" i="36" s="1"/>
  <c r="L130" i="36"/>
  <c r="N130" i="36" s="1"/>
  <c r="M130" i="36"/>
  <c r="O130" i="36" s="1"/>
  <c r="L131" i="36"/>
  <c r="N131" i="36" s="1"/>
  <c r="M131" i="36"/>
  <c r="O131" i="36" s="1"/>
  <c r="L132" i="36"/>
  <c r="N132" i="36" s="1"/>
  <c r="M132" i="36"/>
  <c r="O132" i="36" s="1"/>
  <c r="L133" i="36"/>
  <c r="N133" i="36" s="1"/>
  <c r="M133" i="36"/>
  <c r="O133" i="36" s="1"/>
  <c r="L134" i="36"/>
  <c r="N134" i="36" s="1"/>
  <c r="M134" i="36"/>
  <c r="O134" i="36" s="1"/>
  <c r="L135" i="36"/>
  <c r="N135" i="36" s="1"/>
  <c r="M135" i="36"/>
  <c r="O135" i="36" s="1"/>
  <c r="L136" i="36"/>
  <c r="N136" i="36" s="1"/>
  <c r="M136" i="36"/>
  <c r="O136" i="36" s="1"/>
  <c r="L137" i="36"/>
  <c r="N137" i="36" s="1"/>
  <c r="M137" i="36"/>
  <c r="O137" i="36" s="1"/>
  <c r="L138" i="36"/>
  <c r="N138" i="36" s="1"/>
  <c r="M138" i="36"/>
  <c r="O138" i="36" s="1"/>
  <c r="L139" i="36"/>
  <c r="N139" i="36" s="1"/>
  <c r="M139" i="36"/>
  <c r="O139" i="36" s="1"/>
  <c r="L140" i="36"/>
  <c r="N140" i="36" s="1"/>
  <c r="M140" i="36"/>
  <c r="O140" i="36" s="1"/>
  <c r="L141" i="36"/>
  <c r="N141" i="36" s="1"/>
  <c r="M141" i="36"/>
  <c r="O141" i="36" s="1"/>
  <c r="L142" i="36"/>
  <c r="N142" i="36" s="1"/>
  <c r="M142" i="36"/>
  <c r="O142" i="36" s="1"/>
  <c r="L143" i="36"/>
  <c r="N143" i="36" s="1"/>
  <c r="M143" i="36"/>
  <c r="O143" i="36" s="1"/>
  <c r="L144" i="36"/>
  <c r="N144" i="36" s="1"/>
  <c r="M144" i="36"/>
  <c r="O144" i="36" s="1"/>
  <c r="L145" i="36"/>
  <c r="N145" i="36" s="1"/>
  <c r="M145" i="36"/>
  <c r="O145" i="36" s="1"/>
  <c r="L146" i="36"/>
  <c r="N146" i="36" s="1"/>
  <c r="M146" i="36"/>
  <c r="O146" i="36" s="1"/>
  <c r="L147" i="36"/>
  <c r="N147" i="36" s="1"/>
  <c r="M147" i="36"/>
  <c r="O147" i="36" s="1"/>
  <c r="L148" i="36"/>
  <c r="N148" i="36" s="1"/>
  <c r="M148" i="36"/>
  <c r="O148" i="36" s="1"/>
  <c r="L149" i="36"/>
  <c r="N149" i="36" s="1"/>
  <c r="M149" i="36"/>
  <c r="O149" i="36" s="1"/>
  <c r="L150" i="36"/>
  <c r="N150" i="36" s="1"/>
  <c r="M150" i="36"/>
  <c r="O150" i="36" s="1"/>
  <c r="L151" i="36"/>
  <c r="N151" i="36" s="1"/>
  <c r="M151" i="36"/>
  <c r="O151" i="36" s="1"/>
  <c r="L152" i="36"/>
  <c r="N152" i="36" s="1"/>
  <c r="M152" i="36"/>
  <c r="O152" i="36" s="1"/>
  <c r="L153" i="36"/>
  <c r="N153" i="36" s="1"/>
  <c r="M153" i="36"/>
  <c r="L154" i="36"/>
  <c r="N154" i="36" s="1"/>
  <c r="M154" i="36"/>
  <c r="O154" i="36" s="1"/>
  <c r="L155" i="36"/>
  <c r="N155" i="36" s="1"/>
  <c r="M155" i="36"/>
  <c r="O155" i="36" s="1"/>
  <c r="L156" i="36"/>
  <c r="N156" i="36" s="1"/>
  <c r="M156" i="36"/>
  <c r="O156" i="36" s="1"/>
  <c r="L157" i="36"/>
  <c r="N157" i="36" s="1"/>
  <c r="M157" i="36"/>
  <c r="O157" i="36" s="1"/>
  <c r="L158" i="36"/>
  <c r="N158" i="36" s="1"/>
  <c r="M158" i="36"/>
  <c r="O158" i="36" s="1"/>
  <c r="L159" i="36"/>
  <c r="N159" i="36" s="1"/>
  <c r="M159" i="36"/>
  <c r="O159" i="36" s="1"/>
  <c r="L160" i="36"/>
  <c r="N160" i="36" s="1"/>
  <c r="M160" i="36"/>
  <c r="O160" i="36" s="1"/>
  <c r="L161" i="36"/>
  <c r="N161" i="36" s="1"/>
  <c r="M161" i="36"/>
  <c r="O161" i="36" s="1"/>
  <c r="L162" i="36"/>
  <c r="N162" i="36" s="1"/>
  <c r="M162" i="36"/>
  <c r="O162" i="36" s="1"/>
  <c r="L163" i="36"/>
  <c r="N163" i="36" s="1"/>
  <c r="M163" i="36"/>
  <c r="O163" i="36" s="1"/>
  <c r="L164" i="36"/>
  <c r="N164" i="36" s="1"/>
  <c r="M164" i="36"/>
  <c r="O164" i="36" s="1"/>
  <c r="L165" i="36"/>
  <c r="N165" i="36" s="1"/>
  <c r="M165" i="36"/>
  <c r="O165" i="36" s="1"/>
  <c r="L166" i="36"/>
  <c r="N166" i="36" s="1"/>
  <c r="M166" i="36"/>
  <c r="O166" i="36" s="1"/>
  <c r="L167" i="36"/>
  <c r="N167" i="36" s="1"/>
  <c r="M167" i="36"/>
  <c r="O167" i="36" s="1"/>
  <c r="L168" i="36"/>
  <c r="N168" i="36" s="1"/>
  <c r="M168" i="36"/>
  <c r="O168" i="36" s="1"/>
  <c r="L169" i="36"/>
  <c r="N169" i="36" s="1"/>
  <c r="M169" i="36"/>
  <c r="O169" i="36" s="1"/>
  <c r="L170" i="36"/>
  <c r="N170" i="36" s="1"/>
  <c r="M170" i="36"/>
  <c r="O170" i="36" s="1"/>
  <c r="L171" i="36"/>
  <c r="N171" i="36" s="1"/>
  <c r="M171" i="36"/>
  <c r="O171" i="36" s="1"/>
  <c r="L172" i="36"/>
  <c r="N172" i="36" s="1"/>
  <c r="M172" i="36"/>
  <c r="O172" i="36" s="1"/>
  <c r="L173" i="36"/>
  <c r="N173" i="36" s="1"/>
  <c r="M173" i="36"/>
  <c r="O173" i="36" s="1"/>
  <c r="L174" i="36"/>
  <c r="N174" i="36" s="1"/>
  <c r="M174" i="36"/>
  <c r="O174" i="36" s="1"/>
  <c r="L175" i="36"/>
  <c r="N175" i="36" s="1"/>
  <c r="M175" i="36"/>
  <c r="O175" i="36" s="1"/>
  <c r="L176" i="36"/>
  <c r="N176" i="36" s="1"/>
  <c r="M176" i="36"/>
  <c r="O176" i="36" s="1"/>
  <c r="L177" i="36"/>
  <c r="N177" i="36" s="1"/>
  <c r="M177" i="36"/>
  <c r="O177" i="36" s="1"/>
  <c r="L178" i="36"/>
  <c r="N178" i="36" s="1"/>
  <c r="M178" i="36"/>
  <c r="O178" i="36" s="1"/>
  <c r="L179" i="36"/>
  <c r="N179" i="36" s="1"/>
  <c r="M179" i="36"/>
  <c r="O179" i="36" s="1"/>
  <c r="L180" i="36"/>
  <c r="N180" i="36" s="1"/>
  <c r="M180" i="36"/>
  <c r="O180" i="36" s="1"/>
  <c r="L181" i="36"/>
  <c r="N181" i="36" s="1"/>
  <c r="M181" i="36"/>
  <c r="O181" i="36" s="1"/>
  <c r="L182" i="36"/>
  <c r="N182" i="36" s="1"/>
  <c r="M182" i="36"/>
  <c r="O182" i="36" s="1"/>
  <c r="L183" i="36"/>
  <c r="N183" i="36" s="1"/>
  <c r="M183" i="36"/>
  <c r="O183" i="36" s="1"/>
  <c r="L184" i="36"/>
  <c r="N184" i="36" s="1"/>
  <c r="M184" i="36"/>
  <c r="O184" i="36" s="1"/>
  <c r="L185" i="36"/>
  <c r="N185" i="36" s="1"/>
  <c r="M185" i="36"/>
  <c r="O185" i="36" s="1"/>
  <c r="L186" i="36"/>
  <c r="N186" i="36" s="1"/>
  <c r="M186" i="36"/>
  <c r="O186" i="36" s="1"/>
  <c r="L187" i="36"/>
  <c r="N187" i="36" s="1"/>
  <c r="M187" i="36"/>
  <c r="O187" i="36" s="1"/>
  <c r="L188" i="36"/>
  <c r="N188" i="36" s="1"/>
  <c r="M188" i="36"/>
  <c r="O188" i="36" s="1"/>
  <c r="L189" i="36"/>
  <c r="N189" i="36" s="1"/>
  <c r="M189" i="36"/>
  <c r="O189" i="36" s="1"/>
  <c r="L190" i="36"/>
  <c r="N190" i="36" s="1"/>
  <c r="M190" i="36"/>
  <c r="O190" i="36" s="1"/>
  <c r="L191" i="36"/>
  <c r="N191" i="36" s="1"/>
  <c r="M191" i="36"/>
  <c r="O191" i="36" s="1"/>
  <c r="L192" i="36"/>
  <c r="N192" i="36" s="1"/>
  <c r="M192" i="36"/>
  <c r="O192" i="36" s="1"/>
  <c r="L193" i="36"/>
  <c r="N193" i="36" s="1"/>
  <c r="M193" i="36"/>
  <c r="O193" i="36" s="1"/>
  <c r="L194" i="36"/>
  <c r="N194" i="36" s="1"/>
  <c r="M194" i="36"/>
  <c r="O194" i="36" s="1"/>
  <c r="L195" i="36"/>
  <c r="N195" i="36" s="1"/>
  <c r="M195" i="36"/>
  <c r="O195" i="36" s="1"/>
  <c r="L196" i="36"/>
  <c r="N196" i="36" s="1"/>
  <c r="M196" i="36"/>
  <c r="O196" i="36" s="1"/>
  <c r="L197" i="36"/>
  <c r="N197" i="36" s="1"/>
  <c r="M197" i="36"/>
  <c r="O197" i="36" s="1"/>
  <c r="L198" i="36"/>
  <c r="N198" i="36" s="1"/>
  <c r="M198" i="36"/>
  <c r="O198" i="36" s="1"/>
  <c r="L199" i="36"/>
  <c r="N199" i="36" s="1"/>
  <c r="M199" i="36"/>
  <c r="O199" i="36" s="1"/>
  <c r="L200" i="36"/>
  <c r="N200" i="36" s="1"/>
  <c r="M200" i="36"/>
  <c r="O200" i="36" s="1"/>
  <c r="L201" i="36"/>
  <c r="N201" i="36" s="1"/>
  <c r="M201" i="36"/>
  <c r="O201" i="36" s="1"/>
  <c r="L202" i="36"/>
  <c r="N202" i="36" s="1"/>
  <c r="M202" i="36"/>
  <c r="O202" i="36" s="1"/>
  <c r="L203" i="36"/>
  <c r="N203" i="36" s="1"/>
  <c r="M203" i="36"/>
  <c r="O203" i="36" s="1"/>
  <c r="L204" i="36"/>
  <c r="N204" i="36" s="1"/>
  <c r="M204" i="36"/>
  <c r="O204" i="36" s="1"/>
  <c r="L205" i="36"/>
  <c r="N205" i="36" s="1"/>
  <c r="M205" i="36"/>
  <c r="O205" i="36" s="1"/>
  <c r="L206" i="36"/>
  <c r="N206" i="36" s="1"/>
  <c r="M206" i="36"/>
  <c r="O206" i="36" s="1"/>
  <c r="L207" i="36"/>
  <c r="N207" i="36" s="1"/>
  <c r="M207" i="36"/>
  <c r="O207" i="36" s="1"/>
  <c r="L208" i="36"/>
  <c r="N208" i="36" s="1"/>
  <c r="M208" i="36"/>
  <c r="O208" i="36" s="1"/>
  <c r="M9" i="36"/>
  <c r="O9" i="36" s="1"/>
  <c r="L9" i="36"/>
  <c r="N9" i="36" s="1"/>
  <c r="E98" i="23"/>
  <c r="E99" i="23"/>
  <c r="E100" i="23"/>
  <c r="E101" i="23"/>
  <c r="E102" i="23"/>
  <c r="E103" i="23"/>
  <c r="E104" i="23"/>
  <c r="E105" i="23"/>
  <c r="E106" i="23"/>
  <c r="E107" i="23"/>
  <c r="E108" i="23"/>
  <c r="D98" i="23"/>
  <c r="D99" i="23"/>
  <c r="D100" i="23"/>
  <c r="D101" i="23"/>
  <c r="D102" i="23"/>
  <c r="D103" i="23"/>
  <c r="D104" i="23"/>
  <c r="D105" i="23"/>
  <c r="D106" i="23"/>
  <c r="D107" i="23"/>
  <c r="D108" i="23"/>
  <c r="E213" i="36" l="1"/>
  <c r="E212" i="36"/>
  <c r="C80" i="39" s="1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9" i="25"/>
  <c r="C405" i="39" s="1"/>
  <c r="A405" i="39" s="1"/>
  <c r="K9" i="36"/>
  <c r="G2" i="26"/>
  <c r="G3" i="26"/>
  <c r="G108" i="23"/>
  <c r="G107" i="23"/>
  <c r="G106" i="23"/>
  <c r="G105" i="23"/>
  <c r="G104" i="23"/>
  <c r="G103" i="23"/>
  <c r="G102" i="23"/>
  <c r="G101" i="23"/>
  <c r="G100" i="23"/>
  <c r="G99" i="23"/>
  <c r="G98" i="23"/>
  <c r="G97" i="23"/>
  <c r="G96" i="23"/>
  <c r="G95" i="23"/>
  <c r="G94" i="23"/>
  <c r="G93" i="23"/>
  <c r="G92" i="23"/>
  <c r="G91" i="23"/>
  <c r="G90" i="23"/>
  <c r="G89" i="23"/>
  <c r="G88" i="23"/>
  <c r="G87" i="23"/>
  <c r="G86" i="23"/>
  <c r="G85" i="23"/>
  <c r="G84" i="23"/>
  <c r="G83" i="23"/>
  <c r="G82" i="23"/>
  <c r="G81" i="23"/>
  <c r="G80" i="23"/>
  <c r="G79" i="23"/>
  <c r="G78" i="23"/>
  <c r="G77" i="23"/>
  <c r="G76" i="23"/>
  <c r="G75" i="23"/>
  <c r="G74" i="23"/>
  <c r="G73" i="23"/>
  <c r="G72" i="23"/>
  <c r="G71" i="23"/>
  <c r="G70" i="23"/>
  <c r="G69" i="23"/>
  <c r="G68" i="23"/>
  <c r="G67" i="23"/>
  <c r="G66" i="23"/>
  <c r="G65" i="23"/>
  <c r="G64" i="23"/>
  <c r="G63" i="23"/>
  <c r="G62" i="23"/>
  <c r="G61" i="23"/>
  <c r="G60" i="23"/>
  <c r="G59" i="23"/>
  <c r="G58" i="23"/>
  <c r="G57" i="23"/>
  <c r="G56" i="23"/>
  <c r="G55" i="23"/>
  <c r="G54" i="23"/>
  <c r="G53" i="23"/>
  <c r="G52" i="23"/>
  <c r="G51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G26" i="23"/>
  <c r="G25" i="23"/>
  <c r="G24" i="23"/>
  <c r="G23" i="23"/>
  <c r="G22" i="23"/>
  <c r="G21" i="23"/>
  <c r="G20" i="23"/>
  <c r="G19" i="23"/>
  <c r="G18" i="23"/>
  <c r="G17" i="23"/>
  <c r="G16" i="23"/>
  <c r="G15" i="23"/>
  <c r="G14" i="23"/>
  <c r="G13" i="23"/>
  <c r="G12" i="23"/>
  <c r="G11" i="23"/>
  <c r="G10" i="23"/>
  <c r="J10" i="24"/>
  <c r="J9" i="24"/>
  <c r="M8" i="24" s="1" a="1"/>
  <c r="M8" i="24" s="1"/>
  <c r="J11" i="24"/>
  <c r="J12" i="24"/>
  <c r="J13" i="24"/>
  <c r="J14" i="24"/>
  <c r="J15" i="24"/>
  <c r="J16" i="24"/>
  <c r="J17" i="24"/>
  <c r="J18" i="24"/>
  <c r="J19" i="24"/>
  <c r="J20" i="24"/>
  <c r="J21" i="24"/>
  <c r="J22" i="24"/>
  <c r="J23" i="24"/>
  <c r="J24" i="24"/>
  <c r="J25" i="24"/>
  <c r="J26" i="24"/>
  <c r="J27" i="24"/>
  <c r="J28" i="24"/>
  <c r="J29" i="24"/>
  <c r="J30" i="24"/>
  <c r="J31" i="24"/>
  <c r="J32" i="24"/>
  <c r="J33" i="24"/>
  <c r="J34" i="24"/>
  <c r="J35" i="24"/>
  <c r="J36" i="24"/>
  <c r="J37" i="24"/>
  <c r="J38" i="24"/>
  <c r="J39" i="24"/>
  <c r="J40" i="24"/>
  <c r="J41" i="24"/>
  <c r="J42" i="24"/>
  <c r="J43" i="24"/>
  <c r="J44" i="24"/>
  <c r="J45" i="24"/>
  <c r="J46" i="24"/>
  <c r="J47" i="24"/>
  <c r="J48" i="24"/>
  <c r="J49" i="24"/>
  <c r="J50" i="24"/>
  <c r="J51" i="24"/>
  <c r="J52" i="24"/>
  <c r="J53" i="24"/>
  <c r="J54" i="24"/>
  <c r="J55" i="24"/>
  <c r="J56" i="24"/>
  <c r="J57" i="24"/>
  <c r="J58" i="24"/>
  <c r="G10" i="22"/>
  <c r="H230" i="22"/>
  <c r="H41" i="22"/>
  <c r="H42" i="22"/>
  <c r="H43" i="22"/>
  <c r="H44" i="22"/>
  <c r="H45" i="22"/>
  <c r="H46" i="22"/>
  <c r="D72" i="36"/>
  <c r="J72" i="36" s="1"/>
  <c r="L58" i="25"/>
  <c r="L57" i="25"/>
  <c r="L56" i="25"/>
  <c r="L55" i="25"/>
  <c r="L54" i="25"/>
  <c r="L53" i="25"/>
  <c r="L52" i="25"/>
  <c r="L51" i="25"/>
  <c r="L50" i="25"/>
  <c r="L49" i="25"/>
  <c r="L48" i="25"/>
  <c r="L47" i="25"/>
  <c r="L46" i="25"/>
  <c r="L45" i="25"/>
  <c r="L44" i="25"/>
  <c r="L43" i="25"/>
  <c r="L42" i="25"/>
  <c r="L41" i="25"/>
  <c r="L40" i="25"/>
  <c r="L39" i="25"/>
  <c r="L38" i="25"/>
  <c r="L37" i="25"/>
  <c r="L36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L23" i="25"/>
  <c r="L22" i="25"/>
  <c r="L21" i="25"/>
  <c r="L20" i="25"/>
  <c r="L18" i="25"/>
  <c r="L17" i="25"/>
  <c r="L16" i="25"/>
  <c r="L15" i="25"/>
  <c r="L14" i="25"/>
  <c r="L13" i="25"/>
  <c r="L12" i="25"/>
  <c r="L11" i="25"/>
  <c r="L10" i="25"/>
  <c r="L9" i="25"/>
  <c r="O8" i="25" s="1" a="1"/>
  <c r="O8" i="25" s="1"/>
  <c r="O61" i="25" s="1"/>
  <c r="L19" i="25"/>
  <c r="I9" i="38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K58" i="25"/>
  <c r="K57" i="25"/>
  <c r="K56" i="25"/>
  <c r="K55" i="25"/>
  <c r="K54" i="25"/>
  <c r="K53" i="25"/>
  <c r="K52" i="25"/>
  <c r="K51" i="25"/>
  <c r="K50" i="25"/>
  <c r="K49" i="25"/>
  <c r="K48" i="25"/>
  <c r="K47" i="25"/>
  <c r="K46" i="25"/>
  <c r="K45" i="25"/>
  <c r="K44" i="25"/>
  <c r="K43" i="25"/>
  <c r="K42" i="25"/>
  <c r="K41" i="25"/>
  <c r="K40" i="25"/>
  <c r="K39" i="25"/>
  <c r="K38" i="25"/>
  <c r="K37" i="25"/>
  <c r="K36" i="25"/>
  <c r="K35" i="25"/>
  <c r="K34" i="25"/>
  <c r="K33" i="25"/>
  <c r="K32" i="25"/>
  <c r="K31" i="25"/>
  <c r="K30" i="25"/>
  <c r="K29" i="25"/>
  <c r="K28" i="25"/>
  <c r="K27" i="25"/>
  <c r="K26" i="25"/>
  <c r="K25" i="25"/>
  <c r="K24" i="25"/>
  <c r="K23" i="25"/>
  <c r="K22" i="25"/>
  <c r="K21" i="25"/>
  <c r="K20" i="25"/>
  <c r="K19" i="25"/>
  <c r="K18" i="25"/>
  <c r="K17" i="25"/>
  <c r="K16" i="25"/>
  <c r="K15" i="25"/>
  <c r="K14" i="25"/>
  <c r="K13" i="25"/>
  <c r="K12" i="25"/>
  <c r="K11" i="25"/>
  <c r="K10" i="25"/>
  <c r="K9" i="25"/>
  <c r="N9" i="25" s="1" a="1"/>
  <c r="N9" i="25" s="1"/>
  <c r="I58" i="24"/>
  <c r="I57" i="24"/>
  <c r="I56" i="24"/>
  <c r="I55" i="24"/>
  <c r="I54" i="24"/>
  <c r="I53" i="24"/>
  <c r="I52" i="24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L9" i="24" s="1" a="1"/>
  <c r="L9" i="24" s="1"/>
  <c r="D13" i="36"/>
  <c r="G228" i="22"/>
  <c r="H228" i="22"/>
  <c r="G229" i="22"/>
  <c r="H229" i="22"/>
  <c r="H38" i="22"/>
  <c r="H39" i="22"/>
  <c r="H40" i="22"/>
  <c r="H47" i="22"/>
  <c r="H48" i="22"/>
  <c r="G38" i="22"/>
  <c r="G39" i="22"/>
  <c r="G40" i="22"/>
  <c r="G41" i="22"/>
  <c r="G42" i="22"/>
  <c r="G43" i="22"/>
  <c r="G44" i="22"/>
  <c r="G45" i="22"/>
  <c r="G46" i="22"/>
  <c r="G47" i="22"/>
  <c r="G48" i="22"/>
  <c r="D211" i="36"/>
  <c r="D10" i="36"/>
  <c r="D11" i="36"/>
  <c r="D12" i="36"/>
  <c r="D14" i="36"/>
  <c r="D15" i="36"/>
  <c r="D16" i="36"/>
  <c r="D17" i="36"/>
  <c r="D18" i="36"/>
  <c r="D19" i="36"/>
  <c r="D20" i="36"/>
  <c r="D21" i="36"/>
  <c r="D22" i="36"/>
  <c r="J22" i="36"/>
  <c r="D23" i="36"/>
  <c r="J23" i="36" s="1"/>
  <c r="D24" i="36"/>
  <c r="J24" i="36"/>
  <c r="D25" i="36"/>
  <c r="J25" i="36" s="1"/>
  <c r="D26" i="36"/>
  <c r="J26" i="36"/>
  <c r="D27" i="36"/>
  <c r="J27" i="36" s="1"/>
  <c r="D28" i="36"/>
  <c r="J28" i="36"/>
  <c r="D29" i="36"/>
  <c r="J29" i="36" s="1"/>
  <c r="D30" i="36"/>
  <c r="J30" i="36"/>
  <c r="D31" i="36"/>
  <c r="J31" i="36" s="1"/>
  <c r="D32" i="36"/>
  <c r="J32" i="36"/>
  <c r="D33" i="36"/>
  <c r="J33" i="36" s="1"/>
  <c r="D34" i="36"/>
  <c r="J34" i="36"/>
  <c r="D35" i="36"/>
  <c r="J35" i="36" s="1"/>
  <c r="D36" i="36"/>
  <c r="J36" i="36"/>
  <c r="D37" i="36"/>
  <c r="J37" i="36" s="1"/>
  <c r="D38" i="36"/>
  <c r="J38" i="36"/>
  <c r="D39" i="36"/>
  <c r="J39" i="36" s="1"/>
  <c r="D40" i="36"/>
  <c r="J40" i="36"/>
  <c r="D41" i="36"/>
  <c r="J41" i="36" s="1"/>
  <c r="D42" i="36"/>
  <c r="J42" i="36"/>
  <c r="D43" i="36"/>
  <c r="J43" i="36" s="1"/>
  <c r="D44" i="36"/>
  <c r="J44" i="36" s="1"/>
  <c r="D45" i="36"/>
  <c r="J45" i="36" s="1"/>
  <c r="D46" i="36"/>
  <c r="J46" i="36" s="1"/>
  <c r="D47" i="36"/>
  <c r="J47" i="36" s="1"/>
  <c r="D48" i="36"/>
  <c r="J48" i="36" s="1"/>
  <c r="D49" i="36"/>
  <c r="J49" i="36" s="1"/>
  <c r="D50" i="36"/>
  <c r="J50" i="36" s="1"/>
  <c r="D51" i="36"/>
  <c r="J51" i="36" s="1"/>
  <c r="D52" i="36"/>
  <c r="J52" i="36" s="1"/>
  <c r="D53" i="36"/>
  <c r="J53" i="36" s="1"/>
  <c r="D54" i="36"/>
  <c r="J54" i="36" s="1"/>
  <c r="D55" i="36"/>
  <c r="J55" i="36" s="1"/>
  <c r="D56" i="36"/>
  <c r="J56" i="36" s="1"/>
  <c r="D57" i="36"/>
  <c r="J57" i="36" s="1"/>
  <c r="D58" i="36"/>
  <c r="J58" i="36" s="1"/>
  <c r="D59" i="36"/>
  <c r="J59" i="36" s="1"/>
  <c r="D60" i="36"/>
  <c r="J60" i="36" s="1"/>
  <c r="D61" i="36"/>
  <c r="J61" i="36" s="1"/>
  <c r="D62" i="36"/>
  <c r="J62" i="36" s="1"/>
  <c r="D63" i="36"/>
  <c r="J63" i="36" s="1"/>
  <c r="D64" i="36"/>
  <c r="J64" i="36" s="1"/>
  <c r="D65" i="36"/>
  <c r="J65" i="36" s="1"/>
  <c r="D66" i="36"/>
  <c r="J66" i="36" s="1"/>
  <c r="D67" i="36"/>
  <c r="J67" i="36" s="1"/>
  <c r="D68" i="36"/>
  <c r="J68" i="36" s="1"/>
  <c r="D69" i="36"/>
  <c r="J69" i="36" s="1"/>
  <c r="D70" i="36"/>
  <c r="J70" i="36" s="1"/>
  <c r="D71" i="36"/>
  <c r="J71" i="36" s="1"/>
  <c r="D73" i="36"/>
  <c r="J73" i="36" s="1"/>
  <c r="D74" i="36"/>
  <c r="J74" i="36" s="1"/>
  <c r="D75" i="36"/>
  <c r="J75" i="36" s="1"/>
  <c r="D76" i="36"/>
  <c r="J76" i="36" s="1"/>
  <c r="D77" i="36"/>
  <c r="J77" i="36" s="1"/>
  <c r="D78" i="36"/>
  <c r="J78" i="36" s="1"/>
  <c r="D79" i="36"/>
  <c r="J79" i="36" s="1"/>
  <c r="D80" i="36"/>
  <c r="J80" i="36" s="1"/>
  <c r="D81" i="36"/>
  <c r="J81" i="36" s="1"/>
  <c r="D82" i="36"/>
  <c r="J82" i="36" s="1"/>
  <c r="D83" i="36"/>
  <c r="J83" i="36" s="1"/>
  <c r="D84" i="36"/>
  <c r="J84" i="36" s="1"/>
  <c r="D85" i="36"/>
  <c r="J85" i="36" s="1"/>
  <c r="D86" i="36"/>
  <c r="J86" i="36" s="1"/>
  <c r="D87" i="36"/>
  <c r="J87" i="36" s="1"/>
  <c r="D88" i="36"/>
  <c r="J88" i="36" s="1"/>
  <c r="D89" i="36"/>
  <c r="J89" i="36" s="1"/>
  <c r="D90" i="36"/>
  <c r="J90" i="36" s="1"/>
  <c r="D91" i="36"/>
  <c r="J91" i="36" s="1"/>
  <c r="D92" i="36"/>
  <c r="J92" i="36" s="1"/>
  <c r="D93" i="36"/>
  <c r="J93" i="36" s="1"/>
  <c r="D94" i="36"/>
  <c r="J94" i="36" s="1"/>
  <c r="D95" i="36"/>
  <c r="J95" i="36" s="1"/>
  <c r="D96" i="36"/>
  <c r="J96" i="36" s="1"/>
  <c r="D97" i="36"/>
  <c r="J97" i="36" s="1"/>
  <c r="D98" i="36"/>
  <c r="J98" i="36" s="1"/>
  <c r="D99" i="36"/>
  <c r="J99" i="36" s="1"/>
  <c r="D100" i="36"/>
  <c r="J100" i="36" s="1"/>
  <c r="D101" i="36"/>
  <c r="J101" i="36" s="1"/>
  <c r="D102" i="36"/>
  <c r="J102" i="36" s="1"/>
  <c r="D103" i="36"/>
  <c r="J103" i="36" s="1"/>
  <c r="D104" i="36"/>
  <c r="J104" i="36" s="1"/>
  <c r="D105" i="36"/>
  <c r="J105" i="36" s="1"/>
  <c r="D106" i="36"/>
  <c r="J106" i="36" s="1"/>
  <c r="D107" i="36"/>
  <c r="J107" i="36" s="1"/>
  <c r="D108" i="36"/>
  <c r="J108" i="36" s="1"/>
  <c r="D109" i="36"/>
  <c r="J109" i="36" s="1"/>
  <c r="D110" i="36"/>
  <c r="J110" i="36" s="1"/>
  <c r="D111" i="36"/>
  <c r="J111" i="36" s="1"/>
  <c r="D112" i="36"/>
  <c r="J112" i="36" s="1"/>
  <c r="D113" i="36"/>
  <c r="J113" i="36" s="1"/>
  <c r="D114" i="36"/>
  <c r="J114" i="36" s="1"/>
  <c r="D115" i="36"/>
  <c r="J115" i="36" s="1"/>
  <c r="D116" i="36"/>
  <c r="J116" i="36" s="1"/>
  <c r="D117" i="36"/>
  <c r="J117" i="36" s="1"/>
  <c r="D118" i="36"/>
  <c r="J118" i="36" s="1"/>
  <c r="D119" i="36"/>
  <c r="J119" i="36" s="1"/>
  <c r="D120" i="36"/>
  <c r="J120" i="36" s="1"/>
  <c r="D121" i="36"/>
  <c r="J121" i="36" s="1"/>
  <c r="D122" i="36"/>
  <c r="J122" i="36" s="1"/>
  <c r="D123" i="36"/>
  <c r="J123" i="36" s="1"/>
  <c r="D124" i="36"/>
  <c r="J124" i="36" s="1"/>
  <c r="D125" i="36"/>
  <c r="J125" i="36" s="1"/>
  <c r="D126" i="36"/>
  <c r="J126" i="36" s="1"/>
  <c r="D127" i="36"/>
  <c r="J127" i="36" s="1"/>
  <c r="D128" i="36"/>
  <c r="J128" i="36" s="1"/>
  <c r="D129" i="36"/>
  <c r="J129" i="36" s="1"/>
  <c r="D130" i="36"/>
  <c r="J130" i="36" s="1"/>
  <c r="D131" i="36"/>
  <c r="J131" i="36" s="1"/>
  <c r="D132" i="36"/>
  <c r="J132" i="36" s="1"/>
  <c r="D133" i="36"/>
  <c r="J133" i="36" s="1"/>
  <c r="D134" i="36"/>
  <c r="J134" i="36" s="1"/>
  <c r="D135" i="36"/>
  <c r="J135" i="36" s="1"/>
  <c r="D136" i="36"/>
  <c r="J136" i="36" s="1"/>
  <c r="D137" i="36"/>
  <c r="J137" i="36" s="1"/>
  <c r="D138" i="36"/>
  <c r="J138" i="36" s="1"/>
  <c r="D139" i="36"/>
  <c r="J139" i="36" s="1"/>
  <c r="D140" i="36"/>
  <c r="J140" i="36" s="1"/>
  <c r="D141" i="36"/>
  <c r="J141" i="36" s="1"/>
  <c r="D142" i="36"/>
  <c r="J142" i="36" s="1"/>
  <c r="D143" i="36"/>
  <c r="J143" i="36" s="1"/>
  <c r="D144" i="36"/>
  <c r="J144" i="36" s="1"/>
  <c r="D145" i="36"/>
  <c r="J145" i="36" s="1"/>
  <c r="D146" i="36"/>
  <c r="J146" i="36" s="1"/>
  <c r="D147" i="36"/>
  <c r="J147" i="36" s="1"/>
  <c r="D148" i="36"/>
  <c r="J148" i="36" s="1"/>
  <c r="D149" i="36"/>
  <c r="J149" i="36" s="1"/>
  <c r="D150" i="36"/>
  <c r="J150" i="36" s="1"/>
  <c r="D151" i="36"/>
  <c r="J151" i="36" s="1"/>
  <c r="D152" i="36"/>
  <c r="J152" i="36" s="1"/>
  <c r="D153" i="36"/>
  <c r="J153" i="36" s="1"/>
  <c r="D154" i="36"/>
  <c r="J154" i="36" s="1"/>
  <c r="D155" i="36"/>
  <c r="J155" i="36" s="1"/>
  <c r="D156" i="36"/>
  <c r="J156" i="36" s="1"/>
  <c r="D157" i="36"/>
  <c r="J157" i="36" s="1"/>
  <c r="D158" i="36"/>
  <c r="J158" i="36" s="1"/>
  <c r="D159" i="36"/>
  <c r="J159" i="36" s="1"/>
  <c r="D160" i="36"/>
  <c r="J160" i="36" s="1"/>
  <c r="D161" i="36"/>
  <c r="J161" i="36" s="1"/>
  <c r="D162" i="36"/>
  <c r="J162" i="36" s="1"/>
  <c r="D163" i="36"/>
  <c r="J163" i="36" s="1"/>
  <c r="D164" i="36"/>
  <c r="J164" i="36" s="1"/>
  <c r="D165" i="36"/>
  <c r="J165" i="36" s="1"/>
  <c r="D166" i="36"/>
  <c r="J166" i="36" s="1"/>
  <c r="D167" i="36"/>
  <c r="J167" i="36" s="1"/>
  <c r="D168" i="36"/>
  <c r="J168" i="36" s="1"/>
  <c r="D169" i="36"/>
  <c r="J169" i="36" s="1"/>
  <c r="D170" i="36"/>
  <c r="J170" i="36" s="1"/>
  <c r="D171" i="36"/>
  <c r="J171" i="36" s="1"/>
  <c r="D172" i="36"/>
  <c r="J172" i="36" s="1"/>
  <c r="D173" i="36"/>
  <c r="J173" i="36" s="1"/>
  <c r="D174" i="36"/>
  <c r="J174" i="36" s="1"/>
  <c r="D175" i="36"/>
  <c r="J175" i="36" s="1"/>
  <c r="D176" i="36"/>
  <c r="J176" i="36" s="1"/>
  <c r="D177" i="36"/>
  <c r="J177" i="36" s="1"/>
  <c r="D178" i="36"/>
  <c r="J178" i="36" s="1"/>
  <c r="D179" i="36"/>
  <c r="J179" i="36" s="1"/>
  <c r="D180" i="36"/>
  <c r="J180" i="36" s="1"/>
  <c r="D181" i="36"/>
  <c r="J181" i="36" s="1"/>
  <c r="D182" i="36"/>
  <c r="J182" i="36" s="1"/>
  <c r="D183" i="36"/>
  <c r="J183" i="36" s="1"/>
  <c r="D184" i="36"/>
  <c r="J184" i="36" s="1"/>
  <c r="D185" i="36"/>
  <c r="J185" i="36" s="1"/>
  <c r="D186" i="36"/>
  <c r="J186" i="36" s="1"/>
  <c r="D187" i="36"/>
  <c r="J187" i="36" s="1"/>
  <c r="D188" i="36"/>
  <c r="J188" i="36" s="1"/>
  <c r="D189" i="36"/>
  <c r="J189" i="36" s="1"/>
  <c r="D190" i="36"/>
  <c r="J190" i="36" s="1"/>
  <c r="D191" i="36"/>
  <c r="J191" i="36" s="1"/>
  <c r="D192" i="36"/>
  <c r="J192" i="36" s="1"/>
  <c r="D193" i="36"/>
  <c r="J193" i="36" s="1"/>
  <c r="D194" i="36"/>
  <c r="J194" i="36" s="1"/>
  <c r="D195" i="36"/>
  <c r="J195" i="36" s="1"/>
  <c r="D196" i="36"/>
  <c r="J196" i="36" s="1"/>
  <c r="D197" i="36"/>
  <c r="J197" i="36" s="1"/>
  <c r="D198" i="36"/>
  <c r="J198" i="36" s="1"/>
  <c r="D199" i="36"/>
  <c r="J199" i="36" s="1"/>
  <c r="D200" i="36"/>
  <c r="J200" i="36" s="1"/>
  <c r="D201" i="36"/>
  <c r="J201" i="36" s="1"/>
  <c r="D202" i="36"/>
  <c r="J202" i="36" s="1"/>
  <c r="D203" i="36"/>
  <c r="J203" i="36" s="1"/>
  <c r="D204" i="36"/>
  <c r="J204" i="36" s="1"/>
  <c r="D205" i="36"/>
  <c r="J205" i="36" s="1"/>
  <c r="D206" i="36"/>
  <c r="J206" i="36" s="1"/>
  <c r="D207" i="36"/>
  <c r="J207" i="36" s="1"/>
  <c r="D208" i="36"/>
  <c r="J208" i="36" s="1"/>
  <c r="D9" i="36"/>
  <c r="G9" i="23"/>
  <c r="L209" i="22"/>
  <c r="L121" i="22"/>
  <c r="L122" i="22"/>
  <c r="L123" i="22"/>
  <c r="L124" i="22"/>
  <c r="L125" i="22"/>
  <c r="L126" i="22"/>
  <c r="L127" i="22"/>
  <c r="L128" i="22"/>
  <c r="L129" i="22"/>
  <c r="L130" i="22"/>
  <c r="L131" i="22"/>
  <c r="L132" i="22"/>
  <c r="L133" i="22"/>
  <c r="L134" i="22"/>
  <c r="L135" i="22"/>
  <c r="L136" i="22"/>
  <c r="L137" i="22"/>
  <c r="L138" i="22"/>
  <c r="L139" i="22"/>
  <c r="L140" i="22"/>
  <c r="L141" i="22"/>
  <c r="L142" i="22"/>
  <c r="L143" i="22"/>
  <c r="L144" i="22"/>
  <c r="L145" i="22"/>
  <c r="L146" i="22"/>
  <c r="L147" i="22"/>
  <c r="L148" i="22"/>
  <c r="L149" i="22"/>
  <c r="L150" i="22"/>
  <c r="L151" i="22"/>
  <c r="L152" i="22"/>
  <c r="L153" i="22"/>
  <c r="L154" i="22"/>
  <c r="L155" i="22"/>
  <c r="L156" i="22"/>
  <c r="L157" i="22"/>
  <c r="L158" i="22"/>
  <c r="L159" i="22"/>
  <c r="L160" i="22"/>
  <c r="L161" i="22"/>
  <c r="L162" i="22"/>
  <c r="L163" i="22"/>
  <c r="L164" i="22"/>
  <c r="L165" i="22"/>
  <c r="L166" i="22"/>
  <c r="L167" i="22"/>
  <c r="L168" i="22"/>
  <c r="L169" i="22"/>
  <c r="L170" i="22"/>
  <c r="L171" i="22"/>
  <c r="L172" i="22"/>
  <c r="L173" i="22"/>
  <c r="L174" i="22"/>
  <c r="L175" i="22"/>
  <c r="L176" i="22"/>
  <c r="L177" i="22"/>
  <c r="L178" i="22"/>
  <c r="L179" i="22"/>
  <c r="L180" i="22"/>
  <c r="L181" i="22"/>
  <c r="L182" i="22"/>
  <c r="L183" i="22"/>
  <c r="L184" i="22"/>
  <c r="L185" i="22"/>
  <c r="L186" i="22"/>
  <c r="L187" i="22"/>
  <c r="L188" i="22"/>
  <c r="L189" i="22"/>
  <c r="L190" i="22"/>
  <c r="L191" i="22"/>
  <c r="L192" i="22"/>
  <c r="L193" i="22"/>
  <c r="L194" i="22"/>
  <c r="L195" i="22"/>
  <c r="L196" i="22"/>
  <c r="L197" i="22"/>
  <c r="L198" i="22"/>
  <c r="L199" i="22"/>
  <c r="L200" i="22"/>
  <c r="L201" i="22"/>
  <c r="L202" i="22"/>
  <c r="L203" i="22"/>
  <c r="L204" i="22"/>
  <c r="L205" i="22"/>
  <c r="L206" i="22"/>
  <c r="L207" i="22"/>
  <c r="L208" i="22"/>
  <c r="K228" i="22"/>
  <c r="J228" i="22" s="1"/>
  <c r="K265" i="22"/>
  <c r="J265" i="22"/>
  <c r="K266" i="22"/>
  <c r="J266" i="22" s="1"/>
  <c r="K267" i="22"/>
  <c r="J267" i="22"/>
  <c r="K268" i="22"/>
  <c r="J268" i="22" s="1"/>
  <c r="K269" i="22"/>
  <c r="J269" i="22"/>
  <c r="K270" i="22"/>
  <c r="J270" i="22" s="1"/>
  <c r="K271" i="22"/>
  <c r="J271" i="22"/>
  <c r="K272" i="22"/>
  <c r="J272" i="22" s="1"/>
  <c r="K273" i="22"/>
  <c r="J273" i="22"/>
  <c r="K274" i="22"/>
  <c r="J274" i="22" s="1"/>
  <c r="K275" i="22"/>
  <c r="J275" i="22"/>
  <c r="K276" i="22"/>
  <c r="J276" i="22" s="1"/>
  <c r="K277" i="22"/>
  <c r="J277" i="22"/>
  <c r="K278" i="22"/>
  <c r="J278" i="22" s="1"/>
  <c r="K279" i="22"/>
  <c r="J279" i="22"/>
  <c r="K280" i="22"/>
  <c r="J280" i="22" s="1"/>
  <c r="K281" i="22"/>
  <c r="J281" i="22"/>
  <c r="K282" i="22"/>
  <c r="J282" i="22" s="1"/>
  <c r="K283" i="22"/>
  <c r="J283" i="22"/>
  <c r="K284" i="22"/>
  <c r="J284" i="22" s="1"/>
  <c r="K285" i="22"/>
  <c r="J285" i="22"/>
  <c r="K286" i="22"/>
  <c r="J286" i="22" s="1"/>
  <c r="K287" i="22"/>
  <c r="J287" i="22"/>
  <c r="K288" i="22"/>
  <c r="J288" i="22" s="1"/>
  <c r="K289" i="22"/>
  <c r="J289" i="22"/>
  <c r="K290" i="22"/>
  <c r="J290" i="22" s="1"/>
  <c r="K291" i="22"/>
  <c r="J291" i="22"/>
  <c r="K292" i="22"/>
  <c r="J292" i="22" s="1"/>
  <c r="K293" i="22"/>
  <c r="J293" i="22"/>
  <c r="K294" i="22"/>
  <c r="J294" i="22" s="1"/>
  <c r="K295" i="22"/>
  <c r="J295" i="22"/>
  <c r="K296" i="22"/>
  <c r="J296" i="22" s="1"/>
  <c r="K297" i="22"/>
  <c r="J297" i="22"/>
  <c r="K298" i="22"/>
  <c r="J298" i="22" s="1"/>
  <c r="K299" i="22"/>
  <c r="J299" i="22"/>
  <c r="K300" i="22"/>
  <c r="J300" i="22" s="1"/>
  <c r="K301" i="22"/>
  <c r="J301" i="22"/>
  <c r="K302" i="22"/>
  <c r="J302" i="22" s="1"/>
  <c r="K303" i="22"/>
  <c r="J303" i="22"/>
  <c r="K304" i="22"/>
  <c r="J304" i="22" s="1"/>
  <c r="K305" i="22"/>
  <c r="J305" i="22"/>
  <c r="K306" i="22"/>
  <c r="J306" i="22" s="1"/>
  <c r="K307" i="22"/>
  <c r="J307" i="22"/>
  <c r="K308" i="22"/>
  <c r="J308" i="22" s="1"/>
  <c r="K309" i="22"/>
  <c r="J309" i="22"/>
  <c r="K310" i="22"/>
  <c r="J310" i="22" s="1"/>
  <c r="K311" i="22"/>
  <c r="J311" i="22"/>
  <c r="K312" i="22"/>
  <c r="J312" i="22" s="1"/>
  <c r="K313" i="22"/>
  <c r="J313" i="22"/>
  <c r="K314" i="22"/>
  <c r="J314" i="22" s="1"/>
  <c r="K315" i="22"/>
  <c r="J315" i="22"/>
  <c r="K316" i="22"/>
  <c r="J316" i="22" s="1"/>
  <c r="G11" i="22"/>
  <c r="H2" i="29"/>
  <c r="H2" i="38"/>
  <c r="I2" i="25"/>
  <c r="G2" i="24"/>
  <c r="H10" i="22"/>
  <c r="G203" i="22"/>
  <c r="H3" i="29"/>
  <c r="H3" i="38"/>
  <c r="C4" i="24"/>
  <c r="C3" i="24"/>
  <c r="G3" i="24"/>
  <c r="I3" i="25"/>
  <c r="I2" i="23"/>
  <c r="H3" i="36"/>
  <c r="H2" i="36"/>
  <c r="C4" i="26"/>
  <c r="C3" i="26"/>
  <c r="C2" i="26"/>
  <c r="D2" i="39"/>
  <c r="B2" i="39"/>
  <c r="L9" i="26" a="1"/>
  <c r="L9" i="26" s="1"/>
  <c r="L10" i="26" s="1" a="1"/>
  <c r="L10" i="26" s="1"/>
  <c r="M8" i="26" a="1"/>
  <c r="M8" i="26" s="1"/>
  <c r="M61" i="26" s="1"/>
  <c r="C244" i="39"/>
  <c r="A244" i="39" s="1"/>
  <c r="K9" i="38" a="1"/>
  <c r="K9" i="38" s="1"/>
  <c r="K10" i="38" s="1" a="1"/>
  <c r="K10" i="38" s="1"/>
  <c r="L10" i="38" s="1"/>
  <c r="I58" i="38"/>
  <c r="I57" i="38"/>
  <c r="I56" i="38"/>
  <c r="I55" i="38"/>
  <c r="I54" i="38"/>
  <c r="I53" i="38"/>
  <c r="I52" i="38"/>
  <c r="I51" i="38"/>
  <c r="I50" i="38"/>
  <c r="I49" i="38"/>
  <c r="I48" i="38"/>
  <c r="I47" i="38"/>
  <c r="I46" i="38"/>
  <c r="I45" i="38"/>
  <c r="I44" i="38"/>
  <c r="I43" i="38"/>
  <c r="I42" i="38"/>
  <c r="I41" i="38"/>
  <c r="I40" i="38"/>
  <c r="I39" i="38"/>
  <c r="I38" i="38"/>
  <c r="I37" i="38"/>
  <c r="I36" i="38"/>
  <c r="I35" i="38"/>
  <c r="I34" i="38"/>
  <c r="I33" i="38"/>
  <c r="I32" i="38"/>
  <c r="I31" i="38"/>
  <c r="I30" i="38"/>
  <c r="I29" i="38"/>
  <c r="I28" i="38"/>
  <c r="I27" i="38"/>
  <c r="I26" i="38"/>
  <c r="I25" i="38"/>
  <c r="I24" i="38"/>
  <c r="I23" i="38"/>
  <c r="I22" i="38"/>
  <c r="I21" i="38"/>
  <c r="I20" i="38"/>
  <c r="I19" i="38"/>
  <c r="I18" i="38"/>
  <c r="I17" i="38"/>
  <c r="I16" i="38"/>
  <c r="I15" i="38"/>
  <c r="I14" i="38"/>
  <c r="I13" i="38"/>
  <c r="I12" i="38"/>
  <c r="I11" i="38"/>
  <c r="I10" i="38"/>
  <c r="L8" i="38" a="1"/>
  <c r="L8" i="38" s="1"/>
  <c r="L61" i="38" s="1"/>
  <c r="H58" i="26"/>
  <c r="H57" i="26"/>
  <c r="H56" i="26"/>
  <c r="H55" i="26"/>
  <c r="H54" i="26"/>
  <c r="H53" i="26"/>
  <c r="H52" i="26"/>
  <c r="H51" i="26"/>
  <c r="H50" i="26"/>
  <c r="H49" i="26"/>
  <c r="H48" i="26"/>
  <c r="H47" i="26"/>
  <c r="H46" i="26"/>
  <c r="H45" i="26"/>
  <c r="H44" i="26"/>
  <c r="H43" i="26"/>
  <c r="H42" i="26"/>
  <c r="H41" i="26"/>
  <c r="H40" i="26"/>
  <c r="H39" i="26"/>
  <c r="H38" i="26"/>
  <c r="H37" i="26"/>
  <c r="H36" i="26"/>
  <c r="H35" i="26"/>
  <c r="H34" i="26"/>
  <c r="H33" i="26"/>
  <c r="H32" i="26"/>
  <c r="H31" i="26"/>
  <c r="H30" i="26"/>
  <c r="H29" i="26"/>
  <c r="H28" i="26"/>
  <c r="H27" i="26"/>
  <c r="H26" i="26"/>
  <c r="H25" i="26"/>
  <c r="H24" i="26"/>
  <c r="H23" i="26"/>
  <c r="H22" i="26"/>
  <c r="H21" i="26"/>
  <c r="H20" i="26"/>
  <c r="H19" i="26"/>
  <c r="H18" i="26"/>
  <c r="H17" i="26"/>
  <c r="H16" i="26"/>
  <c r="H15" i="26"/>
  <c r="H14" i="26"/>
  <c r="H13" i="26"/>
  <c r="H12" i="26"/>
  <c r="C566" i="39"/>
  <c r="A566" i="39" s="1"/>
  <c r="H11" i="26"/>
  <c r="C512" i="39"/>
  <c r="A512" i="39" s="1"/>
  <c r="H10" i="26"/>
  <c r="H9" i="26"/>
  <c r="C351" i="39"/>
  <c r="A351" i="39" s="1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G33" i="38"/>
  <c r="G32" i="38"/>
  <c r="G31" i="38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G14" i="38"/>
  <c r="G13" i="38"/>
  <c r="G12" i="38"/>
  <c r="G11" i="38"/>
  <c r="G10" i="38"/>
  <c r="G9" i="38"/>
  <c r="C2" i="24"/>
  <c r="I3" i="23"/>
  <c r="D4" i="23"/>
  <c r="D3" i="23"/>
  <c r="D2" i="23"/>
  <c r="D4" i="36"/>
  <c r="D3" i="36"/>
  <c r="D2" i="36"/>
  <c r="C4" i="29"/>
  <c r="C3" i="29"/>
  <c r="C2" i="29"/>
  <c r="C4" i="38"/>
  <c r="C3" i="38"/>
  <c r="C2" i="38"/>
  <c r="C4" i="25"/>
  <c r="C3" i="25"/>
  <c r="C2" i="25"/>
  <c r="C190" i="39"/>
  <c r="A190" i="39"/>
  <c r="C136" i="39"/>
  <c r="A136" i="39" s="1"/>
  <c r="L60" i="38"/>
  <c r="L316" i="22"/>
  <c r="L315" i="22"/>
  <c r="L314" i="22"/>
  <c r="L313" i="22"/>
  <c r="L312" i="22"/>
  <c r="L311" i="22"/>
  <c r="L310" i="22"/>
  <c r="L309" i="22"/>
  <c r="L308" i="22"/>
  <c r="L307" i="22"/>
  <c r="L306" i="22"/>
  <c r="L305" i="22"/>
  <c r="L304" i="22"/>
  <c r="L303" i="22"/>
  <c r="L302" i="22"/>
  <c r="L301" i="22"/>
  <c r="L300" i="22"/>
  <c r="L299" i="22"/>
  <c r="L298" i="22"/>
  <c r="L297" i="22"/>
  <c r="L296" i="22"/>
  <c r="L295" i="22"/>
  <c r="L294" i="22"/>
  <c r="L293" i="22"/>
  <c r="L292" i="22"/>
  <c r="L291" i="22"/>
  <c r="L290" i="22"/>
  <c r="L289" i="22"/>
  <c r="L288" i="22"/>
  <c r="L287" i="22"/>
  <c r="L286" i="22"/>
  <c r="L285" i="22"/>
  <c r="L284" i="22"/>
  <c r="L283" i="22"/>
  <c r="L282" i="22"/>
  <c r="L281" i="22"/>
  <c r="L280" i="22"/>
  <c r="L279" i="22"/>
  <c r="L278" i="22"/>
  <c r="L277" i="22"/>
  <c r="L276" i="22"/>
  <c r="L275" i="22"/>
  <c r="L274" i="22"/>
  <c r="L273" i="22"/>
  <c r="L272" i="22"/>
  <c r="L271" i="22"/>
  <c r="L270" i="22"/>
  <c r="L269" i="22"/>
  <c r="L268" i="22"/>
  <c r="L267" i="22"/>
  <c r="L266" i="22"/>
  <c r="L265" i="22"/>
  <c r="G218" i="22"/>
  <c r="K218" i="22"/>
  <c r="J218" i="22" s="1"/>
  <c r="H218" i="22"/>
  <c r="I218" i="22"/>
  <c r="G219" i="22"/>
  <c r="K219" i="22"/>
  <c r="J219" i="22" s="1"/>
  <c r="H219" i="22"/>
  <c r="I219" i="22"/>
  <c r="G220" i="22"/>
  <c r="K220" i="22"/>
  <c r="J220" i="22" s="1"/>
  <c r="H220" i="22"/>
  <c r="I220" i="22"/>
  <c r="G221" i="22"/>
  <c r="K221" i="22"/>
  <c r="J221" i="22" s="1"/>
  <c r="H221" i="22"/>
  <c r="I221" i="22"/>
  <c r="G222" i="22"/>
  <c r="K222" i="22"/>
  <c r="J222" i="22" s="1"/>
  <c r="H222" i="22"/>
  <c r="I222" i="22"/>
  <c r="G223" i="22"/>
  <c r="K223" i="22"/>
  <c r="J223" i="22" s="1"/>
  <c r="H223" i="22"/>
  <c r="I223" i="22"/>
  <c r="G224" i="22"/>
  <c r="K224" i="22"/>
  <c r="J224" i="22"/>
  <c r="H224" i="22"/>
  <c r="I224" i="22"/>
  <c r="G225" i="22"/>
  <c r="K225" i="22"/>
  <c r="J225" i="22"/>
  <c r="H225" i="22"/>
  <c r="I225" i="22"/>
  <c r="G226" i="22"/>
  <c r="K226" i="22"/>
  <c r="J226" i="22" s="1"/>
  <c r="H226" i="22"/>
  <c r="I226" i="22"/>
  <c r="G227" i="22"/>
  <c r="K227" i="22"/>
  <c r="J227" i="22"/>
  <c r="H227" i="22"/>
  <c r="I227" i="22"/>
  <c r="I228" i="22"/>
  <c r="L228" i="22"/>
  <c r="K229" i="22"/>
  <c r="J229" i="22" s="1"/>
  <c r="I229" i="22"/>
  <c r="G230" i="22"/>
  <c r="I230" i="22"/>
  <c r="G231" i="22"/>
  <c r="K231" i="22"/>
  <c r="J231" i="22"/>
  <c r="H231" i="22"/>
  <c r="I231" i="22"/>
  <c r="G232" i="22"/>
  <c r="K232" i="22"/>
  <c r="J232" i="22"/>
  <c r="H232" i="22"/>
  <c r="I232" i="22"/>
  <c r="G233" i="22"/>
  <c r="K233" i="22"/>
  <c r="J233" i="22" s="1"/>
  <c r="H233" i="22"/>
  <c r="I233" i="22"/>
  <c r="G234" i="22"/>
  <c r="H234" i="22"/>
  <c r="I234" i="22"/>
  <c r="G235" i="22"/>
  <c r="K235" i="22"/>
  <c r="J235" i="22" s="1"/>
  <c r="H235" i="22"/>
  <c r="I235" i="22"/>
  <c r="G236" i="22"/>
  <c r="K236" i="22"/>
  <c r="J236" i="22" s="1"/>
  <c r="H236" i="22"/>
  <c r="I236" i="22"/>
  <c r="G237" i="22"/>
  <c r="K237" i="22"/>
  <c r="J237" i="22"/>
  <c r="H237" i="22"/>
  <c r="I237" i="22"/>
  <c r="G238" i="22"/>
  <c r="H238" i="22"/>
  <c r="I238" i="22"/>
  <c r="G239" i="22"/>
  <c r="K239" i="22"/>
  <c r="J239" i="22"/>
  <c r="H239" i="22"/>
  <c r="I239" i="22"/>
  <c r="G240" i="22"/>
  <c r="K240" i="22"/>
  <c r="J240" i="22" s="1"/>
  <c r="H240" i="22"/>
  <c r="I240" i="22"/>
  <c r="G241" i="22"/>
  <c r="K241" i="22"/>
  <c r="J241" i="22" s="1"/>
  <c r="H241" i="22"/>
  <c r="I241" i="22"/>
  <c r="G242" i="22"/>
  <c r="H242" i="22"/>
  <c r="I242" i="22"/>
  <c r="G243" i="22"/>
  <c r="K243" i="22"/>
  <c r="J243" i="22"/>
  <c r="H243" i="22"/>
  <c r="I243" i="22"/>
  <c r="G244" i="22"/>
  <c r="K244" i="22"/>
  <c r="J244" i="22" s="1"/>
  <c r="H244" i="22"/>
  <c r="I244" i="22"/>
  <c r="G245" i="22"/>
  <c r="K245" i="22"/>
  <c r="J245" i="22" s="1"/>
  <c r="H245" i="22"/>
  <c r="I245" i="22"/>
  <c r="G246" i="22"/>
  <c r="H246" i="22"/>
  <c r="I246" i="22"/>
  <c r="G247" i="22"/>
  <c r="K247" i="22"/>
  <c r="J247" i="22"/>
  <c r="H247" i="22"/>
  <c r="I247" i="22"/>
  <c r="G248" i="22"/>
  <c r="K248" i="22"/>
  <c r="J248" i="22" s="1"/>
  <c r="H248" i="22"/>
  <c r="I248" i="22"/>
  <c r="G249" i="22"/>
  <c r="K249" i="22"/>
  <c r="J249" i="22"/>
  <c r="H249" i="22"/>
  <c r="I249" i="22"/>
  <c r="G250" i="22"/>
  <c r="H250" i="22"/>
  <c r="I250" i="22"/>
  <c r="G251" i="22"/>
  <c r="K251" i="22"/>
  <c r="J251" i="22" s="1"/>
  <c r="H251" i="22"/>
  <c r="I251" i="22"/>
  <c r="G252" i="22"/>
  <c r="K252" i="22"/>
  <c r="J252" i="22" s="1"/>
  <c r="H252" i="22"/>
  <c r="I252" i="22"/>
  <c r="G253" i="22"/>
  <c r="K253" i="22"/>
  <c r="J253" i="22" s="1"/>
  <c r="H253" i="22"/>
  <c r="I253" i="22"/>
  <c r="G254" i="22"/>
  <c r="K254" i="22"/>
  <c r="J254" i="22" s="1"/>
  <c r="H254" i="22"/>
  <c r="I254" i="22"/>
  <c r="G255" i="22"/>
  <c r="K255" i="22"/>
  <c r="J255" i="22"/>
  <c r="H255" i="22"/>
  <c r="I255" i="22"/>
  <c r="G256" i="22"/>
  <c r="K256" i="22"/>
  <c r="J256" i="22" s="1"/>
  <c r="H256" i="22"/>
  <c r="I256" i="22"/>
  <c r="G257" i="22"/>
  <c r="K257" i="22"/>
  <c r="J257" i="22"/>
  <c r="H257" i="22"/>
  <c r="I257" i="22"/>
  <c r="G258" i="22"/>
  <c r="K258" i="22"/>
  <c r="J258" i="22" s="1"/>
  <c r="H258" i="22"/>
  <c r="I258" i="22"/>
  <c r="G259" i="22"/>
  <c r="K259" i="22"/>
  <c r="J259" i="22" s="1"/>
  <c r="H259" i="22"/>
  <c r="I259" i="22"/>
  <c r="G260" i="22"/>
  <c r="K260" i="22"/>
  <c r="J260" i="22"/>
  <c r="H260" i="22"/>
  <c r="I260" i="22"/>
  <c r="G261" i="22"/>
  <c r="K261" i="22"/>
  <c r="J261" i="22" s="1"/>
  <c r="H261" i="22"/>
  <c r="I261" i="22"/>
  <c r="G262" i="22"/>
  <c r="K262" i="22"/>
  <c r="J262" i="22" s="1"/>
  <c r="H262" i="22"/>
  <c r="I262" i="22"/>
  <c r="G263" i="22"/>
  <c r="K263" i="22"/>
  <c r="J263" i="22" s="1"/>
  <c r="H263" i="22"/>
  <c r="I263" i="22"/>
  <c r="G264" i="22"/>
  <c r="K264" i="22"/>
  <c r="J264" i="22" s="1"/>
  <c r="H264" i="22"/>
  <c r="I264" i="22"/>
  <c r="G265" i="22"/>
  <c r="H265" i="22"/>
  <c r="I265" i="22"/>
  <c r="G266" i="22"/>
  <c r="H266" i="22"/>
  <c r="I266" i="22"/>
  <c r="G267" i="22"/>
  <c r="H267" i="22"/>
  <c r="I267" i="22"/>
  <c r="G268" i="22"/>
  <c r="H268" i="22"/>
  <c r="I268" i="22"/>
  <c r="G269" i="22"/>
  <c r="H269" i="22"/>
  <c r="I269" i="22"/>
  <c r="G270" i="22"/>
  <c r="H270" i="22"/>
  <c r="I270" i="22"/>
  <c r="G271" i="22"/>
  <c r="H271" i="22"/>
  <c r="I271" i="22"/>
  <c r="G272" i="22"/>
  <c r="H272" i="22"/>
  <c r="I272" i="22"/>
  <c r="G273" i="22"/>
  <c r="H273" i="22"/>
  <c r="I273" i="22"/>
  <c r="G274" i="22"/>
  <c r="H274" i="22"/>
  <c r="I274" i="22"/>
  <c r="G275" i="22"/>
  <c r="H275" i="22"/>
  <c r="I275" i="22"/>
  <c r="G276" i="22"/>
  <c r="H276" i="22"/>
  <c r="I276" i="22"/>
  <c r="G277" i="22"/>
  <c r="H277" i="22"/>
  <c r="I277" i="22"/>
  <c r="G278" i="22"/>
  <c r="H278" i="22"/>
  <c r="I278" i="22"/>
  <c r="G279" i="22"/>
  <c r="H279" i="22"/>
  <c r="I279" i="22"/>
  <c r="G280" i="22"/>
  <c r="H280" i="22"/>
  <c r="I280" i="22"/>
  <c r="G281" i="22"/>
  <c r="H281" i="22"/>
  <c r="I281" i="22"/>
  <c r="G282" i="22"/>
  <c r="H282" i="22"/>
  <c r="I282" i="22"/>
  <c r="G283" i="22"/>
  <c r="H283" i="22"/>
  <c r="I283" i="22"/>
  <c r="G284" i="22"/>
  <c r="H284" i="22"/>
  <c r="I284" i="22"/>
  <c r="G285" i="22"/>
  <c r="H285" i="22"/>
  <c r="I285" i="22"/>
  <c r="G286" i="22"/>
  <c r="H286" i="22"/>
  <c r="I286" i="22"/>
  <c r="G287" i="22"/>
  <c r="H287" i="22"/>
  <c r="I287" i="22"/>
  <c r="G288" i="22"/>
  <c r="H288" i="22"/>
  <c r="I288" i="22"/>
  <c r="G289" i="22"/>
  <c r="H289" i="22"/>
  <c r="I289" i="22"/>
  <c r="G290" i="22"/>
  <c r="H290" i="22"/>
  <c r="I290" i="22"/>
  <c r="G291" i="22"/>
  <c r="H291" i="22"/>
  <c r="I291" i="22"/>
  <c r="G292" i="22"/>
  <c r="H292" i="22"/>
  <c r="I292" i="22"/>
  <c r="G293" i="22"/>
  <c r="H293" i="22"/>
  <c r="I293" i="22"/>
  <c r="G294" i="22"/>
  <c r="H294" i="22"/>
  <c r="I294" i="22"/>
  <c r="G295" i="22"/>
  <c r="H295" i="22"/>
  <c r="I295" i="22"/>
  <c r="G296" i="22"/>
  <c r="H296" i="22"/>
  <c r="I296" i="22"/>
  <c r="G297" i="22"/>
  <c r="H297" i="22"/>
  <c r="I297" i="22"/>
  <c r="G298" i="22"/>
  <c r="H298" i="22"/>
  <c r="I298" i="22"/>
  <c r="G299" i="22"/>
  <c r="H299" i="22"/>
  <c r="I299" i="22"/>
  <c r="G300" i="22"/>
  <c r="H300" i="22"/>
  <c r="I300" i="22"/>
  <c r="G301" i="22"/>
  <c r="H301" i="22"/>
  <c r="I301" i="22"/>
  <c r="G302" i="22"/>
  <c r="H302" i="22"/>
  <c r="I302" i="22"/>
  <c r="G303" i="22"/>
  <c r="H303" i="22"/>
  <c r="I303" i="22"/>
  <c r="G304" i="22"/>
  <c r="H304" i="22"/>
  <c r="I304" i="22"/>
  <c r="G305" i="22"/>
  <c r="H305" i="22"/>
  <c r="I305" i="22"/>
  <c r="G306" i="22"/>
  <c r="H306" i="22"/>
  <c r="I306" i="22"/>
  <c r="G307" i="22"/>
  <c r="H307" i="22"/>
  <c r="I307" i="22"/>
  <c r="G308" i="22"/>
  <c r="H308" i="22"/>
  <c r="I308" i="22"/>
  <c r="G309" i="22"/>
  <c r="H309" i="22"/>
  <c r="I309" i="22"/>
  <c r="G310" i="22"/>
  <c r="H310" i="22"/>
  <c r="I310" i="22"/>
  <c r="G311" i="22"/>
  <c r="H311" i="22"/>
  <c r="I311" i="22"/>
  <c r="G312" i="22"/>
  <c r="H312" i="22"/>
  <c r="I312" i="22"/>
  <c r="G313" i="22"/>
  <c r="H313" i="22"/>
  <c r="I313" i="22"/>
  <c r="G314" i="22"/>
  <c r="H314" i="22"/>
  <c r="I314" i="22"/>
  <c r="G315" i="22"/>
  <c r="H315" i="22"/>
  <c r="I315" i="22"/>
  <c r="G316" i="22"/>
  <c r="H316" i="22"/>
  <c r="I316" i="22"/>
  <c r="I217" i="22"/>
  <c r="H217" i="22"/>
  <c r="G217" i="22"/>
  <c r="K129" i="22"/>
  <c r="J129" i="22" s="1"/>
  <c r="K145" i="22"/>
  <c r="J145" i="22" s="1"/>
  <c r="K161" i="22"/>
  <c r="J161" i="22"/>
  <c r="K177" i="22"/>
  <c r="J177" i="22" s="1"/>
  <c r="K193" i="22"/>
  <c r="J193" i="22"/>
  <c r="K203" i="22"/>
  <c r="J203" i="22" s="1"/>
  <c r="K205" i="22"/>
  <c r="J205" i="22" s="1"/>
  <c r="K207" i="22"/>
  <c r="J207" i="22"/>
  <c r="K209" i="22"/>
  <c r="J209" i="22" s="1"/>
  <c r="G209" i="22"/>
  <c r="G208" i="22"/>
  <c r="K208" i="22"/>
  <c r="J208" i="22" s="1"/>
  <c r="G207" i="22"/>
  <c r="G206" i="22"/>
  <c r="G205" i="22"/>
  <c r="G204" i="22"/>
  <c r="K204" i="22"/>
  <c r="J204" i="22"/>
  <c r="G202" i="22"/>
  <c r="K202" i="22"/>
  <c r="J202" i="22" s="1"/>
  <c r="G201" i="22"/>
  <c r="G200" i="22"/>
  <c r="K200" i="22"/>
  <c r="J200" i="22" s="1"/>
  <c r="G199" i="22"/>
  <c r="K199" i="22"/>
  <c r="J199" i="22"/>
  <c r="G198" i="22"/>
  <c r="K198" i="22"/>
  <c r="J198" i="22"/>
  <c r="G197" i="22"/>
  <c r="G196" i="22"/>
  <c r="K196" i="22"/>
  <c r="J196" i="22" s="1"/>
  <c r="G195" i="22"/>
  <c r="K195" i="22"/>
  <c r="J195" i="22" s="1"/>
  <c r="G194" i="22"/>
  <c r="K194" i="22"/>
  <c r="J194" i="22"/>
  <c r="G193" i="22"/>
  <c r="G192" i="22"/>
  <c r="K192" i="22"/>
  <c r="J192" i="22" s="1"/>
  <c r="G191" i="22"/>
  <c r="K191" i="22"/>
  <c r="J191" i="22"/>
  <c r="G190" i="22"/>
  <c r="K190" i="22"/>
  <c r="J190" i="22" s="1"/>
  <c r="G189" i="22"/>
  <c r="K189" i="22"/>
  <c r="J189" i="22"/>
  <c r="G188" i="22"/>
  <c r="K188" i="22"/>
  <c r="J188" i="22"/>
  <c r="G187" i="22"/>
  <c r="K187" i="22"/>
  <c r="J187" i="22" s="1"/>
  <c r="G186" i="22"/>
  <c r="K186" i="22"/>
  <c r="J186" i="22" s="1"/>
  <c r="G185" i="22"/>
  <c r="G184" i="22"/>
  <c r="K184" i="22"/>
  <c r="J184" i="22" s="1"/>
  <c r="G183" i="22"/>
  <c r="K183" i="22"/>
  <c r="J183" i="22" s="1"/>
  <c r="G182" i="22"/>
  <c r="K182" i="22"/>
  <c r="J182" i="22" s="1"/>
  <c r="G181" i="22"/>
  <c r="G180" i="22"/>
  <c r="K180" i="22"/>
  <c r="J180" i="22" s="1"/>
  <c r="G179" i="22"/>
  <c r="K179" i="22"/>
  <c r="J179" i="22" s="1"/>
  <c r="G178" i="22"/>
  <c r="K178" i="22"/>
  <c r="J178" i="22"/>
  <c r="G177" i="22"/>
  <c r="G176" i="22"/>
  <c r="K176" i="22"/>
  <c r="J176" i="22" s="1"/>
  <c r="G175" i="22"/>
  <c r="K175" i="22"/>
  <c r="J175" i="22"/>
  <c r="G174" i="22"/>
  <c r="K174" i="22"/>
  <c r="J174" i="22"/>
  <c r="G173" i="22"/>
  <c r="K173" i="22"/>
  <c r="J173" i="22" s="1"/>
  <c r="G172" i="22"/>
  <c r="K172" i="22"/>
  <c r="J172" i="22" s="1"/>
  <c r="G171" i="22"/>
  <c r="K171" i="22"/>
  <c r="J171" i="22"/>
  <c r="G170" i="22"/>
  <c r="K170" i="22"/>
  <c r="J170" i="22" s="1"/>
  <c r="G169" i="22"/>
  <c r="G168" i="22"/>
  <c r="K168" i="22"/>
  <c r="J168" i="22" s="1"/>
  <c r="G167" i="22"/>
  <c r="K167" i="22"/>
  <c r="J167" i="22" s="1"/>
  <c r="G166" i="22"/>
  <c r="K166" i="22"/>
  <c r="J166" i="22" s="1"/>
  <c r="G165" i="22"/>
  <c r="G164" i="22"/>
  <c r="K164" i="22"/>
  <c r="J164" i="22"/>
  <c r="G163" i="22"/>
  <c r="K163" i="22"/>
  <c r="J163" i="22"/>
  <c r="G162" i="22"/>
  <c r="K162" i="22"/>
  <c r="J162" i="22" s="1"/>
  <c r="G161" i="22"/>
  <c r="G160" i="22"/>
  <c r="K160" i="22"/>
  <c r="J160" i="22" s="1"/>
  <c r="G159" i="22"/>
  <c r="K159" i="22"/>
  <c r="J159" i="22" s="1"/>
  <c r="G158" i="22"/>
  <c r="K158" i="22"/>
  <c r="J158" i="22"/>
  <c r="G157" i="22"/>
  <c r="K157" i="22"/>
  <c r="J157" i="22" s="1"/>
  <c r="G156" i="22"/>
  <c r="K156" i="22"/>
  <c r="J156" i="22"/>
  <c r="G155" i="22"/>
  <c r="K155" i="22"/>
  <c r="J155" i="22" s="1"/>
  <c r="G154" i="22"/>
  <c r="K154" i="22"/>
  <c r="J154" i="22" s="1"/>
  <c r="G153" i="22"/>
  <c r="G152" i="22"/>
  <c r="K152" i="22"/>
  <c r="J152" i="22" s="1"/>
  <c r="G151" i="22"/>
  <c r="K151" i="22"/>
  <c r="J151" i="22" s="1"/>
  <c r="G150" i="22"/>
  <c r="K150" i="22"/>
  <c r="J150" i="22" s="1"/>
  <c r="G149" i="22"/>
  <c r="G148" i="22"/>
  <c r="K148" i="22"/>
  <c r="J148" i="22" s="1"/>
  <c r="G147" i="22"/>
  <c r="K147" i="22"/>
  <c r="J147" i="22" s="1"/>
  <c r="G146" i="22"/>
  <c r="K146" i="22"/>
  <c r="J146" i="22"/>
  <c r="G145" i="22"/>
  <c r="G144" i="22"/>
  <c r="K144" i="22"/>
  <c r="J144" i="22" s="1"/>
  <c r="G143" i="22"/>
  <c r="K143" i="22"/>
  <c r="J143" i="22" s="1"/>
  <c r="G142" i="22"/>
  <c r="K142" i="22"/>
  <c r="J142" i="22"/>
  <c r="G141" i="22"/>
  <c r="K141" i="22"/>
  <c r="J141" i="22" s="1"/>
  <c r="G140" i="22"/>
  <c r="K140" i="22"/>
  <c r="J140" i="22" s="1"/>
  <c r="G139" i="22"/>
  <c r="K139" i="22"/>
  <c r="J139" i="22"/>
  <c r="G138" i="22"/>
  <c r="K138" i="22"/>
  <c r="J138" i="22"/>
  <c r="G137" i="22"/>
  <c r="G136" i="22"/>
  <c r="K136" i="22"/>
  <c r="J136" i="22" s="1"/>
  <c r="G135" i="22"/>
  <c r="K135" i="22"/>
  <c r="J135" i="22" s="1"/>
  <c r="G134" i="22"/>
  <c r="K134" i="22"/>
  <c r="J134" i="22" s="1"/>
  <c r="G133" i="22"/>
  <c r="G132" i="22"/>
  <c r="K132" i="22"/>
  <c r="J132" i="22" s="1"/>
  <c r="G131" i="22"/>
  <c r="K131" i="22"/>
  <c r="J131" i="22"/>
  <c r="G130" i="22"/>
  <c r="K130" i="22"/>
  <c r="J130" i="22" s="1"/>
  <c r="G129" i="22"/>
  <c r="G128" i="22"/>
  <c r="K128" i="22"/>
  <c r="J128" i="22"/>
  <c r="G127" i="22"/>
  <c r="K127" i="22"/>
  <c r="J127" i="22" s="1"/>
  <c r="G126" i="22"/>
  <c r="K126" i="22"/>
  <c r="J126" i="22"/>
  <c r="G125" i="22"/>
  <c r="K125" i="22"/>
  <c r="J125" i="22"/>
  <c r="G124" i="22"/>
  <c r="K124" i="22"/>
  <c r="J124" i="22" s="1"/>
  <c r="G123" i="22"/>
  <c r="K123" i="22"/>
  <c r="J123" i="22" s="1"/>
  <c r="G122" i="22"/>
  <c r="K122" i="22"/>
  <c r="J122" i="22" s="1"/>
  <c r="G121" i="22"/>
  <c r="G120" i="22"/>
  <c r="G119" i="22"/>
  <c r="G118" i="22"/>
  <c r="G117" i="22"/>
  <c r="G116" i="22"/>
  <c r="G115" i="22"/>
  <c r="G114" i="22"/>
  <c r="G113" i="22"/>
  <c r="G112" i="22"/>
  <c r="G111" i="22"/>
  <c r="G110" i="22"/>
  <c r="G109" i="22"/>
  <c r="G108" i="22"/>
  <c r="G107" i="22"/>
  <c r="G106" i="22"/>
  <c r="G105" i="22"/>
  <c r="G104" i="22"/>
  <c r="G103" i="22"/>
  <c r="G102" i="22"/>
  <c r="G101" i="22"/>
  <c r="G100" i="22"/>
  <c r="G99" i="22"/>
  <c r="G98" i="22"/>
  <c r="G97" i="22"/>
  <c r="G96" i="22"/>
  <c r="G95" i="22"/>
  <c r="G94" i="22"/>
  <c r="G93" i="22"/>
  <c r="G92" i="22"/>
  <c r="G91" i="22"/>
  <c r="G90" i="22"/>
  <c r="G89" i="22"/>
  <c r="G88" i="22"/>
  <c r="G87" i="22"/>
  <c r="G86" i="22"/>
  <c r="G85" i="22"/>
  <c r="G84" i="22"/>
  <c r="G83" i="22"/>
  <c r="G82" i="22"/>
  <c r="G81" i="22"/>
  <c r="G80" i="22"/>
  <c r="G79" i="22"/>
  <c r="G78" i="22"/>
  <c r="G77" i="22"/>
  <c r="G76" i="22"/>
  <c r="G75" i="22"/>
  <c r="G74" i="22"/>
  <c r="G73" i="22"/>
  <c r="G72" i="22"/>
  <c r="G71" i="22"/>
  <c r="G70" i="22"/>
  <c r="G69" i="22"/>
  <c r="G68" i="22"/>
  <c r="G67" i="22"/>
  <c r="G66" i="22"/>
  <c r="G65" i="22"/>
  <c r="G64" i="22"/>
  <c r="G63" i="22"/>
  <c r="G62" i="22"/>
  <c r="G61" i="22"/>
  <c r="G60" i="22"/>
  <c r="G59" i="22"/>
  <c r="G58" i="22"/>
  <c r="G57" i="22"/>
  <c r="G56" i="22"/>
  <c r="G55" i="22"/>
  <c r="G54" i="22"/>
  <c r="G53" i="22"/>
  <c r="G52" i="22"/>
  <c r="G51" i="22"/>
  <c r="G50" i="22"/>
  <c r="G49" i="22"/>
  <c r="K41" i="22"/>
  <c r="K40" i="22"/>
  <c r="J40" i="22" s="1"/>
  <c r="K39" i="22"/>
  <c r="K38" i="22"/>
  <c r="G37" i="22"/>
  <c r="G36" i="22"/>
  <c r="G35" i="22"/>
  <c r="G34" i="22"/>
  <c r="G33" i="22"/>
  <c r="G32" i="22"/>
  <c r="G31" i="22"/>
  <c r="G30" i="22"/>
  <c r="G29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K11" i="22"/>
  <c r="L254" i="22"/>
  <c r="L258" i="22"/>
  <c r="L262" i="22"/>
  <c r="L251" i="22"/>
  <c r="L255" i="22"/>
  <c r="L259" i="22"/>
  <c r="L263" i="22"/>
  <c r="L252" i="22"/>
  <c r="L256" i="22"/>
  <c r="L260" i="22"/>
  <c r="L264" i="22"/>
  <c r="L253" i="22"/>
  <c r="L257" i="22"/>
  <c r="L261" i="22"/>
  <c r="K84" i="22"/>
  <c r="J84" i="22" s="1"/>
  <c r="K92" i="22"/>
  <c r="K104" i="22"/>
  <c r="K120" i="22"/>
  <c r="J120" i="22" s="1"/>
  <c r="K93" i="22"/>
  <c r="K109" i="22"/>
  <c r="K88" i="22"/>
  <c r="K100" i="22"/>
  <c r="J100" i="22" s="1"/>
  <c r="K112" i="22"/>
  <c r="J112" i="22" s="1"/>
  <c r="K86" i="22"/>
  <c r="K90" i="22"/>
  <c r="K94" i="22"/>
  <c r="J94" i="22" s="1"/>
  <c r="K98" i="22"/>
  <c r="J98" i="22" s="1"/>
  <c r="K102" i="22"/>
  <c r="K106" i="22"/>
  <c r="K110" i="22"/>
  <c r="K114" i="22"/>
  <c r="K118" i="22"/>
  <c r="K113" i="22"/>
  <c r="K96" i="22"/>
  <c r="J96" i="22" s="1"/>
  <c r="K108" i="22"/>
  <c r="J108" i="22" s="1"/>
  <c r="K116" i="22"/>
  <c r="K83" i="22"/>
  <c r="K87" i="22"/>
  <c r="J87" i="22" s="1"/>
  <c r="K91" i="22"/>
  <c r="J91" i="22" s="1"/>
  <c r="K95" i="22"/>
  <c r="K99" i="22"/>
  <c r="K103" i="22"/>
  <c r="J103" i="22" s="1"/>
  <c r="K107" i="22"/>
  <c r="K111" i="22"/>
  <c r="K115" i="22"/>
  <c r="K119" i="22"/>
  <c r="K97" i="22"/>
  <c r="K14" i="22"/>
  <c r="K30" i="22"/>
  <c r="K15" i="22"/>
  <c r="J15" i="22" s="1"/>
  <c r="K19" i="22"/>
  <c r="K23" i="22"/>
  <c r="K27" i="22"/>
  <c r="K31" i="22"/>
  <c r="J31" i="22" s="1"/>
  <c r="K35" i="22"/>
  <c r="J35" i="22" s="1"/>
  <c r="K43" i="22"/>
  <c r="K47" i="22"/>
  <c r="K51" i="22"/>
  <c r="J51" i="22" s="1"/>
  <c r="K55" i="22"/>
  <c r="K59" i="22"/>
  <c r="K63" i="22"/>
  <c r="K67" i="22"/>
  <c r="K71" i="22"/>
  <c r="J71" i="22" s="1"/>
  <c r="K75" i="22"/>
  <c r="K79" i="22"/>
  <c r="K22" i="22"/>
  <c r="J22" i="22" s="1"/>
  <c r="K34" i="22"/>
  <c r="K46" i="22"/>
  <c r="K58" i="22"/>
  <c r="K16" i="22"/>
  <c r="K24" i="22"/>
  <c r="J24" i="22" s="1"/>
  <c r="K28" i="22"/>
  <c r="K32" i="22"/>
  <c r="K36" i="22"/>
  <c r="K44" i="22"/>
  <c r="J44" i="22" s="1"/>
  <c r="K52" i="22"/>
  <c r="K60" i="22"/>
  <c r="K68" i="22"/>
  <c r="J68" i="22" s="1"/>
  <c r="K72" i="22"/>
  <c r="K76" i="22"/>
  <c r="K80" i="22"/>
  <c r="K18" i="22"/>
  <c r="K26" i="22"/>
  <c r="K42" i="22"/>
  <c r="K54" i="22"/>
  <c r="K12" i="22"/>
  <c r="K20" i="22"/>
  <c r="J20" i="22" s="1"/>
  <c r="K48" i="22"/>
  <c r="K56" i="22"/>
  <c r="K64" i="22"/>
  <c r="K13" i="22"/>
  <c r="J13" i="22" s="1"/>
  <c r="K17" i="22"/>
  <c r="K21" i="22"/>
  <c r="K25" i="22"/>
  <c r="K29" i="22"/>
  <c r="J29" i="22" s="1"/>
  <c r="K33" i="22"/>
  <c r="K37" i="22"/>
  <c r="K45" i="22"/>
  <c r="K49" i="22"/>
  <c r="J49" i="22" s="1"/>
  <c r="K53" i="22"/>
  <c r="K57" i="22"/>
  <c r="K61" i="22"/>
  <c r="J61" i="22" s="1"/>
  <c r="K65" i="22"/>
  <c r="J65" i="22" s="1"/>
  <c r="K69" i="22"/>
  <c r="K77" i="22"/>
  <c r="K81" i="22"/>
  <c r="K50" i="22"/>
  <c r="K62" i="22"/>
  <c r="K66" i="22"/>
  <c r="K70" i="22"/>
  <c r="J70" i="22" s="1"/>
  <c r="K74" i="22"/>
  <c r="K78" i="22"/>
  <c r="K82" i="22"/>
  <c r="L250" i="22"/>
  <c r="K250" i="22"/>
  <c r="J250" i="22" s="1"/>
  <c r="L246" i="22"/>
  <c r="K246" i="22"/>
  <c r="J246" i="22" s="1"/>
  <c r="L242" i="22"/>
  <c r="K242" i="22"/>
  <c r="J242" i="22" s="1"/>
  <c r="L238" i="22"/>
  <c r="K238" i="22"/>
  <c r="J238" i="22"/>
  <c r="L234" i="22"/>
  <c r="K234" i="22"/>
  <c r="J234" i="22" s="1"/>
  <c r="L230" i="22"/>
  <c r="K230" i="22"/>
  <c r="J230" i="22" s="1"/>
  <c r="L226" i="22"/>
  <c r="L222" i="22"/>
  <c r="L218" i="22"/>
  <c r="L248" i="22"/>
  <c r="L244" i="22"/>
  <c r="L240" i="22"/>
  <c r="L236" i="22"/>
  <c r="L232" i="22"/>
  <c r="L224" i="22"/>
  <c r="L220" i="22"/>
  <c r="L249" i="22"/>
  <c r="L245" i="22"/>
  <c r="L241" i="22"/>
  <c r="L237" i="22"/>
  <c r="L233" i="22"/>
  <c r="L229" i="22"/>
  <c r="L225" i="22"/>
  <c r="L221" i="22"/>
  <c r="L247" i="22"/>
  <c r="L243" i="22"/>
  <c r="L239" i="22"/>
  <c r="L235" i="22"/>
  <c r="L231" i="22"/>
  <c r="L227" i="22"/>
  <c r="L223" i="22"/>
  <c r="L219" i="22"/>
  <c r="K206" i="22"/>
  <c r="J206" i="22" s="1"/>
  <c r="K201" i="22"/>
  <c r="J201" i="22" s="1"/>
  <c r="K185" i="22"/>
  <c r="J185" i="22"/>
  <c r="K169" i="22"/>
  <c r="J169" i="22"/>
  <c r="K153" i="22"/>
  <c r="J153" i="22" s="1"/>
  <c r="K137" i="22"/>
  <c r="J137" i="22"/>
  <c r="K121" i="22"/>
  <c r="J121" i="22" s="1"/>
  <c r="K105" i="22"/>
  <c r="K89" i="22"/>
  <c r="K73" i="22"/>
  <c r="J73" i="22" s="1"/>
  <c r="K197" i="22"/>
  <c r="J197" i="22" s="1"/>
  <c r="K181" i="22"/>
  <c r="J181" i="22" s="1"/>
  <c r="K165" i="22"/>
  <c r="J165" i="22"/>
  <c r="K149" i="22"/>
  <c r="J149" i="22" s="1"/>
  <c r="K133" i="22"/>
  <c r="J133" i="22"/>
  <c r="K117" i="22"/>
  <c r="K101" i="22"/>
  <c r="J101" i="22" s="1"/>
  <c r="K85" i="22"/>
  <c r="L217" i="22"/>
  <c r="K217" i="22"/>
  <c r="J217" i="22" s="1"/>
  <c r="I209" i="22"/>
  <c r="I208" i="22"/>
  <c r="I207" i="22"/>
  <c r="I206" i="22"/>
  <c r="I205" i="22"/>
  <c r="I204" i="22"/>
  <c r="I203" i="22"/>
  <c r="I202" i="22"/>
  <c r="I201" i="22"/>
  <c r="I200" i="22"/>
  <c r="I199" i="22"/>
  <c r="I198" i="22"/>
  <c r="I197" i="22"/>
  <c r="I196" i="22"/>
  <c r="I195" i="22"/>
  <c r="I194" i="22"/>
  <c r="I193" i="22"/>
  <c r="I192" i="22"/>
  <c r="I191" i="22"/>
  <c r="I190" i="22"/>
  <c r="I189" i="22"/>
  <c r="I188" i="22"/>
  <c r="I187" i="22"/>
  <c r="I186" i="22"/>
  <c r="I185" i="22"/>
  <c r="I184" i="22"/>
  <c r="I183" i="22"/>
  <c r="I182" i="22"/>
  <c r="I181" i="22"/>
  <c r="I180" i="22"/>
  <c r="I179" i="22"/>
  <c r="I178" i="22"/>
  <c r="I177" i="22"/>
  <c r="I176" i="22"/>
  <c r="I175" i="22"/>
  <c r="I174" i="22"/>
  <c r="I173" i="22"/>
  <c r="I172" i="22"/>
  <c r="I171" i="22"/>
  <c r="I170" i="22"/>
  <c r="I169" i="22"/>
  <c r="I168" i="22"/>
  <c r="I167" i="22"/>
  <c r="I166" i="22"/>
  <c r="I165" i="22"/>
  <c r="I164" i="22"/>
  <c r="I163" i="22"/>
  <c r="I162" i="22"/>
  <c r="I161" i="22"/>
  <c r="I160" i="22"/>
  <c r="I159" i="22"/>
  <c r="I158" i="22"/>
  <c r="I157" i="22"/>
  <c r="I156" i="22"/>
  <c r="I155" i="22"/>
  <c r="I154" i="22"/>
  <c r="I153" i="22"/>
  <c r="I152" i="22"/>
  <c r="I151" i="22"/>
  <c r="I150" i="22"/>
  <c r="I149" i="22"/>
  <c r="I148" i="22"/>
  <c r="I147" i="22"/>
  <c r="I146" i="22"/>
  <c r="I145" i="22"/>
  <c r="I144" i="22"/>
  <c r="I143" i="22"/>
  <c r="I142" i="22"/>
  <c r="I141" i="22"/>
  <c r="I140" i="22"/>
  <c r="I139" i="22"/>
  <c r="I138" i="22"/>
  <c r="I137" i="22"/>
  <c r="I136" i="22"/>
  <c r="I135" i="22"/>
  <c r="I134" i="22"/>
  <c r="I133" i="22"/>
  <c r="I132" i="22"/>
  <c r="I131" i="22"/>
  <c r="I130" i="22"/>
  <c r="I129" i="22"/>
  <c r="I128" i="22"/>
  <c r="I127" i="22"/>
  <c r="I126" i="22"/>
  <c r="I125" i="22"/>
  <c r="I124" i="22"/>
  <c r="I123" i="22"/>
  <c r="I122" i="22"/>
  <c r="I121" i="22"/>
  <c r="I120" i="22"/>
  <c r="I119" i="22"/>
  <c r="I118" i="22"/>
  <c r="I117" i="22"/>
  <c r="I116" i="22"/>
  <c r="I115" i="22"/>
  <c r="I114" i="22"/>
  <c r="I113" i="22"/>
  <c r="I112" i="22"/>
  <c r="I111" i="22"/>
  <c r="I110" i="22"/>
  <c r="I109" i="22"/>
  <c r="I108" i="22"/>
  <c r="I107" i="22"/>
  <c r="I106" i="22"/>
  <c r="I105" i="22"/>
  <c r="I104" i="22"/>
  <c r="I103" i="22"/>
  <c r="I102" i="22"/>
  <c r="I101" i="22"/>
  <c r="I100" i="22"/>
  <c r="I99" i="22"/>
  <c r="I98" i="22"/>
  <c r="I97" i="22"/>
  <c r="I96" i="22"/>
  <c r="I95" i="22"/>
  <c r="I94" i="22"/>
  <c r="I93" i="22"/>
  <c r="I92" i="22"/>
  <c r="I91" i="22"/>
  <c r="I90" i="22"/>
  <c r="I89" i="22"/>
  <c r="I88" i="22"/>
  <c r="I87" i="22"/>
  <c r="I86" i="22"/>
  <c r="I85" i="22"/>
  <c r="I84" i="22"/>
  <c r="I83" i="22"/>
  <c r="I82" i="22"/>
  <c r="I81" i="22"/>
  <c r="I80" i="22"/>
  <c r="I79" i="22"/>
  <c r="I78" i="22"/>
  <c r="I77" i="22"/>
  <c r="I76" i="22"/>
  <c r="I75" i="22"/>
  <c r="I74" i="22"/>
  <c r="I73" i="22"/>
  <c r="I72" i="22"/>
  <c r="I71" i="22"/>
  <c r="I70" i="22"/>
  <c r="I69" i="22"/>
  <c r="I68" i="22"/>
  <c r="I67" i="22"/>
  <c r="I66" i="22"/>
  <c r="I65" i="22"/>
  <c r="I64" i="22"/>
  <c r="I63" i="22"/>
  <c r="I62" i="22"/>
  <c r="I61" i="22"/>
  <c r="I60" i="22"/>
  <c r="I59" i="22"/>
  <c r="I58" i="22"/>
  <c r="I57" i="22"/>
  <c r="I56" i="22"/>
  <c r="I55" i="22"/>
  <c r="I54" i="22"/>
  <c r="I53" i="22"/>
  <c r="I52" i="22"/>
  <c r="I51" i="22"/>
  <c r="I50" i="22"/>
  <c r="I49" i="22"/>
  <c r="I48" i="22"/>
  <c r="L48" i="22"/>
  <c r="I47" i="22"/>
  <c r="L47" i="22"/>
  <c r="I46" i="22"/>
  <c r="L46" i="22"/>
  <c r="I45" i="22"/>
  <c r="I44" i="22"/>
  <c r="L44" i="22"/>
  <c r="I43" i="22"/>
  <c r="L43" i="22"/>
  <c r="I42" i="22"/>
  <c r="L42" i="22"/>
  <c r="I41" i="22"/>
  <c r="L41" i="22"/>
  <c r="I40" i="22"/>
  <c r="L40" i="22"/>
  <c r="I39" i="22"/>
  <c r="L39" i="22"/>
  <c r="I38" i="22"/>
  <c r="L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L10" i="22"/>
  <c r="H11" i="22"/>
  <c r="H13" i="22"/>
  <c r="K10" i="22"/>
  <c r="H12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L85" i="22"/>
  <c r="H86" i="22"/>
  <c r="H87" i="22"/>
  <c r="H88" i="22"/>
  <c r="H89" i="22"/>
  <c r="L89" i="22"/>
  <c r="H90" i="22"/>
  <c r="H91" i="22"/>
  <c r="H92" i="22"/>
  <c r="H93" i="22"/>
  <c r="L93" i="22"/>
  <c r="H94" i="22"/>
  <c r="H95" i="22"/>
  <c r="H96" i="22"/>
  <c r="H97" i="22"/>
  <c r="L97" i="22"/>
  <c r="H98" i="22"/>
  <c r="H99" i="22"/>
  <c r="H100" i="22"/>
  <c r="H101" i="22"/>
  <c r="L101" i="22"/>
  <c r="H102" i="22"/>
  <c r="H103" i="22"/>
  <c r="H104" i="22"/>
  <c r="H105" i="22"/>
  <c r="L105" i="22"/>
  <c r="H106" i="22"/>
  <c r="H107" i="22"/>
  <c r="H108" i="22"/>
  <c r="H109" i="22"/>
  <c r="L109" i="22"/>
  <c r="H110" i="22"/>
  <c r="H111" i="22"/>
  <c r="H112" i="22"/>
  <c r="H113" i="22"/>
  <c r="L113" i="22"/>
  <c r="H114" i="22"/>
  <c r="H115" i="22"/>
  <c r="H116" i="22"/>
  <c r="H117" i="22"/>
  <c r="L117" i="22"/>
  <c r="H118" i="22"/>
  <c r="H119" i="22"/>
  <c r="H120" i="22"/>
  <c r="H121" i="22"/>
  <c r="H122" i="22"/>
  <c r="H123" i="22"/>
  <c r="H124" i="22"/>
  <c r="H125" i="22"/>
  <c r="H126" i="22"/>
  <c r="H127" i="22"/>
  <c r="H128" i="22"/>
  <c r="H129" i="22"/>
  <c r="H130" i="22"/>
  <c r="H131" i="22"/>
  <c r="H132" i="22"/>
  <c r="H133" i="22"/>
  <c r="H134" i="22"/>
  <c r="H135" i="22"/>
  <c r="H136" i="22"/>
  <c r="H137" i="22"/>
  <c r="H138" i="22"/>
  <c r="H139" i="22"/>
  <c r="H140" i="22"/>
  <c r="H141" i="22"/>
  <c r="H142" i="22"/>
  <c r="H143" i="22"/>
  <c r="H144" i="22"/>
  <c r="H145" i="22"/>
  <c r="H146" i="22"/>
  <c r="H147" i="22"/>
  <c r="H148" i="22"/>
  <c r="H149" i="22"/>
  <c r="H150" i="22"/>
  <c r="H151" i="22"/>
  <c r="H152" i="22"/>
  <c r="H153" i="22"/>
  <c r="H154" i="22"/>
  <c r="H155" i="22"/>
  <c r="H156" i="22"/>
  <c r="H157" i="22"/>
  <c r="H158" i="22"/>
  <c r="H159" i="22"/>
  <c r="H160" i="22"/>
  <c r="H161" i="22"/>
  <c r="H162" i="22"/>
  <c r="H163" i="22"/>
  <c r="H164" i="22"/>
  <c r="H165" i="22"/>
  <c r="H166" i="22"/>
  <c r="H167" i="22"/>
  <c r="H168" i="22"/>
  <c r="H169" i="22"/>
  <c r="H170" i="22"/>
  <c r="H171" i="22"/>
  <c r="H172" i="22"/>
  <c r="H173" i="22"/>
  <c r="H174" i="22"/>
  <c r="H175" i="22"/>
  <c r="H176" i="22"/>
  <c r="H177" i="22"/>
  <c r="H178" i="22"/>
  <c r="H179" i="22"/>
  <c r="H180" i="22"/>
  <c r="H181" i="22"/>
  <c r="H182" i="22"/>
  <c r="H183" i="22"/>
  <c r="H184" i="22"/>
  <c r="H185" i="22"/>
  <c r="H186" i="22"/>
  <c r="H187" i="22"/>
  <c r="H188" i="22"/>
  <c r="H189" i="22"/>
  <c r="H190" i="22"/>
  <c r="H191" i="22"/>
  <c r="H192" i="22"/>
  <c r="H193" i="22"/>
  <c r="H194" i="22"/>
  <c r="H195" i="22"/>
  <c r="H196" i="22"/>
  <c r="H197" i="22"/>
  <c r="H198" i="22"/>
  <c r="H199" i="22"/>
  <c r="H200" i="22"/>
  <c r="H201" i="22"/>
  <c r="H202" i="22"/>
  <c r="H203" i="22"/>
  <c r="H204" i="22"/>
  <c r="H205" i="22"/>
  <c r="H206" i="22"/>
  <c r="H207" i="22"/>
  <c r="H208" i="22"/>
  <c r="H209" i="22"/>
  <c r="L108" i="22"/>
  <c r="L119" i="22"/>
  <c r="L115" i="22"/>
  <c r="L111" i="22"/>
  <c r="L107" i="22"/>
  <c r="L103" i="22"/>
  <c r="L99" i="22"/>
  <c r="L95" i="22"/>
  <c r="L91" i="22"/>
  <c r="L87" i="22"/>
  <c r="L83" i="22"/>
  <c r="L79" i="22"/>
  <c r="L75" i="22"/>
  <c r="L71" i="22"/>
  <c r="L67" i="22"/>
  <c r="L63" i="22"/>
  <c r="L59" i="22"/>
  <c r="L55" i="22"/>
  <c r="L51" i="22"/>
  <c r="L118" i="22"/>
  <c r="L114" i="22"/>
  <c r="L110" i="22"/>
  <c r="L106" i="22"/>
  <c r="L102" i="22"/>
  <c r="L98" i="22"/>
  <c r="L94" i="22"/>
  <c r="L90" i="22"/>
  <c r="L86" i="22"/>
  <c r="L82" i="22"/>
  <c r="L78" i="22"/>
  <c r="L74" i="22"/>
  <c r="L12" i="22"/>
  <c r="L120" i="22"/>
  <c r="L116" i="22"/>
  <c r="L112" i="22"/>
  <c r="L104" i="22"/>
  <c r="L100" i="22"/>
  <c r="L96" i="22"/>
  <c r="L92" i="22"/>
  <c r="L88" i="22"/>
  <c r="L84" i="22"/>
  <c r="L80" i="22"/>
  <c r="L76" i="22"/>
  <c r="L72" i="22"/>
  <c r="L68" i="22"/>
  <c r="L64" i="22"/>
  <c r="L60" i="22"/>
  <c r="L56" i="22"/>
  <c r="L52" i="22"/>
  <c r="L36" i="22"/>
  <c r="L32" i="22"/>
  <c r="L28" i="22"/>
  <c r="L24" i="22"/>
  <c r="L20" i="22"/>
  <c r="L16" i="22"/>
  <c r="L70" i="22"/>
  <c r="L62" i="22"/>
  <c r="L54" i="22"/>
  <c r="L66" i="22"/>
  <c r="L58" i="22"/>
  <c r="L50" i="22"/>
  <c r="L34" i="22"/>
  <c r="L30" i="22"/>
  <c r="L26" i="22"/>
  <c r="L22" i="22"/>
  <c r="L18" i="22"/>
  <c r="L14" i="22"/>
  <c r="L81" i="22"/>
  <c r="L77" i="22"/>
  <c r="L73" i="22"/>
  <c r="L69" i="22"/>
  <c r="L65" i="22"/>
  <c r="L61" i="22"/>
  <c r="L57" i="22"/>
  <c r="L53" i="22"/>
  <c r="L49" i="22"/>
  <c r="L45" i="22"/>
  <c r="L37" i="22"/>
  <c r="L33" i="22"/>
  <c r="L29" i="22"/>
  <c r="L25" i="22"/>
  <c r="L21" i="22"/>
  <c r="L17" i="22"/>
  <c r="L35" i="22"/>
  <c r="L31" i="22"/>
  <c r="L27" i="22"/>
  <c r="L23" i="22"/>
  <c r="L19" i="22"/>
  <c r="L15" i="22"/>
  <c r="L13" i="22"/>
  <c r="L11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M9" i="23"/>
  <c r="B9" i="36"/>
  <c r="B207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K24" i="36"/>
  <c r="K25" i="36"/>
  <c r="K26" i="36"/>
  <c r="K27" i="36"/>
  <c r="K28" i="36"/>
  <c r="K29" i="36"/>
  <c r="K30" i="36"/>
  <c r="K31" i="36"/>
  <c r="K32" i="36"/>
  <c r="K33" i="36"/>
  <c r="K34" i="36"/>
  <c r="K35" i="36"/>
  <c r="K36" i="36"/>
  <c r="K37" i="36"/>
  <c r="K38" i="36"/>
  <c r="K39" i="36"/>
  <c r="K40" i="36"/>
  <c r="K41" i="36"/>
  <c r="K42" i="36"/>
  <c r="K43" i="36"/>
  <c r="K44" i="36"/>
  <c r="K45" i="36"/>
  <c r="K46" i="36"/>
  <c r="K47" i="36"/>
  <c r="K48" i="36"/>
  <c r="K49" i="36"/>
  <c r="K50" i="36"/>
  <c r="K51" i="36"/>
  <c r="K52" i="36"/>
  <c r="K53" i="36"/>
  <c r="K54" i="36"/>
  <c r="K55" i="36"/>
  <c r="K56" i="36"/>
  <c r="K57" i="36"/>
  <c r="K58" i="36"/>
  <c r="K59" i="36"/>
  <c r="K60" i="36"/>
  <c r="K61" i="36"/>
  <c r="K62" i="36"/>
  <c r="K63" i="36"/>
  <c r="K64" i="36"/>
  <c r="K65" i="36"/>
  <c r="K66" i="36"/>
  <c r="K67" i="36"/>
  <c r="K68" i="36"/>
  <c r="K69" i="36"/>
  <c r="K70" i="36"/>
  <c r="K71" i="36"/>
  <c r="K72" i="36"/>
  <c r="K73" i="36"/>
  <c r="K74" i="36"/>
  <c r="K75" i="36"/>
  <c r="K76" i="36"/>
  <c r="K77" i="36"/>
  <c r="K78" i="36"/>
  <c r="K79" i="36"/>
  <c r="K80" i="36"/>
  <c r="K81" i="36"/>
  <c r="K82" i="36"/>
  <c r="K83" i="36"/>
  <c r="K84" i="36"/>
  <c r="K85" i="36"/>
  <c r="K86" i="36"/>
  <c r="K87" i="36"/>
  <c r="K88" i="36"/>
  <c r="K89" i="36"/>
  <c r="K90" i="36"/>
  <c r="K91" i="36"/>
  <c r="K92" i="36"/>
  <c r="K93" i="36"/>
  <c r="K94" i="36"/>
  <c r="K95" i="36"/>
  <c r="K96" i="36"/>
  <c r="K97" i="36"/>
  <c r="K98" i="36"/>
  <c r="K99" i="36"/>
  <c r="K100" i="36"/>
  <c r="K101" i="36"/>
  <c r="K102" i="36"/>
  <c r="K103" i="36"/>
  <c r="K104" i="36"/>
  <c r="K105" i="36"/>
  <c r="K106" i="36"/>
  <c r="K107" i="36"/>
  <c r="K108" i="36"/>
  <c r="K109" i="36"/>
  <c r="K110" i="36"/>
  <c r="K111" i="36"/>
  <c r="K112" i="36"/>
  <c r="K113" i="36"/>
  <c r="K114" i="36"/>
  <c r="K115" i="36"/>
  <c r="K116" i="36"/>
  <c r="K117" i="36"/>
  <c r="K118" i="36"/>
  <c r="K119" i="36"/>
  <c r="K120" i="36"/>
  <c r="K121" i="36"/>
  <c r="K122" i="36"/>
  <c r="K123" i="36"/>
  <c r="K124" i="36"/>
  <c r="K125" i="36"/>
  <c r="K126" i="36"/>
  <c r="K127" i="36"/>
  <c r="K128" i="36"/>
  <c r="K129" i="36"/>
  <c r="K130" i="36"/>
  <c r="K131" i="36"/>
  <c r="K132" i="36"/>
  <c r="K133" i="36"/>
  <c r="K134" i="36"/>
  <c r="K135" i="36"/>
  <c r="K136" i="36"/>
  <c r="K137" i="36"/>
  <c r="K138" i="36"/>
  <c r="K139" i="36"/>
  <c r="K140" i="36"/>
  <c r="K141" i="36"/>
  <c r="K142" i="36"/>
  <c r="K143" i="36"/>
  <c r="K144" i="36"/>
  <c r="K145" i="36"/>
  <c r="K146" i="36"/>
  <c r="K147" i="36"/>
  <c r="K148" i="36"/>
  <c r="K149" i="36"/>
  <c r="K150" i="36"/>
  <c r="K151" i="36"/>
  <c r="K152" i="36"/>
  <c r="K153" i="36"/>
  <c r="K154" i="36"/>
  <c r="K155" i="36"/>
  <c r="K156" i="36"/>
  <c r="K157" i="36"/>
  <c r="K158" i="36"/>
  <c r="K159" i="36"/>
  <c r="K160" i="36"/>
  <c r="K161" i="36"/>
  <c r="K162" i="36"/>
  <c r="K163" i="36"/>
  <c r="K164" i="36"/>
  <c r="K165" i="36"/>
  <c r="K166" i="36"/>
  <c r="K167" i="36"/>
  <c r="K168" i="36"/>
  <c r="K169" i="36"/>
  <c r="K170" i="36"/>
  <c r="K171" i="36"/>
  <c r="K172" i="36"/>
  <c r="K173" i="36"/>
  <c r="K174" i="36"/>
  <c r="K175" i="36"/>
  <c r="K176" i="36"/>
  <c r="K177" i="36"/>
  <c r="K178" i="36"/>
  <c r="K179" i="36"/>
  <c r="K180" i="36"/>
  <c r="K181" i="36"/>
  <c r="K182" i="36"/>
  <c r="K183" i="36"/>
  <c r="K184" i="36"/>
  <c r="K185" i="36"/>
  <c r="K186" i="36"/>
  <c r="K187" i="36"/>
  <c r="K188" i="36"/>
  <c r="K189" i="36"/>
  <c r="K190" i="36"/>
  <c r="K191" i="36"/>
  <c r="K192" i="36"/>
  <c r="K193" i="36"/>
  <c r="K194" i="36"/>
  <c r="K195" i="36"/>
  <c r="K196" i="36"/>
  <c r="K197" i="36"/>
  <c r="K198" i="36"/>
  <c r="K199" i="36"/>
  <c r="K200" i="36"/>
  <c r="K201" i="36"/>
  <c r="K202" i="36"/>
  <c r="K203" i="36"/>
  <c r="K204" i="36"/>
  <c r="K205" i="36"/>
  <c r="K206" i="36"/>
  <c r="K207" i="36"/>
  <c r="K208" i="36"/>
  <c r="B205" i="36"/>
  <c r="I202" i="36"/>
  <c r="H199" i="36"/>
  <c r="B196" i="36"/>
  <c r="H193" i="36"/>
  <c r="B191" i="36"/>
  <c r="I190" i="36"/>
  <c r="B188" i="36"/>
  <c r="B186" i="36"/>
  <c r="B181" i="36"/>
  <c r="B179" i="36"/>
  <c r="I177" i="36"/>
  <c r="B173" i="36"/>
  <c r="H171" i="36"/>
  <c r="B164" i="36"/>
  <c r="I162" i="36"/>
  <c r="B159" i="36"/>
  <c r="B157" i="36"/>
  <c r="H155" i="36"/>
  <c r="I154" i="36"/>
  <c r="B150" i="36"/>
  <c r="B148" i="36"/>
  <c r="B145" i="36"/>
  <c r="B138" i="36"/>
  <c r="B135" i="36"/>
  <c r="B132" i="36"/>
  <c r="B130" i="36"/>
  <c r="I128" i="36"/>
  <c r="H127" i="36"/>
  <c r="B125" i="36"/>
  <c r="B117" i="36"/>
  <c r="B115" i="36"/>
  <c r="B111" i="36"/>
  <c r="B109" i="36"/>
  <c r="B108" i="36"/>
  <c r="H201" i="36"/>
  <c r="H189" i="36"/>
  <c r="I194" i="36"/>
  <c r="I143" i="36"/>
  <c r="B208" i="36"/>
  <c r="B106" i="36"/>
  <c r="B105" i="36"/>
  <c r="B104" i="36"/>
  <c r="B103" i="36"/>
  <c r="B102" i="36"/>
  <c r="B100" i="36"/>
  <c r="B99" i="36"/>
  <c r="B97" i="36"/>
  <c r="B96" i="36"/>
  <c r="B91" i="36"/>
  <c r="B89" i="36"/>
  <c r="B88" i="36"/>
  <c r="B86" i="36"/>
  <c r="B85" i="36"/>
  <c r="B84" i="36"/>
  <c r="B81" i="36"/>
  <c r="B78" i="36"/>
  <c r="B77" i="36"/>
  <c r="B75" i="36"/>
  <c r="B72" i="36"/>
  <c r="B68" i="36"/>
  <c r="B66" i="36"/>
  <c r="B65" i="36"/>
  <c r="B62" i="36"/>
  <c r="B59" i="36"/>
  <c r="B57" i="36"/>
  <c r="B56" i="36"/>
  <c r="B54" i="36"/>
  <c r="B50" i="36"/>
  <c r="B49" i="36"/>
  <c r="B48" i="36"/>
  <c r="B46" i="36"/>
  <c r="B45" i="36"/>
  <c r="B42" i="36"/>
  <c r="B41" i="36"/>
  <c r="B40" i="36"/>
  <c r="B39" i="36"/>
  <c r="B38" i="36"/>
  <c r="B36" i="36"/>
  <c r="B34" i="36"/>
  <c r="B30" i="36"/>
  <c r="B29" i="36"/>
  <c r="B27" i="36"/>
  <c r="B24" i="36"/>
  <c r="B23" i="36"/>
  <c r="B21" i="36"/>
  <c r="B20" i="36"/>
  <c r="B19" i="36"/>
  <c r="B18" i="36"/>
  <c r="B16" i="36"/>
  <c r="B14" i="36"/>
  <c r="B13" i="36"/>
  <c r="B10" i="36"/>
  <c r="O108" i="23"/>
  <c r="P108" i="23" s="1"/>
  <c r="O107" i="23"/>
  <c r="P107" i="23" s="1"/>
  <c r="O106" i="23"/>
  <c r="P106" i="23" s="1"/>
  <c r="O105" i="23"/>
  <c r="P105" i="23"/>
  <c r="O104" i="23"/>
  <c r="P104" i="23"/>
  <c r="O103" i="23"/>
  <c r="P103" i="23"/>
  <c r="O102" i="23"/>
  <c r="P102" i="23"/>
  <c r="O101" i="23"/>
  <c r="P101" i="23" s="1"/>
  <c r="O100" i="23"/>
  <c r="P100" i="23" s="1"/>
  <c r="O99" i="23"/>
  <c r="P99" i="23"/>
  <c r="O98" i="23"/>
  <c r="P98" i="23"/>
  <c r="O97" i="23"/>
  <c r="P97" i="23"/>
  <c r="O96" i="23"/>
  <c r="P96" i="23"/>
  <c r="O95" i="23"/>
  <c r="P95" i="23" s="1"/>
  <c r="O94" i="23"/>
  <c r="P94" i="23" s="1"/>
  <c r="O93" i="23"/>
  <c r="P93" i="23"/>
  <c r="O92" i="23"/>
  <c r="P92" i="23" s="1"/>
  <c r="O91" i="23"/>
  <c r="P91" i="23"/>
  <c r="O90" i="23"/>
  <c r="P90" i="23" s="1"/>
  <c r="O89" i="23"/>
  <c r="P89" i="23" s="1"/>
  <c r="O88" i="23"/>
  <c r="P88" i="23" s="1"/>
  <c r="O87" i="23"/>
  <c r="P87" i="23" s="1"/>
  <c r="O86" i="23"/>
  <c r="P86" i="23"/>
  <c r="O85" i="23"/>
  <c r="P85" i="23" s="1"/>
  <c r="O84" i="23"/>
  <c r="P84" i="23"/>
  <c r="O83" i="23"/>
  <c r="P83" i="23" s="1"/>
  <c r="O82" i="23"/>
  <c r="P82" i="23" s="1"/>
  <c r="O81" i="23"/>
  <c r="P81" i="23"/>
  <c r="O80" i="23"/>
  <c r="P80" i="23" s="1"/>
  <c r="O79" i="23"/>
  <c r="P79" i="23"/>
  <c r="O78" i="23"/>
  <c r="P78" i="23" s="1"/>
  <c r="O77" i="23"/>
  <c r="P77" i="23" s="1"/>
  <c r="O76" i="23"/>
  <c r="P76" i="23"/>
  <c r="O75" i="23"/>
  <c r="P75" i="23" s="1"/>
  <c r="O74" i="23"/>
  <c r="P74" i="23"/>
  <c r="O73" i="23"/>
  <c r="P73" i="23" s="1"/>
  <c r="O72" i="23"/>
  <c r="P72" i="23"/>
  <c r="O71" i="23"/>
  <c r="P71" i="23" s="1"/>
  <c r="O70" i="23"/>
  <c r="P70" i="23" s="1"/>
  <c r="O69" i="23"/>
  <c r="P69" i="23"/>
  <c r="O68" i="23"/>
  <c r="P68" i="23" s="1"/>
  <c r="O67" i="23"/>
  <c r="P67" i="23"/>
  <c r="O66" i="23"/>
  <c r="P66" i="23" s="1"/>
  <c r="O65" i="23"/>
  <c r="P65" i="23" s="1"/>
  <c r="O64" i="23"/>
  <c r="P64" i="23"/>
  <c r="O63" i="23"/>
  <c r="P63" i="23" s="1"/>
  <c r="O62" i="23"/>
  <c r="P62" i="23"/>
  <c r="O61" i="23"/>
  <c r="P61" i="23" s="1"/>
  <c r="O60" i="23"/>
  <c r="P60" i="23" s="1"/>
  <c r="O59" i="23"/>
  <c r="P59" i="23" s="1"/>
  <c r="O58" i="23"/>
  <c r="P58" i="23" s="1"/>
  <c r="O57" i="23"/>
  <c r="P57" i="23" s="1"/>
  <c r="O56" i="23"/>
  <c r="P56" i="23" s="1"/>
  <c r="O55" i="23"/>
  <c r="P55" i="23" s="1"/>
  <c r="O54" i="23"/>
  <c r="P54" i="23" s="1"/>
  <c r="O53" i="23"/>
  <c r="P53" i="23" s="1"/>
  <c r="O52" i="23"/>
  <c r="P52" i="23" s="1"/>
  <c r="O51" i="23"/>
  <c r="P51" i="23"/>
  <c r="O50" i="23"/>
  <c r="P50" i="23" s="1"/>
  <c r="O49" i="23"/>
  <c r="P49" i="23"/>
  <c r="O48" i="23"/>
  <c r="P48" i="23" s="1"/>
  <c r="O47" i="23"/>
  <c r="P47" i="23" s="1"/>
  <c r="O46" i="23"/>
  <c r="P46" i="23" s="1"/>
  <c r="O45" i="23"/>
  <c r="P45" i="23" s="1"/>
  <c r="O44" i="23"/>
  <c r="P44" i="23"/>
  <c r="O43" i="23"/>
  <c r="P43" i="23" s="1"/>
  <c r="O42" i="23"/>
  <c r="P42" i="23"/>
  <c r="O41" i="23"/>
  <c r="P41" i="23" s="1"/>
  <c r="O40" i="23"/>
  <c r="P40" i="23" s="1"/>
  <c r="O39" i="23"/>
  <c r="P39" i="23"/>
  <c r="O38" i="23"/>
  <c r="P38" i="23" s="1"/>
  <c r="O37" i="23"/>
  <c r="P37" i="23"/>
  <c r="O36" i="23"/>
  <c r="P36" i="23" s="1"/>
  <c r="O35" i="23"/>
  <c r="P35" i="23" s="1"/>
  <c r="O34" i="23"/>
  <c r="P34" i="23" s="1"/>
  <c r="O33" i="23"/>
  <c r="P33" i="23"/>
  <c r="O32" i="23"/>
  <c r="P32" i="23" s="1"/>
  <c r="O31" i="23"/>
  <c r="P31" i="23"/>
  <c r="O30" i="23"/>
  <c r="P30" i="23" s="1"/>
  <c r="O29" i="23"/>
  <c r="P29" i="23" s="1"/>
  <c r="O28" i="23"/>
  <c r="P28" i="23" s="1"/>
  <c r="O27" i="23"/>
  <c r="P27" i="23" s="1"/>
  <c r="O26" i="23"/>
  <c r="P26" i="23" s="1"/>
  <c r="O25" i="23"/>
  <c r="P25" i="23" s="1"/>
  <c r="O24" i="23"/>
  <c r="P24" i="23"/>
  <c r="O23" i="23"/>
  <c r="P23" i="23" s="1"/>
  <c r="O22" i="23"/>
  <c r="P22" i="23"/>
  <c r="O21" i="23"/>
  <c r="P21" i="23" s="1"/>
  <c r="O20" i="23"/>
  <c r="P20" i="23"/>
  <c r="O19" i="23"/>
  <c r="P19" i="23" s="1"/>
  <c r="O18" i="23"/>
  <c r="P18" i="23" s="1"/>
  <c r="O17" i="23"/>
  <c r="P17" i="23" s="1"/>
  <c r="O16" i="23"/>
  <c r="P16" i="23" s="1"/>
  <c r="O15" i="23"/>
  <c r="P15" i="23" s="1"/>
  <c r="O14" i="23"/>
  <c r="P14" i="23" s="1"/>
  <c r="O13" i="23"/>
  <c r="P13" i="23" s="1"/>
  <c r="O12" i="23"/>
  <c r="P12" i="23"/>
  <c r="O11" i="23"/>
  <c r="P11" i="23" s="1"/>
  <c r="O10" i="23"/>
  <c r="P10" i="23"/>
  <c r="O9" i="23"/>
  <c r="P9" i="23" s="1"/>
  <c r="M97" i="23"/>
  <c r="L97" i="23"/>
  <c r="E97" i="23"/>
  <c r="D97" i="23"/>
  <c r="M96" i="23"/>
  <c r="L96" i="23"/>
  <c r="E96" i="23"/>
  <c r="D96" i="23"/>
  <c r="M95" i="23"/>
  <c r="L95" i="23"/>
  <c r="E95" i="23"/>
  <c r="D95" i="23"/>
  <c r="M94" i="23"/>
  <c r="L94" i="23"/>
  <c r="E94" i="23"/>
  <c r="D94" i="23"/>
  <c r="M93" i="23"/>
  <c r="L93" i="23"/>
  <c r="E93" i="23"/>
  <c r="D93" i="23"/>
  <c r="M92" i="23"/>
  <c r="L92" i="23"/>
  <c r="E92" i="23"/>
  <c r="N92" i="23" s="1"/>
  <c r="D92" i="23"/>
  <c r="M91" i="23"/>
  <c r="L91" i="23"/>
  <c r="E91" i="23"/>
  <c r="D91" i="23"/>
  <c r="M90" i="23"/>
  <c r="L90" i="23"/>
  <c r="E90" i="23"/>
  <c r="D90" i="23"/>
  <c r="M89" i="23"/>
  <c r="L89" i="23"/>
  <c r="E89" i="23"/>
  <c r="D89" i="23"/>
  <c r="M88" i="23"/>
  <c r="L88" i="23"/>
  <c r="E88" i="23"/>
  <c r="D88" i="23"/>
  <c r="M87" i="23"/>
  <c r="L87" i="23"/>
  <c r="E87" i="23"/>
  <c r="D87" i="23"/>
  <c r="M86" i="23"/>
  <c r="L86" i="23"/>
  <c r="E86" i="23"/>
  <c r="D86" i="23"/>
  <c r="M85" i="23"/>
  <c r="L85" i="23"/>
  <c r="E85" i="23"/>
  <c r="D85" i="23"/>
  <c r="M84" i="23"/>
  <c r="L84" i="23"/>
  <c r="E84" i="23"/>
  <c r="D84" i="23"/>
  <c r="M83" i="23"/>
  <c r="L83" i="23"/>
  <c r="E83" i="23"/>
  <c r="D83" i="23"/>
  <c r="M82" i="23"/>
  <c r="L82" i="23"/>
  <c r="E82" i="23"/>
  <c r="D82" i="23"/>
  <c r="M81" i="23"/>
  <c r="L81" i="23"/>
  <c r="E81" i="23"/>
  <c r="D81" i="23"/>
  <c r="M80" i="23"/>
  <c r="L80" i="23"/>
  <c r="E80" i="23"/>
  <c r="D80" i="23"/>
  <c r="M79" i="23"/>
  <c r="L79" i="23"/>
  <c r="E79" i="23"/>
  <c r="D79" i="23"/>
  <c r="M78" i="23"/>
  <c r="L78" i="23"/>
  <c r="E78" i="23"/>
  <c r="D78" i="23"/>
  <c r="M77" i="23"/>
  <c r="L77" i="23"/>
  <c r="E77" i="23"/>
  <c r="D77" i="23"/>
  <c r="M76" i="23"/>
  <c r="L76" i="23"/>
  <c r="E76" i="23"/>
  <c r="D76" i="23"/>
  <c r="M75" i="23"/>
  <c r="L75" i="23"/>
  <c r="E75" i="23"/>
  <c r="D75" i="23"/>
  <c r="M74" i="23"/>
  <c r="L74" i="23"/>
  <c r="E74" i="23"/>
  <c r="D74" i="23"/>
  <c r="M73" i="23"/>
  <c r="L73" i="23"/>
  <c r="E73" i="23"/>
  <c r="D73" i="23"/>
  <c r="M72" i="23"/>
  <c r="L72" i="23"/>
  <c r="E72" i="23"/>
  <c r="D72" i="23"/>
  <c r="M71" i="23"/>
  <c r="L71" i="23"/>
  <c r="E71" i="23"/>
  <c r="D71" i="23"/>
  <c r="M70" i="23"/>
  <c r="L70" i="23"/>
  <c r="E70" i="23"/>
  <c r="D70" i="23"/>
  <c r="M69" i="23"/>
  <c r="L69" i="23"/>
  <c r="E69" i="23"/>
  <c r="D69" i="23"/>
  <c r="M68" i="23"/>
  <c r="L68" i="23"/>
  <c r="E68" i="23"/>
  <c r="D68" i="23"/>
  <c r="D10" i="23"/>
  <c r="E10" i="23"/>
  <c r="D11" i="23"/>
  <c r="L11" i="23"/>
  <c r="E11" i="23"/>
  <c r="D12" i="23"/>
  <c r="E12" i="23"/>
  <c r="D13" i="23"/>
  <c r="E13" i="23"/>
  <c r="D14" i="23"/>
  <c r="E14" i="23"/>
  <c r="D15" i="23"/>
  <c r="E15" i="23"/>
  <c r="D16" i="23"/>
  <c r="E16" i="23"/>
  <c r="L16" i="23"/>
  <c r="D17" i="23"/>
  <c r="E17" i="23"/>
  <c r="D18" i="23"/>
  <c r="E18" i="23"/>
  <c r="D19" i="23"/>
  <c r="E19" i="23"/>
  <c r="D20" i="23"/>
  <c r="E20" i="23"/>
  <c r="D21" i="23"/>
  <c r="E21" i="23"/>
  <c r="L21" i="23"/>
  <c r="D22" i="23"/>
  <c r="L22" i="23"/>
  <c r="E22" i="23"/>
  <c r="D23" i="23"/>
  <c r="E23" i="23"/>
  <c r="D24" i="23"/>
  <c r="E24" i="23"/>
  <c r="D25" i="23"/>
  <c r="E25" i="23"/>
  <c r="L25" i="23"/>
  <c r="D26" i="23"/>
  <c r="E26" i="23"/>
  <c r="D27" i="23"/>
  <c r="E27" i="23"/>
  <c r="D28" i="23"/>
  <c r="E28" i="23"/>
  <c r="D29" i="23"/>
  <c r="E29" i="23"/>
  <c r="D30" i="23"/>
  <c r="E30" i="23"/>
  <c r="L30" i="23"/>
  <c r="D31" i="23"/>
  <c r="E31" i="23"/>
  <c r="D32" i="23"/>
  <c r="L32" i="23"/>
  <c r="E32" i="23"/>
  <c r="D33" i="23"/>
  <c r="E33" i="23"/>
  <c r="L33" i="23"/>
  <c r="D34" i="23"/>
  <c r="L34" i="23"/>
  <c r="E34" i="23"/>
  <c r="D35" i="23"/>
  <c r="E35" i="23"/>
  <c r="D36" i="23"/>
  <c r="E36" i="23"/>
  <c r="D37" i="23"/>
  <c r="E37" i="23"/>
  <c r="D38" i="23"/>
  <c r="E38" i="23"/>
  <c r="D39" i="23"/>
  <c r="E39" i="23"/>
  <c r="D40" i="23"/>
  <c r="E40" i="23"/>
  <c r="D41" i="23"/>
  <c r="E41" i="23"/>
  <c r="D42" i="23"/>
  <c r="E42" i="23"/>
  <c r="D43" i="23"/>
  <c r="E43" i="23"/>
  <c r="D44" i="23"/>
  <c r="E44" i="23"/>
  <c r="D45" i="23"/>
  <c r="E45" i="23"/>
  <c r="D46" i="23"/>
  <c r="E46" i="23"/>
  <c r="D47" i="23"/>
  <c r="E47" i="23"/>
  <c r="D48" i="23"/>
  <c r="E48" i="23"/>
  <c r="D49" i="23"/>
  <c r="E49" i="23"/>
  <c r="D50" i="23"/>
  <c r="E50" i="23"/>
  <c r="D51" i="23"/>
  <c r="E51" i="23"/>
  <c r="D52" i="23"/>
  <c r="E52" i="23"/>
  <c r="D53" i="23"/>
  <c r="E53" i="23"/>
  <c r="D54" i="23"/>
  <c r="E54" i="23"/>
  <c r="D55" i="23"/>
  <c r="E55" i="23"/>
  <c r="D56" i="23"/>
  <c r="E56" i="23"/>
  <c r="D57" i="23"/>
  <c r="E57" i="23"/>
  <c r="D58" i="23"/>
  <c r="E58" i="23"/>
  <c r="D59" i="23"/>
  <c r="E59" i="23"/>
  <c r="D60" i="23"/>
  <c r="E60" i="23"/>
  <c r="D61" i="23"/>
  <c r="E61" i="23"/>
  <c r="D62" i="23"/>
  <c r="E62" i="23"/>
  <c r="D63" i="23"/>
  <c r="E63" i="23"/>
  <c r="D64" i="23"/>
  <c r="E64" i="23"/>
  <c r="D65" i="23"/>
  <c r="E65" i="23"/>
  <c r="D66" i="23"/>
  <c r="E66" i="23"/>
  <c r="D67" i="23"/>
  <c r="E67" i="23"/>
  <c r="N99" i="23"/>
  <c r="N105" i="23"/>
  <c r="E9" i="23"/>
  <c r="D9" i="23"/>
  <c r="O160" i="22"/>
  <c r="E160" i="22"/>
  <c r="B160" i="22"/>
  <c r="O159" i="22"/>
  <c r="E159" i="22"/>
  <c r="B159" i="22"/>
  <c r="O158" i="22"/>
  <c r="E158" i="22" s="1"/>
  <c r="B158" i="22"/>
  <c r="O157" i="22"/>
  <c r="E157" i="22" s="1"/>
  <c r="B157" i="22"/>
  <c r="O156" i="22"/>
  <c r="E156" i="22" s="1"/>
  <c r="B156" i="22"/>
  <c r="O155" i="22"/>
  <c r="E155" i="22"/>
  <c r="B155" i="22"/>
  <c r="O154" i="22"/>
  <c r="E154" i="22" s="1"/>
  <c r="B154" i="22"/>
  <c r="O153" i="22"/>
  <c r="E153" i="22" s="1"/>
  <c r="B153" i="22"/>
  <c r="O152" i="22"/>
  <c r="E152" i="22"/>
  <c r="B152" i="22"/>
  <c r="O151" i="22"/>
  <c r="E151" i="22"/>
  <c r="B151" i="22"/>
  <c r="O150" i="22"/>
  <c r="E150" i="22" s="1"/>
  <c r="B150" i="22"/>
  <c r="O149" i="22"/>
  <c r="E149" i="22" s="1"/>
  <c r="B149" i="22"/>
  <c r="O148" i="22"/>
  <c r="E148" i="22" s="1"/>
  <c r="B148" i="22"/>
  <c r="O147" i="22"/>
  <c r="E147" i="22"/>
  <c r="B147" i="22"/>
  <c r="O146" i="22"/>
  <c r="E146" i="22" s="1"/>
  <c r="B146" i="22"/>
  <c r="O145" i="22"/>
  <c r="E145" i="22" s="1"/>
  <c r="B145" i="22"/>
  <c r="O144" i="22"/>
  <c r="E144" i="22"/>
  <c r="B144" i="22"/>
  <c r="O143" i="22"/>
  <c r="E143" i="22"/>
  <c r="B143" i="22"/>
  <c r="O142" i="22"/>
  <c r="E142" i="22" s="1"/>
  <c r="B142" i="22"/>
  <c r="O141" i="22"/>
  <c r="E141" i="22" s="1"/>
  <c r="B141" i="22"/>
  <c r="O140" i="22"/>
  <c r="E140" i="22" s="1"/>
  <c r="B140" i="22"/>
  <c r="O139" i="22"/>
  <c r="E139" i="22"/>
  <c r="B139" i="22"/>
  <c r="O138" i="22"/>
  <c r="E138" i="22" s="1"/>
  <c r="B138" i="22"/>
  <c r="O137" i="22"/>
  <c r="E137" i="22" s="1"/>
  <c r="B137" i="22"/>
  <c r="O136" i="22"/>
  <c r="E136" i="22"/>
  <c r="B136" i="22"/>
  <c r="O135" i="22"/>
  <c r="E135" i="22"/>
  <c r="B135" i="22"/>
  <c r="O134" i="22"/>
  <c r="E134" i="22" s="1"/>
  <c r="B134" i="22"/>
  <c r="O133" i="22"/>
  <c r="E133" i="22" s="1"/>
  <c r="B133" i="22"/>
  <c r="O132" i="22"/>
  <c r="E132" i="22" s="1"/>
  <c r="B132" i="22"/>
  <c r="O131" i="22"/>
  <c r="E131" i="22"/>
  <c r="B131" i="22"/>
  <c r="O130" i="22"/>
  <c r="E130" i="22" s="1"/>
  <c r="B130" i="22"/>
  <c r="O129" i="22"/>
  <c r="E129" i="22" s="1"/>
  <c r="B129" i="22"/>
  <c r="O128" i="22"/>
  <c r="E128" i="22"/>
  <c r="B128" i="22"/>
  <c r="O127" i="22"/>
  <c r="E127" i="22"/>
  <c r="B127" i="22"/>
  <c r="O126" i="22"/>
  <c r="E126" i="22" s="1"/>
  <c r="B126" i="22"/>
  <c r="O125" i="22"/>
  <c r="E125" i="22" s="1"/>
  <c r="B125" i="22"/>
  <c r="O124" i="22"/>
  <c r="E124" i="22" s="1"/>
  <c r="B124" i="22"/>
  <c r="O123" i="22"/>
  <c r="E123" i="22"/>
  <c r="B123" i="22"/>
  <c r="O122" i="22"/>
  <c r="E122" i="22" s="1"/>
  <c r="B122" i="22"/>
  <c r="O121" i="22"/>
  <c r="E121" i="22" s="1"/>
  <c r="B121" i="22"/>
  <c r="O120" i="22"/>
  <c r="E120" i="22"/>
  <c r="B120" i="22"/>
  <c r="O119" i="22"/>
  <c r="E119" i="22" s="1"/>
  <c r="J119" i="22"/>
  <c r="B119" i="22"/>
  <c r="O118" i="22"/>
  <c r="E118" i="22" s="1"/>
  <c r="J118" i="22"/>
  <c r="B118" i="22"/>
  <c r="O117" i="22"/>
  <c r="E117" i="22" s="1"/>
  <c r="J117" i="22"/>
  <c r="B117" i="22"/>
  <c r="O116" i="22"/>
  <c r="E116" i="22" s="1"/>
  <c r="J116" i="22"/>
  <c r="B116" i="22"/>
  <c r="O115" i="22"/>
  <c r="E115" i="22" s="1"/>
  <c r="J115" i="22"/>
  <c r="B115" i="22"/>
  <c r="O114" i="22"/>
  <c r="E114" i="22" s="1"/>
  <c r="J114" i="22"/>
  <c r="B114" i="22"/>
  <c r="O113" i="22"/>
  <c r="E113" i="22" s="1"/>
  <c r="J113" i="22"/>
  <c r="B113" i="22"/>
  <c r="O112" i="22"/>
  <c r="E112" i="22" s="1"/>
  <c r="B112" i="22"/>
  <c r="O111" i="22"/>
  <c r="E111" i="22" s="1"/>
  <c r="J111" i="22"/>
  <c r="B111" i="22"/>
  <c r="O110" i="22"/>
  <c r="E110" i="22" s="1"/>
  <c r="J110" i="22"/>
  <c r="B110" i="22"/>
  <c r="O209" i="22"/>
  <c r="E209" i="22" s="1"/>
  <c r="O11" i="22"/>
  <c r="E11" i="22"/>
  <c r="J11" i="22"/>
  <c r="O12" i="22"/>
  <c r="E12" i="22" s="1"/>
  <c r="J12" i="22"/>
  <c r="O13" i="22"/>
  <c r="E13" i="22" s="1"/>
  <c r="O14" i="22"/>
  <c r="E14" i="22" s="1"/>
  <c r="J14" i="22"/>
  <c r="O15" i="22"/>
  <c r="E15" i="22" s="1"/>
  <c r="O16" i="22"/>
  <c r="E16" i="22" s="1"/>
  <c r="J16" i="22"/>
  <c r="O17" i="22"/>
  <c r="E17" i="22" s="1"/>
  <c r="J17" i="22"/>
  <c r="O18" i="22"/>
  <c r="E18" i="22" s="1"/>
  <c r="J18" i="22"/>
  <c r="O19" i="22"/>
  <c r="E19" i="22" s="1"/>
  <c r="J19" i="22"/>
  <c r="O20" i="22"/>
  <c r="E20" i="22" s="1"/>
  <c r="O21" i="22"/>
  <c r="E21" i="22" s="1"/>
  <c r="J21" i="22"/>
  <c r="O22" i="22"/>
  <c r="E22" i="22" s="1"/>
  <c r="O23" i="22"/>
  <c r="E23" i="22" s="1"/>
  <c r="J23" i="22"/>
  <c r="O24" i="22"/>
  <c r="E24" i="22" s="1"/>
  <c r="O25" i="22"/>
  <c r="E25" i="22" s="1"/>
  <c r="J25" i="22"/>
  <c r="O26" i="22"/>
  <c r="E26" i="22" s="1"/>
  <c r="J26" i="22"/>
  <c r="O27" i="22"/>
  <c r="E27" i="22" s="1"/>
  <c r="J27" i="22"/>
  <c r="O28" i="22"/>
  <c r="E28" i="22" s="1"/>
  <c r="J28" i="22"/>
  <c r="O29" i="22"/>
  <c r="E29" i="22" s="1"/>
  <c r="O30" i="22"/>
  <c r="E30" i="22" s="1"/>
  <c r="J30" i="22"/>
  <c r="O31" i="22"/>
  <c r="E31" i="22" s="1"/>
  <c r="O32" i="22"/>
  <c r="E32" i="22" s="1"/>
  <c r="J32" i="22"/>
  <c r="O33" i="22"/>
  <c r="E33" i="22" s="1"/>
  <c r="J33" i="22"/>
  <c r="O34" i="22"/>
  <c r="E34" i="22" s="1"/>
  <c r="J34" i="22"/>
  <c r="O35" i="22"/>
  <c r="E35" i="22" s="1"/>
  <c r="O36" i="22"/>
  <c r="E36" i="22" s="1"/>
  <c r="J36" i="22"/>
  <c r="O37" i="22"/>
  <c r="E37" i="22" s="1"/>
  <c r="J37" i="22"/>
  <c r="O38" i="22"/>
  <c r="E38" i="22" s="1"/>
  <c r="J38" i="22"/>
  <c r="O39" i="22"/>
  <c r="E39" i="22" s="1"/>
  <c r="J39" i="22"/>
  <c r="O40" i="22"/>
  <c r="E40" i="22" s="1"/>
  <c r="O41" i="22"/>
  <c r="E41" i="22" s="1"/>
  <c r="J41" i="22"/>
  <c r="O42" i="22"/>
  <c r="E42" i="22" s="1"/>
  <c r="J42" i="22"/>
  <c r="O43" i="22"/>
  <c r="E43" i="22"/>
  <c r="J43" i="22"/>
  <c r="O44" i="22"/>
  <c r="E44" i="22" s="1"/>
  <c r="O45" i="22"/>
  <c r="E45" i="22" s="1"/>
  <c r="J45" i="22"/>
  <c r="O46" i="22"/>
  <c r="E46" i="22" s="1"/>
  <c r="J46" i="22"/>
  <c r="O47" i="22"/>
  <c r="E47" i="22" s="1"/>
  <c r="J47" i="22"/>
  <c r="O48" i="22"/>
  <c r="E48" i="22" s="1"/>
  <c r="J48" i="22"/>
  <c r="O49" i="22"/>
  <c r="E49" i="22" s="1"/>
  <c r="O50" i="22"/>
  <c r="E50" i="22" s="1"/>
  <c r="J50" i="22"/>
  <c r="O51" i="22"/>
  <c r="E51" i="22" s="1"/>
  <c r="O52" i="22"/>
  <c r="E52" i="22" s="1"/>
  <c r="J52" i="22"/>
  <c r="O53" i="22"/>
  <c r="E53" i="22" s="1"/>
  <c r="J53" i="22"/>
  <c r="O54" i="22"/>
  <c r="E54" i="22"/>
  <c r="J54" i="22"/>
  <c r="O55" i="22"/>
  <c r="E55" i="22" s="1"/>
  <c r="J55" i="22"/>
  <c r="O56" i="22"/>
  <c r="E56" i="22" s="1"/>
  <c r="J56" i="22"/>
  <c r="O57" i="22"/>
  <c r="E57" i="22" s="1"/>
  <c r="J57" i="22"/>
  <c r="O58" i="22"/>
  <c r="E58" i="22" s="1"/>
  <c r="J58" i="22"/>
  <c r="O59" i="22"/>
  <c r="E59" i="22"/>
  <c r="J59" i="22"/>
  <c r="O60" i="22"/>
  <c r="E60" i="22" s="1"/>
  <c r="J60" i="22"/>
  <c r="O61" i="22"/>
  <c r="E61" i="22" s="1"/>
  <c r="O62" i="22"/>
  <c r="E62" i="22" s="1"/>
  <c r="J62" i="22"/>
  <c r="O63" i="22"/>
  <c r="E63" i="22" s="1"/>
  <c r="J63" i="22"/>
  <c r="O64" i="22"/>
  <c r="E64" i="22" s="1"/>
  <c r="J64" i="22"/>
  <c r="O65" i="22"/>
  <c r="E65" i="22" s="1"/>
  <c r="O66" i="22"/>
  <c r="E66" i="22"/>
  <c r="J66" i="22"/>
  <c r="O67" i="22"/>
  <c r="E67" i="22"/>
  <c r="J67" i="22"/>
  <c r="O68" i="22"/>
  <c r="E68" i="22" s="1"/>
  <c r="O69" i="22"/>
  <c r="E69" i="22" s="1"/>
  <c r="J69" i="22"/>
  <c r="O70" i="22"/>
  <c r="E70" i="22" s="1"/>
  <c r="O71" i="22"/>
  <c r="E71" i="22"/>
  <c r="O72" i="22"/>
  <c r="E72" i="22" s="1"/>
  <c r="J72" i="22"/>
  <c r="O73" i="22"/>
  <c r="E73" i="22" s="1"/>
  <c r="O74" i="22"/>
  <c r="E74" i="22"/>
  <c r="J74" i="22"/>
  <c r="O75" i="22"/>
  <c r="E75" i="22" s="1"/>
  <c r="J75" i="22"/>
  <c r="O76" i="22"/>
  <c r="E76" i="22" s="1"/>
  <c r="J76" i="22"/>
  <c r="O77" i="22"/>
  <c r="E77" i="22" s="1"/>
  <c r="J77" i="22"/>
  <c r="O78" i="22"/>
  <c r="E78" i="22" s="1"/>
  <c r="J78" i="22"/>
  <c r="O79" i="22"/>
  <c r="E79" i="22" s="1"/>
  <c r="J79" i="22"/>
  <c r="O80" i="22"/>
  <c r="E80" i="22" s="1"/>
  <c r="J80" i="22"/>
  <c r="O81" i="22"/>
  <c r="E81" i="22"/>
  <c r="J81" i="22"/>
  <c r="O82" i="22"/>
  <c r="E82" i="22" s="1"/>
  <c r="J82" i="22"/>
  <c r="O83" i="22"/>
  <c r="E83" i="22" s="1"/>
  <c r="J83" i="22"/>
  <c r="O84" i="22"/>
  <c r="E84" i="22" s="1"/>
  <c r="O85" i="22"/>
  <c r="E85" i="22" s="1"/>
  <c r="J85" i="22"/>
  <c r="O86" i="22"/>
  <c r="E86" i="22" s="1"/>
  <c r="J86" i="22"/>
  <c r="O87" i="22"/>
  <c r="E87" i="22"/>
  <c r="O88" i="22"/>
  <c r="E88" i="22" s="1"/>
  <c r="J88" i="22"/>
  <c r="O89" i="22"/>
  <c r="E89" i="22" s="1"/>
  <c r="J89" i="22"/>
  <c r="O90" i="22"/>
  <c r="E90" i="22" s="1"/>
  <c r="J90" i="22"/>
  <c r="O91" i="22"/>
  <c r="E91" i="22" s="1"/>
  <c r="O92" i="22"/>
  <c r="E92" i="22" s="1"/>
  <c r="J92" i="22"/>
  <c r="O93" i="22"/>
  <c r="E93" i="22"/>
  <c r="J93" i="22"/>
  <c r="O94" i="22"/>
  <c r="E94" i="22" s="1"/>
  <c r="O95" i="22"/>
  <c r="E95" i="22" s="1"/>
  <c r="J95" i="22"/>
  <c r="O96" i="22"/>
  <c r="E96" i="22" s="1"/>
  <c r="O97" i="22"/>
  <c r="E97" i="22" s="1"/>
  <c r="J97" i="22"/>
  <c r="O98" i="22"/>
  <c r="E98" i="22" s="1"/>
  <c r="O99" i="22"/>
  <c r="E99" i="22" s="1"/>
  <c r="J99" i="22"/>
  <c r="O100" i="22"/>
  <c r="E100" i="22" s="1"/>
  <c r="O101" i="22"/>
  <c r="E101" i="22"/>
  <c r="O102" i="22"/>
  <c r="E102" i="22"/>
  <c r="J102" i="22"/>
  <c r="O103" i="22"/>
  <c r="E103" i="22" s="1"/>
  <c r="O104" i="22"/>
  <c r="E104" i="22" s="1"/>
  <c r="J104" i="22"/>
  <c r="O105" i="22"/>
  <c r="E105" i="22" s="1"/>
  <c r="J105" i="22"/>
  <c r="O106" i="22"/>
  <c r="E106" i="22"/>
  <c r="J106" i="22"/>
  <c r="O107" i="22"/>
  <c r="E107" i="22"/>
  <c r="J107" i="22"/>
  <c r="O108" i="22"/>
  <c r="E108" i="22" s="1"/>
  <c r="O109" i="22"/>
  <c r="E109" i="22"/>
  <c r="J109" i="22"/>
  <c r="O161" i="22"/>
  <c r="E161" i="22" s="1"/>
  <c r="O162" i="22"/>
  <c r="E162" i="22"/>
  <c r="O163" i="22"/>
  <c r="E163" i="22"/>
  <c r="O164" i="22"/>
  <c r="E164" i="22" s="1"/>
  <c r="O165" i="22"/>
  <c r="E165" i="22" s="1"/>
  <c r="O166" i="22"/>
  <c r="E166" i="22"/>
  <c r="O167" i="22"/>
  <c r="E167" i="22"/>
  <c r="O168" i="22"/>
  <c r="E168" i="22"/>
  <c r="O169" i="22"/>
  <c r="E169" i="22" s="1"/>
  <c r="O170" i="22"/>
  <c r="E170" i="22" s="1"/>
  <c r="O171" i="22"/>
  <c r="E171" i="22" s="1"/>
  <c r="O172" i="22"/>
  <c r="E172" i="22" s="1"/>
  <c r="O173" i="22"/>
  <c r="E173" i="22" s="1"/>
  <c r="O174" i="22"/>
  <c r="E174" i="22" s="1"/>
  <c r="O175" i="22"/>
  <c r="E175" i="22"/>
  <c r="O176" i="22"/>
  <c r="E176" i="22" s="1"/>
  <c r="O177" i="22"/>
  <c r="E177" i="22" s="1"/>
  <c r="O178" i="22"/>
  <c r="E178" i="22" s="1"/>
  <c r="O179" i="22"/>
  <c r="E179" i="22"/>
  <c r="O180" i="22"/>
  <c r="E180" i="22" s="1"/>
  <c r="O181" i="22"/>
  <c r="E181" i="22"/>
  <c r="O182" i="22"/>
  <c r="E182" i="22" s="1"/>
  <c r="O183" i="22"/>
  <c r="E183" i="22"/>
  <c r="O184" i="22"/>
  <c r="E184" i="22" s="1"/>
  <c r="O185" i="22"/>
  <c r="E185" i="22" s="1"/>
  <c r="O186" i="22"/>
  <c r="E186" i="22" s="1"/>
  <c r="O187" i="22"/>
  <c r="E187" i="22" s="1"/>
  <c r="O188" i="22"/>
  <c r="E188" i="22" s="1"/>
  <c r="O189" i="22"/>
  <c r="E189" i="22" s="1"/>
  <c r="O190" i="22"/>
  <c r="E190" i="22" s="1"/>
  <c r="O191" i="22"/>
  <c r="E191" i="22" s="1"/>
  <c r="O192" i="22"/>
  <c r="E192" i="22"/>
  <c r="O193" i="22"/>
  <c r="E193" i="22"/>
  <c r="O194" i="22"/>
  <c r="E194" i="22" s="1"/>
  <c r="O195" i="22"/>
  <c r="E195" i="22" s="1"/>
  <c r="O196" i="22"/>
  <c r="E196" i="22"/>
  <c r="O197" i="22"/>
  <c r="E197" i="22" s="1"/>
  <c r="O198" i="22"/>
  <c r="E198" i="22" s="1"/>
  <c r="O199" i="22"/>
  <c r="E199" i="22" s="1"/>
  <c r="O200" i="22"/>
  <c r="E200" i="22" s="1"/>
  <c r="O201" i="22"/>
  <c r="E201" i="22" s="1"/>
  <c r="O202" i="22"/>
  <c r="E202" i="22" s="1"/>
  <c r="O203" i="22"/>
  <c r="E203" i="22" s="1"/>
  <c r="O204" i="22"/>
  <c r="E204" i="22" s="1"/>
  <c r="O205" i="22"/>
  <c r="E205" i="22"/>
  <c r="O206" i="22"/>
  <c r="E206" i="22" s="1"/>
  <c r="O207" i="22"/>
  <c r="E207" i="22" s="1"/>
  <c r="O208" i="22"/>
  <c r="E208" i="22"/>
  <c r="O10" i="22"/>
  <c r="E10" i="22"/>
  <c r="J10" i="22"/>
  <c r="L9" i="29"/>
  <c r="M10" i="23"/>
  <c r="M11" i="23"/>
  <c r="M12" i="23"/>
  <c r="M13" i="23"/>
  <c r="M14" i="23"/>
  <c r="M15" i="23"/>
  <c r="M16" i="23"/>
  <c r="M17" i="23"/>
  <c r="M18" i="23"/>
  <c r="M19" i="23"/>
  <c r="M20" i="23"/>
  <c r="M21" i="23"/>
  <c r="M22" i="23"/>
  <c r="M23" i="23"/>
  <c r="M24" i="23"/>
  <c r="M25" i="23"/>
  <c r="M26" i="23"/>
  <c r="M27" i="23"/>
  <c r="M28" i="23"/>
  <c r="M29" i="23"/>
  <c r="M30" i="23"/>
  <c r="M31" i="23"/>
  <c r="M32" i="23"/>
  <c r="M33" i="23"/>
  <c r="M34" i="23"/>
  <c r="M35" i="23"/>
  <c r="M36" i="23"/>
  <c r="M37" i="23"/>
  <c r="M38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98" i="23"/>
  <c r="M99" i="23"/>
  <c r="M100" i="23"/>
  <c r="M101" i="23"/>
  <c r="M102" i="23"/>
  <c r="M103" i="23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7" i="22"/>
  <c r="L13" i="23"/>
  <c r="L14" i="23"/>
  <c r="L17" i="23"/>
  <c r="L18" i="23"/>
  <c r="L24" i="23"/>
  <c r="L26" i="23"/>
  <c r="L27" i="23"/>
  <c r="L28" i="23"/>
  <c r="L29" i="23"/>
  <c r="L31" i="23"/>
  <c r="L35" i="23"/>
  <c r="L36" i="23"/>
  <c r="L37" i="23"/>
  <c r="L38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98" i="23"/>
  <c r="L99" i="23"/>
  <c r="L100" i="23"/>
  <c r="L101" i="23"/>
  <c r="L102" i="23"/>
  <c r="L103" i="23"/>
  <c r="L104" i="23"/>
  <c r="L105" i="23"/>
  <c r="L106" i="23"/>
  <c r="L107" i="23"/>
  <c r="L108" i="23"/>
  <c r="I11" i="29"/>
  <c r="I12" i="29"/>
  <c r="J12" i="29" s="1"/>
  <c r="I13" i="29"/>
  <c r="I14" i="29"/>
  <c r="I15" i="29"/>
  <c r="I16" i="29"/>
  <c r="L16" i="29" s="1"/>
  <c r="I17" i="29"/>
  <c r="I18" i="29"/>
  <c r="I19" i="29"/>
  <c r="I20" i="29"/>
  <c r="I21" i="29"/>
  <c r="L21" i="29" s="1"/>
  <c r="I22" i="29"/>
  <c r="L22" i="29" s="1"/>
  <c r="I23" i="29"/>
  <c r="J23" i="29" s="1"/>
  <c r="I24" i="29"/>
  <c r="I25" i="29"/>
  <c r="I26" i="29"/>
  <c r="I27" i="29"/>
  <c r="I28" i="29"/>
  <c r="I29" i="29"/>
  <c r="J29" i="29" s="1"/>
  <c r="I30" i="29"/>
  <c r="L30" i="29" s="1"/>
  <c r="I31" i="29"/>
  <c r="I32" i="29"/>
  <c r="I33" i="29"/>
  <c r="I34" i="29"/>
  <c r="I35" i="29"/>
  <c r="J35" i="29" s="1"/>
  <c r="I36" i="29"/>
  <c r="J36" i="29" s="1"/>
  <c r="I37" i="29"/>
  <c r="L10" i="23"/>
  <c r="M106" i="23"/>
  <c r="M107" i="23"/>
  <c r="M104" i="23"/>
  <c r="M105" i="23"/>
  <c r="M108" i="23"/>
  <c r="I24" i="36"/>
  <c r="H24" i="36"/>
  <c r="I25" i="36"/>
  <c r="I31" i="36"/>
  <c r="I32" i="36"/>
  <c r="I34" i="36"/>
  <c r="H34" i="36"/>
  <c r="I40" i="36"/>
  <c r="H40" i="36"/>
  <c r="H41" i="36"/>
  <c r="I41" i="36"/>
  <c r="I42" i="36"/>
  <c r="H42" i="36"/>
  <c r="I47" i="36"/>
  <c r="I48" i="36"/>
  <c r="H48" i="36"/>
  <c r="I50" i="36"/>
  <c r="H50" i="36"/>
  <c r="I56" i="36"/>
  <c r="H56" i="36"/>
  <c r="H57" i="36"/>
  <c r="I57" i="36"/>
  <c r="I63" i="36"/>
  <c r="I64" i="36"/>
  <c r="H65" i="36"/>
  <c r="I65" i="36"/>
  <c r="I66" i="36"/>
  <c r="H66" i="36"/>
  <c r="I71" i="36"/>
  <c r="I72" i="36"/>
  <c r="H72" i="36"/>
  <c r="I73" i="36"/>
  <c r="I74" i="36"/>
  <c r="I79" i="36"/>
  <c r="H80" i="36"/>
  <c r="I82" i="36"/>
  <c r="H89" i="36"/>
  <c r="I89" i="36"/>
  <c r="I95" i="36"/>
  <c r="H96" i="36"/>
  <c r="H97" i="36"/>
  <c r="I97" i="36"/>
  <c r="H104" i="36"/>
  <c r="I104" i="36"/>
  <c r="H105" i="36"/>
  <c r="I105" i="36"/>
  <c r="I16" i="36"/>
  <c r="J16" i="36"/>
  <c r="H16" i="36"/>
  <c r="I23" i="36"/>
  <c r="L20" i="23"/>
  <c r="L12" i="23"/>
  <c r="L39" i="23"/>
  <c r="L23" i="23"/>
  <c r="L19" i="23"/>
  <c r="L15" i="23"/>
  <c r="J25" i="29"/>
  <c r="L33" i="29"/>
  <c r="J33" i="29"/>
  <c r="J21" i="29"/>
  <c r="L36" i="29"/>
  <c r="L24" i="29"/>
  <c r="J17" i="29"/>
  <c r="L32" i="29"/>
  <c r="L8" i="29"/>
  <c r="J9" i="29"/>
  <c r="L29" i="29"/>
  <c r="J16" i="29"/>
  <c r="L26" i="29"/>
  <c r="J26" i="29"/>
  <c r="B80" i="23"/>
  <c r="N80" i="23"/>
  <c r="B92" i="23"/>
  <c r="B104" i="23"/>
  <c r="N104" i="23"/>
  <c r="B100" i="23"/>
  <c r="N100" i="23"/>
  <c r="B66" i="23"/>
  <c r="N66" i="23"/>
  <c r="B62" i="23"/>
  <c r="B58" i="23"/>
  <c r="N58" i="23"/>
  <c r="B54" i="23"/>
  <c r="B50" i="23"/>
  <c r="N50" i="23"/>
  <c r="B46" i="23"/>
  <c r="B42" i="23"/>
  <c r="N42" i="23"/>
  <c r="B38" i="23"/>
  <c r="B30" i="23"/>
  <c r="N30" i="23"/>
  <c r="B26" i="23"/>
  <c r="B22" i="23"/>
  <c r="N22" i="23"/>
  <c r="B18" i="23"/>
  <c r="N18" i="23"/>
  <c r="B14" i="23"/>
  <c r="N14" i="23"/>
  <c r="B10" i="23"/>
  <c r="N10" i="23"/>
  <c r="B68" i="23"/>
  <c r="N68" i="23"/>
  <c r="B76" i="23"/>
  <c r="N76" i="23"/>
  <c r="B86" i="23"/>
  <c r="N86" i="23"/>
  <c r="B94" i="23"/>
  <c r="N94" i="23"/>
  <c r="B108" i="23"/>
  <c r="N108" i="23"/>
  <c r="B107" i="23"/>
  <c r="N107" i="23"/>
  <c r="B103" i="23"/>
  <c r="N103" i="23"/>
  <c r="B99" i="23"/>
  <c r="B65" i="23"/>
  <c r="N65" i="23"/>
  <c r="B61" i="23"/>
  <c r="N61" i="23"/>
  <c r="B57" i="23"/>
  <c r="B53" i="23"/>
  <c r="N53" i="23"/>
  <c r="B49" i="23"/>
  <c r="N49" i="23"/>
  <c r="B45" i="23"/>
  <c r="B41" i="23"/>
  <c r="N41" i="23"/>
  <c r="B37" i="23"/>
  <c r="N37" i="23"/>
  <c r="B33" i="23"/>
  <c r="N33" i="23"/>
  <c r="B29" i="23"/>
  <c r="B25" i="23"/>
  <c r="N25" i="23"/>
  <c r="B21" i="23"/>
  <c r="N21" i="23"/>
  <c r="B17" i="23"/>
  <c r="N17" i="23"/>
  <c r="B13" i="23"/>
  <c r="B78" i="23"/>
  <c r="N78" i="23"/>
  <c r="B90" i="23"/>
  <c r="N90" i="23"/>
  <c r="B96" i="23"/>
  <c r="N96" i="23"/>
  <c r="B72" i="23"/>
  <c r="N72" i="23"/>
  <c r="B88" i="23"/>
  <c r="N88" i="23"/>
  <c r="B106" i="23"/>
  <c r="N106" i="23"/>
  <c r="B102" i="23"/>
  <c r="N102" i="23"/>
  <c r="B98" i="23"/>
  <c r="N98" i="23"/>
  <c r="B64" i="23"/>
  <c r="N64" i="23"/>
  <c r="B60" i="23"/>
  <c r="N60" i="23"/>
  <c r="B56" i="23"/>
  <c r="N56" i="23"/>
  <c r="B52" i="23"/>
  <c r="N52" i="23"/>
  <c r="B48" i="23"/>
  <c r="N48" i="23"/>
  <c r="B44" i="23"/>
  <c r="N44" i="23"/>
  <c r="B40" i="23"/>
  <c r="N40" i="23"/>
  <c r="B36" i="23"/>
  <c r="N36" i="23"/>
  <c r="B32" i="23"/>
  <c r="N32" i="23"/>
  <c r="B28" i="23"/>
  <c r="N28" i="23"/>
  <c r="B20" i="23"/>
  <c r="N20" i="23"/>
  <c r="B16" i="23"/>
  <c r="N16" i="23"/>
  <c r="B12" i="23"/>
  <c r="N12" i="23"/>
  <c r="B70" i="23"/>
  <c r="N70" i="23"/>
  <c r="B82" i="23"/>
  <c r="N82" i="23"/>
  <c r="B69" i="23"/>
  <c r="N69" i="23"/>
  <c r="B71" i="23"/>
  <c r="N71" i="23"/>
  <c r="B73" i="23"/>
  <c r="N73" i="23"/>
  <c r="B75" i="23"/>
  <c r="N75" i="23"/>
  <c r="B77" i="23"/>
  <c r="N77" i="23"/>
  <c r="B79" i="23"/>
  <c r="N79" i="23"/>
  <c r="B81" i="23"/>
  <c r="N81" i="23"/>
  <c r="B83" i="23"/>
  <c r="N83" i="23"/>
  <c r="B85" i="23"/>
  <c r="N85" i="23"/>
  <c r="B87" i="23"/>
  <c r="N87" i="23"/>
  <c r="B89" i="23"/>
  <c r="N89" i="23"/>
  <c r="B91" i="23"/>
  <c r="N91" i="23"/>
  <c r="B93" i="23"/>
  <c r="N93" i="23"/>
  <c r="B95" i="23"/>
  <c r="N95" i="23"/>
  <c r="B97" i="23"/>
  <c r="N97" i="23"/>
  <c r="B74" i="23"/>
  <c r="N74" i="23"/>
  <c r="B9" i="23"/>
  <c r="B105" i="23"/>
  <c r="B101" i="23"/>
  <c r="N101" i="23"/>
  <c r="B67" i="23"/>
  <c r="N67" i="23"/>
  <c r="B63" i="23"/>
  <c r="N63" i="23"/>
  <c r="B59" i="23"/>
  <c r="N59" i="23"/>
  <c r="B55" i="23"/>
  <c r="N55" i="23"/>
  <c r="B51" i="23"/>
  <c r="B47" i="23"/>
  <c r="N47" i="23"/>
  <c r="B43" i="23"/>
  <c r="N43" i="23"/>
  <c r="B39" i="23"/>
  <c r="N39" i="23"/>
  <c r="B35" i="23"/>
  <c r="N35" i="23"/>
  <c r="B31" i="23"/>
  <c r="N31" i="23"/>
  <c r="B27" i="23"/>
  <c r="N27" i="23"/>
  <c r="B23" i="23"/>
  <c r="N23" i="23"/>
  <c r="B15" i="23"/>
  <c r="N15" i="23"/>
  <c r="B11" i="23"/>
  <c r="N11" i="23"/>
  <c r="B84" i="23"/>
  <c r="N84" i="23"/>
  <c r="H111" i="36"/>
  <c r="I102" i="36"/>
  <c r="H78" i="36"/>
  <c r="H37" i="36"/>
  <c r="B37" i="36"/>
  <c r="H53" i="36"/>
  <c r="B53" i="36"/>
  <c r="H61" i="36"/>
  <c r="B61" i="36"/>
  <c r="I69" i="36"/>
  <c r="B69" i="36"/>
  <c r="H93" i="36"/>
  <c r="B93" i="36"/>
  <c r="H101" i="36"/>
  <c r="B101" i="36"/>
  <c r="H123" i="36"/>
  <c r="B123" i="36"/>
  <c r="I131" i="36"/>
  <c r="B131" i="36"/>
  <c r="I139" i="36"/>
  <c r="B139" i="36"/>
  <c r="H147" i="36"/>
  <c r="B147" i="36"/>
  <c r="I155" i="36"/>
  <c r="B155" i="36"/>
  <c r="H163" i="36"/>
  <c r="B163" i="36"/>
  <c r="I171" i="36"/>
  <c r="B171" i="36"/>
  <c r="H178" i="36"/>
  <c r="B178" i="36"/>
  <c r="H194" i="36"/>
  <c r="B194" i="36"/>
  <c r="H203" i="36"/>
  <c r="B203" i="36"/>
  <c r="H70" i="36"/>
  <c r="B70" i="36"/>
  <c r="I140" i="36"/>
  <c r="B140" i="36"/>
  <c r="H102" i="36"/>
  <c r="H86" i="36"/>
  <c r="J15" i="36"/>
  <c r="B15" i="36"/>
  <c r="H31" i="36"/>
  <c r="B31" i="36"/>
  <c r="H47" i="36"/>
  <c r="B47" i="36"/>
  <c r="H55" i="36"/>
  <c r="B55" i="36"/>
  <c r="H63" i="36"/>
  <c r="B63" i="36"/>
  <c r="H71" i="36"/>
  <c r="B71" i="36"/>
  <c r="H79" i="36"/>
  <c r="B79" i="36"/>
  <c r="H87" i="36"/>
  <c r="B87" i="36"/>
  <c r="H95" i="36"/>
  <c r="B95" i="36"/>
  <c r="I205" i="36"/>
  <c r="I133" i="36"/>
  <c r="B133" i="36"/>
  <c r="I141" i="36"/>
  <c r="B141" i="36"/>
  <c r="I149" i="36"/>
  <c r="B149" i="36"/>
  <c r="I165" i="36"/>
  <c r="B165" i="36"/>
  <c r="H180" i="36"/>
  <c r="B180" i="36"/>
  <c r="I206" i="36"/>
  <c r="B206" i="36"/>
  <c r="I22" i="36"/>
  <c r="B22" i="36"/>
  <c r="H94" i="36"/>
  <c r="B94" i="36"/>
  <c r="I124" i="36"/>
  <c r="B124" i="36"/>
  <c r="I86" i="36"/>
  <c r="H32" i="36"/>
  <c r="B32" i="36"/>
  <c r="H64" i="36"/>
  <c r="B64" i="36"/>
  <c r="I80" i="36"/>
  <c r="B80" i="36"/>
  <c r="H110" i="36"/>
  <c r="B110" i="36"/>
  <c r="I118" i="36"/>
  <c r="B118" i="36"/>
  <c r="H126" i="36"/>
  <c r="B126" i="36"/>
  <c r="H134" i="36"/>
  <c r="B134" i="36"/>
  <c r="H142" i="36"/>
  <c r="B142" i="36"/>
  <c r="H158" i="36"/>
  <c r="B158" i="36"/>
  <c r="H166" i="36"/>
  <c r="B166" i="36"/>
  <c r="H174" i="36"/>
  <c r="B174" i="36"/>
  <c r="I189" i="36"/>
  <c r="B189" i="36"/>
  <c r="I197" i="36"/>
  <c r="B197" i="36"/>
  <c r="I204" i="36"/>
  <c r="B204" i="36"/>
  <c r="I172" i="36"/>
  <c r="B172" i="36"/>
  <c r="H17" i="36"/>
  <c r="B17" i="36"/>
  <c r="H25" i="36"/>
  <c r="B25" i="36"/>
  <c r="H33" i="36"/>
  <c r="B33" i="36"/>
  <c r="H73" i="36"/>
  <c r="B73" i="36"/>
  <c r="H119" i="36"/>
  <c r="B119" i="36"/>
  <c r="I127" i="36"/>
  <c r="B127" i="36"/>
  <c r="H143" i="36"/>
  <c r="B143" i="36"/>
  <c r="I151" i="36"/>
  <c r="B151" i="36"/>
  <c r="I167" i="36"/>
  <c r="B167" i="36"/>
  <c r="I175" i="36"/>
  <c r="B175" i="36"/>
  <c r="H182" i="36"/>
  <c r="B182" i="36"/>
  <c r="H190" i="36"/>
  <c r="B190" i="36"/>
  <c r="H198" i="36"/>
  <c r="B198" i="36"/>
  <c r="I201" i="36"/>
  <c r="B201" i="36"/>
  <c r="I156" i="36"/>
  <c r="B156" i="36"/>
  <c r="H187" i="36"/>
  <c r="B187" i="36"/>
  <c r="H26" i="36"/>
  <c r="B26" i="36"/>
  <c r="I58" i="36"/>
  <c r="B58" i="36"/>
  <c r="H74" i="36"/>
  <c r="B74" i="36"/>
  <c r="H82" i="36"/>
  <c r="B82" i="36"/>
  <c r="I90" i="36"/>
  <c r="B90" i="36"/>
  <c r="H98" i="36"/>
  <c r="B98" i="36"/>
  <c r="H112" i="36"/>
  <c r="B112" i="36"/>
  <c r="I120" i="36"/>
  <c r="B120" i="36"/>
  <c r="H128" i="36"/>
  <c r="B128" i="36"/>
  <c r="I136" i="36"/>
  <c r="B136" i="36"/>
  <c r="H144" i="36"/>
  <c r="B144" i="36"/>
  <c r="H152" i="36"/>
  <c r="B152" i="36"/>
  <c r="H160" i="36"/>
  <c r="B160" i="36"/>
  <c r="H168" i="36"/>
  <c r="B168" i="36"/>
  <c r="H176" i="36"/>
  <c r="B176" i="36"/>
  <c r="I183" i="36"/>
  <c r="B183" i="36"/>
  <c r="I199" i="36"/>
  <c r="B199" i="36"/>
  <c r="B11" i="36"/>
  <c r="H35" i="36"/>
  <c r="B35" i="36"/>
  <c r="I43" i="36"/>
  <c r="B43" i="36"/>
  <c r="I51" i="36"/>
  <c r="B51" i="36"/>
  <c r="H67" i="36"/>
  <c r="B67" i="36"/>
  <c r="I83" i="36"/>
  <c r="B83" i="36"/>
  <c r="H107" i="36"/>
  <c r="B107" i="36"/>
  <c r="I113" i="36"/>
  <c r="B113" i="36"/>
  <c r="I121" i="36"/>
  <c r="B121" i="36"/>
  <c r="I129" i="36"/>
  <c r="B129" i="36"/>
  <c r="H137" i="36"/>
  <c r="B137" i="36"/>
  <c r="I153" i="36"/>
  <c r="B153" i="36"/>
  <c r="I161" i="36"/>
  <c r="B161" i="36"/>
  <c r="I169" i="36"/>
  <c r="B169" i="36"/>
  <c r="I184" i="36"/>
  <c r="B184" i="36"/>
  <c r="H192" i="36"/>
  <c r="B192" i="36"/>
  <c r="I200" i="36"/>
  <c r="B200" i="36"/>
  <c r="H116" i="36"/>
  <c r="B116" i="36"/>
  <c r="I195" i="36"/>
  <c r="B195" i="36"/>
  <c r="I94" i="36"/>
  <c r="I78" i="36"/>
  <c r="B12" i="36"/>
  <c r="I28" i="36"/>
  <c r="B28" i="36"/>
  <c r="I44" i="36"/>
  <c r="B44" i="36"/>
  <c r="H52" i="36"/>
  <c r="B52" i="36"/>
  <c r="H60" i="36"/>
  <c r="B60" i="36"/>
  <c r="H76" i="36"/>
  <c r="B76" i="36"/>
  <c r="H92" i="36"/>
  <c r="B92" i="36"/>
  <c r="H114" i="36"/>
  <c r="B114" i="36"/>
  <c r="H122" i="36"/>
  <c r="B122" i="36"/>
  <c r="H146" i="36"/>
  <c r="B146" i="36"/>
  <c r="H154" i="36"/>
  <c r="B154" i="36"/>
  <c r="H162" i="36"/>
  <c r="B162" i="36"/>
  <c r="H170" i="36"/>
  <c r="B170" i="36"/>
  <c r="H177" i="36"/>
  <c r="B177" i="36"/>
  <c r="I185" i="36"/>
  <c r="B185" i="36"/>
  <c r="I193" i="36"/>
  <c r="B193" i="36"/>
  <c r="H202" i="36"/>
  <c r="B202" i="36"/>
  <c r="H184" i="36"/>
  <c r="H125" i="36"/>
  <c r="I192" i="36"/>
  <c r="H141" i="36"/>
  <c r="H149" i="36"/>
  <c r="H153" i="36"/>
  <c r="H161" i="36"/>
  <c r="H195" i="36"/>
  <c r="H169" i="36"/>
  <c r="I99" i="36"/>
  <c r="I75" i="36"/>
  <c r="I27" i="36"/>
  <c r="H27" i="36"/>
  <c r="H83" i="36"/>
  <c r="I35" i="36"/>
  <c r="I108" i="36"/>
  <c r="H91" i="36"/>
  <c r="J11" i="36"/>
  <c r="H75" i="36"/>
  <c r="H99" i="36"/>
  <c r="I91" i="36"/>
  <c r="I67" i="36"/>
  <c r="I122" i="36"/>
  <c r="I126" i="36"/>
  <c r="I130" i="36"/>
  <c r="I111" i="36"/>
  <c r="H121" i="36"/>
  <c r="H138" i="36"/>
  <c r="I125" i="36"/>
  <c r="I138" i="36"/>
  <c r="H175" i="36"/>
  <c r="H133" i="36"/>
  <c r="H157" i="36"/>
  <c r="H173" i="36"/>
  <c r="I114" i="36"/>
  <c r="I182" i="36"/>
  <c r="H167" i="36"/>
  <c r="I187" i="36"/>
  <c r="I134" i="36"/>
  <c r="H185" i="36"/>
  <c r="H204" i="36"/>
  <c r="I76" i="36"/>
  <c r="I144" i="36"/>
  <c r="H139" i="36"/>
  <c r="I198" i="36"/>
  <c r="I163" i="36"/>
  <c r="I123" i="36"/>
  <c r="I203" i="36"/>
  <c r="I166" i="36"/>
  <c r="I178" i="36"/>
  <c r="I160" i="36"/>
  <c r="H205" i="36"/>
  <c r="H118" i="36"/>
  <c r="H130" i="36"/>
  <c r="I137" i="36"/>
  <c r="I147" i="36"/>
  <c r="I159" i="36"/>
  <c r="H159" i="36"/>
  <c r="H113" i="36"/>
  <c r="I174" i="36"/>
  <c r="H117" i="36"/>
  <c r="I112" i="36"/>
  <c r="I142" i="36"/>
  <c r="I176" i="36"/>
  <c r="H131" i="36"/>
  <c r="I109" i="36"/>
  <c r="I173" i="36"/>
  <c r="I146" i="36"/>
  <c r="H179" i="36"/>
  <c r="I179" i="36"/>
  <c r="H84" i="36"/>
  <c r="I52" i="36"/>
  <c r="H69" i="36"/>
  <c r="I61" i="36"/>
  <c r="I92" i="36"/>
  <c r="H68" i="36"/>
  <c r="I60" i="36"/>
  <c r="H20" i="36"/>
  <c r="I20" i="36"/>
  <c r="J20" i="36"/>
  <c r="I84" i="36"/>
  <c r="H28" i="36"/>
  <c r="J12" i="36"/>
  <c r="H44" i="36"/>
  <c r="I37" i="36"/>
  <c r="I54" i="36"/>
  <c r="I38" i="36"/>
  <c r="I93" i="36"/>
  <c r="J14" i="36"/>
  <c r="I101" i="36"/>
  <c r="H62" i="36"/>
  <c r="H38" i="36"/>
  <c r="I30" i="36"/>
  <c r="H22" i="36"/>
  <c r="H59" i="36"/>
  <c r="I59" i="36"/>
  <c r="I29" i="36"/>
  <c r="I21" i="36"/>
  <c r="J21" i="36"/>
  <c r="H21" i="36"/>
  <c r="H106" i="36"/>
  <c r="H29" i="36"/>
  <c r="I98" i="36"/>
  <c r="I106" i="36"/>
  <c r="H36" i="36"/>
  <c r="H43" i="36"/>
  <c r="H85" i="36"/>
  <c r="H54" i="36"/>
  <c r="I46" i="36"/>
  <c r="H46" i="36"/>
  <c r="I85" i="36"/>
  <c r="I208" i="36"/>
  <c r="H39" i="36"/>
  <c r="I77" i="36"/>
  <c r="H208" i="36"/>
  <c r="I70" i="36"/>
  <c r="I39" i="36"/>
  <c r="I33" i="36"/>
  <c r="I100" i="36"/>
  <c r="J10" i="36"/>
  <c r="I96" i="36"/>
  <c r="H103" i="36"/>
  <c r="I103" i="36"/>
  <c r="I18" i="36"/>
  <c r="J18" i="36"/>
  <c r="H18" i="36"/>
  <c r="H150" i="36"/>
  <c r="I115" i="36"/>
  <c r="H115" i="36"/>
  <c r="I145" i="36"/>
  <c r="H145" i="36"/>
  <c r="H196" i="36"/>
  <c r="I107" i="36"/>
  <c r="I150" i="36"/>
  <c r="I135" i="36"/>
  <c r="H135" i="36"/>
  <c r="I53" i="36"/>
  <c r="I191" i="36"/>
  <c r="H191" i="36"/>
  <c r="H88" i="36"/>
  <c r="I88" i="36"/>
  <c r="H186" i="36"/>
  <c r="I186" i="36"/>
  <c r="I45" i="36"/>
  <c r="I181" i="36"/>
  <c r="H181" i="36"/>
  <c r="H109" i="36"/>
  <c r="H197" i="36"/>
  <c r="I158" i="36"/>
  <c r="H129" i="36"/>
  <c r="H183" i="36"/>
  <c r="I117" i="36"/>
  <c r="I157" i="36"/>
  <c r="I110" i="36"/>
  <c r="H165" i="36"/>
  <c r="L9" i="23"/>
  <c r="I170" i="36"/>
  <c r="H151" i="36"/>
  <c r="I119" i="36"/>
  <c r="H100" i="36"/>
  <c r="H90" i="36"/>
  <c r="I81" i="36"/>
  <c r="H77" i="36"/>
  <c r="I68" i="36"/>
  <c r="H58" i="36"/>
  <c r="I49" i="36"/>
  <c r="H45" i="36"/>
  <c r="I36" i="36"/>
  <c r="I26" i="36"/>
  <c r="I19" i="36"/>
  <c r="J19" i="36"/>
  <c r="H200" i="36"/>
  <c r="H81" i="36"/>
  <c r="I62" i="36"/>
  <c r="H49" i="36"/>
  <c r="H30" i="36"/>
  <c r="H19" i="36"/>
  <c r="H51" i="36"/>
  <c r="H206" i="36"/>
  <c r="I116" i="36"/>
  <c r="I132" i="36"/>
  <c r="I148" i="36"/>
  <c r="I164" i="36"/>
  <c r="I180" i="36"/>
  <c r="I196" i="36"/>
  <c r="H108" i="36"/>
  <c r="H120" i="36"/>
  <c r="H124" i="36"/>
  <c r="H132" i="36"/>
  <c r="H136" i="36"/>
  <c r="H140" i="36"/>
  <c r="H148" i="36"/>
  <c r="H156" i="36"/>
  <c r="H164" i="36"/>
  <c r="H172" i="36"/>
  <c r="H188" i="36"/>
  <c r="H23" i="36"/>
  <c r="I152" i="36"/>
  <c r="I168" i="36"/>
  <c r="J13" i="36"/>
  <c r="I17" i="36"/>
  <c r="J17" i="36"/>
  <c r="H207" i="36"/>
  <c r="I188" i="36"/>
  <c r="I87" i="36"/>
  <c r="I55" i="36"/>
  <c r="I207" i="36"/>
  <c r="J9" i="36"/>
  <c r="F117" i="23"/>
  <c r="F124" i="23"/>
  <c r="N9" i="23"/>
  <c r="AE63" i="38" a="1"/>
  <c r="BF63" i="38" a="1"/>
  <c r="BB63" i="38" a="1"/>
  <c r="BB63" i="26" a="1"/>
  <c r="BG63" i="38" a="1"/>
  <c r="U63" i="26" a="1"/>
  <c r="V63" i="26" a="1"/>
  <c r="AE63" i="26" a="1"/>
  <c r="BH63" i="26" a="1"/>
  <c r="BE63" i="38" a="1"/>
  <c r="BF63" i="26" a="1"/>
  <c r="AY63" i="38" a="1"/>
  <c r="AI63" i="26" a="1"/>
  <c r="AH63" i="38" a="1"/>
  <c r="AK63" i="26" a="1"/>
  <c r="AN63" i="26" a="1"/>
  <c r="BC63" i="38" a="1"/>
  <c r="AT63" i="26" a="1"/>
  <c r="BD63" i="38" a="1"/>
  <c r="P63" i="26" a="1"/>
  <c r="N63" i="26" a="1"/>
  <c r="Z63" i="38" a="1"/>
  <c r="AW63" i="38" a="1"/>
  <c r="Y63" i="38" a="1"/>
  <c r="P63" i="38" a="1"/>
  <c r="Q63" i="26" a="1"/>
  <c r="AP63" i="38" a="1"/>
  <c r="BI63" i="26" a="1"/>
  <c r="AX63" i="26" a="1"/>
  <c r="AZ63" i="38" a="1"/>
  <c r="AR63" i="38" a="1"/>
  <c r="X63" i="38" a="1"/>
  <c r="AL63" i="38" a="1"/>
  <c r="T63" i="38" a="1"/>
  <c r="AT63" i="38" a="1"/>
  <c r="BA63" i="26" a="1"/>
  <c r="L63" i="38" a="1"/>
  <c r="AZ63" i="26" a="1"/>
  <c r="AD63" i="26" a="1"/>
  <c r="AB63" i="26" a="1"/>
  <c r="AC63" i="38" a="1"/>
  <c r="W63" i="38" a="1"/>
  <c r="AF63" i="26" a="1"/>
  <c r="AS63" i="26" a="1"/>
  <c r="BJ63" i="26" a="1"/>
  <c r="Z63" i="26" a="1"/>
  <c r="AC63" i="26" a="1"/>
  <c r="AX63" i="38" a="1"/>
  <c r="AJ63" i="26" a="1"/>
  <c r="AQ63" i="38" a="1"/>
  <c r="X63" i="26" a="1"/>
  <c r="AL63" i="26" a="1"/>
  <c r="BI63" i="38" a="1"/>
  <c r="BE63" i="26" a="1"/>
  <c r="BG63" i="26" a="1"/>
  <c r="BA63" i="38" a="1"/>
  <c r="AB63" i="38" a="1"/>
  <c r="N63" i="38" a="1"/>
  <c r="AV63" i="38" a="1"/>
  <c r="AM63" i="26" a="1"/>
  <c r="Y63" i="26" a="1"/>
  <c r="AR63" i="26" a="1"/>
  <c r="O63" i="26" a="1"/>
  <c r="W63" i="26" a="1"/>
  <c r="AV63" i="26" a="1"/>
  <c r="AI63" i="38" a="1"/>
  <c r="AU63" i="26" a="1"/>
  <c r="AA63" i="38" a="1"/>
  <c r="BH63" i="38" a="1"/>
  <c r="AU63" i="38" a="1"/>
  <c r="T63" i="26" a="1"/>
  <c r="S63" i="38" a="1"/>
  <c r="S63" i="26" a="1"/>
  <c r="AO63" i="26" a="1"/>
  <c r="AJ63" i="38" a="1"/>
  <c r="AY63" i="26" a="1"/>
  <c r="AG63" i="26" a="1"/>
  <c r="AS63" i="38" a="1"/>
  <c r="AP63" i="26" a="1"/>
  <c r="AK63" i="38" a="1"/>
  <c r="R63" i="38" a="1"/>
  <c r="R63" i="26" a="1"/>
  <c r="AQ63" i="26" a="1"/>
  <c r="AH63" i="26" a="1"/>
  <c r="AA63" i="26" a="1"/>
  <c r="AF63" i="38" a="1"/>
  <c r="BD63" i="26" a="1"/>
  <c r="AW63" i="26" a="1"/>
  <c r="Q63" i="38" a="1"/>
  <c r="M63" i="26" a="1"/>
  <c r="V63" i="38" a="1"/>
  <c r="M63" i="38" a="1"/>
  <c r="AO63" i="38" a="1"/>
  <c r="BC63" i="26" a="1"/>
  <c r="AN63" i="38" a="1"/>
  <c r="O63" i="38" a="1"/>
  <c r="AM63" i="38" a="1"/>
  <c r="AD63" i="38" a="1"/>
  <c r="U63" i="38" a="1"/>
  <c r="AG63" i="38" a="1"/>
  <c r="L37" i="29" l="1"/>
  <c r="K37" i="29"/>
  <c r="M37" i="29"/>
  <c r="F44" i="29" s="1"/>
  <c r="L20" i="29"/>
  <c r="J32" i="29"/>
  <c r="L28" i="29"/>
  <c r="J20" i="29"/>
  <c r="L12" i="29"/>
  <c r="J28" i="29"/>
  <c r="N8" i="24" a="1"/>
  <c r="N8" i="24" s="1"/>
  <c r="N60" i="24" s="1"/>
  <c r="N62" i="24" s="1"/>
  <c r="J30" i="29"/>
  <c r="L11" i="29"/>
  <c r="N62" i="23"/>
  <c r="N54" i="23"/>
  <c r="N46" i="23"/>
  <c r="N38" i="23"/>
  <c r="N26" i="23"/>
  <c r="L35" i="29"/>
  <c r="L31" i="29"/>
  <c r="L23" i="29"/>
  <c r="L19" i="29"/>
  <c r="J11" i="29"/>
  <c r="J19" i="29"/>
  <c r="J31" i="29"/>
  <c r="L34" i="29"/>
  <c r="L18" i="29"/>
  <c r="J18" i="29"/>
  <c r="L14" i="29"/>
  <c r="J14" i="29"/>
  <c r="J10" i="29"/>
  <c r="L10" i="29"/>
  <c r="J8" i="29"/>
  <c r="M8" i="38" a="1"/>
  <c r="M8" i="38" s="1"/>
  <c r="N57" i="23"/>
  <c r="N51" i="23"/>
  <c r="N45" i="23"/>
  <c r="N29" i="23"/>
  <c r="N13" i="23"/>
  <c r="BG63" i="38"/>
  <c r="BA63" i="38"/>
  <c r="AK63" i="38"/>
  <c r="AB63" i="38"/>
  <c r="AE63" i="38"/>
  <c r="AL63" i="26"/>
  <c r="O63" i="26"/>
  <c r="AG63" i="26"/>
  <c r="AM63" i="26"/>
  <c r="AG63" i="38"/>
  <c r="AN63" i="38"/>
  <c r="AQ63" i="38"/>
  <c r="P63" i="38"/>
  <c r="AS63" i="38"/>
  <c r="BH63" i="38"/>
  <c r="AA63" i="26"/>
  <c r="S63" i="26"/>
  <c r="BI63" i="26"/>
  <c r="X63" i="26"/>
  <c r="AF63" i="38"/>
  <c r="W63" i="38"/>
  <c r="AV63" i="38"/>
  <c r="AI63" i="38"/>
  <c r="AH63" i="38"/>
  <c r="Q63" i="26"/>
  <c r="AQ63" i="26"/>
  <c r="Y63" i="26"/>
  <c r="AY63" i="26"/>
  <c r="BD63" i="38"/>
  <c r="X63" i="38"/>
  <c r="BC63" i="38"/>
  <c r="L63" i="38"/>
  <c r="P63" i="26"/>
  <c r="BA63" i="26"/>
  <c r="BC63" i="26"/>
  <c r="AC63" i="26"/>
  <c r="AY63" i="38"/>
  <c r="R63" i="38"/>
  <c r="AU63" i="38"/>
  <c r="Q63" i="38"/>
  <c r="AZ63" i="26"/>
  <c r="V63" i="26"/>
  <c r="N63" i="26"/>
  <c r="Z63" i="26"/>
  <c r="N63" i="38"/>
  <c r="AZ63" i="38"/>
  <c r="BE63" i="38"/>
  <c r="U63" i="38"/>
  <c r="O63" i="38"/>
  <c r="U63" i="26"/>
  <c r="R63" i="26"/>
  <c r="M63" i="26"/>
  <c r="W63" i="26"/>
  <c r="Y63" i="38"/>
  <c r="AM63" i="38"/>
  <c r="V63" i="38"/>
  <c r="AD63" i="38"/>
  <c r="BB63" i="26"/>
  <c r="BJ63" i="26"/>
  <c r="BE63" i="26"/>
  <c r="BF63" i="26"/>
  <c r="BG63" i="26"/>
  <c r="AV63" i="26"/>
  <c r="AW63" i="26"/>
  <c r="AD63" i="26"/>
  <c r="AO63" i="38"/>
  <c r="BI63" i="38"/>
  <c r="AJ63" i="38"/>
  <c r="BF63" i="38"/>
  <c r="T63" i="26"/>
  <c r="AI63" i="26"/>
  <c r="AF63" i="26"/>
  <c r="BH63" i="26"/>
  <c r="AE63" i="26"/>
  <c r="AL63" i="38"/>
  <c r="Z63" i="38"/>
  <c r="AR63" i="38"/>
  <c r="M63" i="38"/>
  <c r="AS63" i="26"/>
  <c r="AT63" i="26"/>
  <c r="BD63" i="26"/>
  <c r="AN63" i="26"/>
  <c r="AH63" i="26"/>
  <c r="AX63" i="38"/>
  <c r="AA63" i="38"/>
  <c r="S63" i="38"/>
  <c r="T63" i="38"/>
  <c r="AJ63" i="26"/>
  <c r="AB63" i="26"/>
  <c r="AK63" i="26"/>
  <c r="AP63" i="26"/>
  <c r="AW63" i="38"/>
  <c r="AT63" i="38"/>
  <c r="BB63" i="38"/>
  <c r="AP63" i="38"/>
  <c r="AC63" i="38"/>
  <c r="AU63" i="26"/>
  <c r="AX63" i="26"/>
  <c r="AR63" i="26"/>
  <c r="AO63" i="26"/>
  <c r="A80" i="39"/>
  <c r="A81" i="39"/>
  <c r="C82" i="39"/>
  <c r="J27" i="29"/>
  <c r="L27" i="29"/>
  <c r="J15" i="29"/>
  <c r="L15" i="29"/>
  <c r="B34" i="23"/>
  <c r="N34" i="23"/>
  <c r="B24" i="23"/>
  <c r="N24" i="23"/>
  <c r="B19" i="23"/>
  <c r="N19" i="23"/>
  <c r="J37" i="29"/>
  <c r="L25" i="29"/>
  <c r="L13" i="29"/>
  <c r="J13" i="29"/>
  <c r="F112" i="23"/>
  <c r="J22" i="29"/>
  <c r="J34" i="29"/>
  <c r="L17" i="29"/>
  <c r="J24" i="29"/>
  <c r="F320" i="22"/>
  <c r="F321" i="22"/>
  <c r="M60" i="24"/>
  <c r="M9" i="24" a="1"/>
  <c r="M9" i="24" s="1"/>
  <c r="M61" i="24"/>
  <c r="M10" i="38"/>
  <c r="M10" i="26" a="1"/>
  <c r="M10" i="26" s="1"/>
  <c r="L11" i="26" a="1"/>
  <c r="L11" i="26" s="1"/>
  <c r="M9" i="38"/>
  <c r="P8" i="25" a="1"/>
  <c r="P8" i="25" s="1"/>
  <c r="P9" i="25" s="1" a="1"/>
  <c r="P9" i="25" s="1"/>
  <c r="O60" i="25"/>
  <c r="M60" i="26"/>
  <c r="N8" i="26" a="1"/>
  <c r="N8" i="26" s="1"/>
  <c r="L12" i="26" a="1"/>
  <c r="L12" i="26" s="1"/>
  <c r="L13" i="26" s="1" a="1"/>
  <c r="L13" i="26" s="1"/>
  <c r="N10" i="25" a="1"/>
  <c r="N10" i="25" s="1"/>
  <c r="L10" i="24" a="1"/>
  <c r="L10" i="24" s="1"/>
  <c r="M9" i="26" a="1"/>
  <c r="M9" i="26" s="1"/>
  <c r="K11" i="38" a="1"/>
  <c r="K11" i="38" s="1"/>
  <c r="K12" i="38" s="1" a="1"/>
  <c r="K12" i="38" s="1"/>
  <c r="N8" i="38" a="1"/>
  <c r="N8" i="38" s="1"/>
  <c r="L9" i="38"/>
  <c r="O9" i="25" a="1"/>
  <c r="O9" i="25" s="1"/>
  <c r="L38" i="29" a="1"/>
  <c r="K38" i="29" a="1"/>
  <c r="M38" i="29" a="1"/>
  <c r="J38" i="29" a="1"/>
  <c r="F43" i="29" l="1"/>
  <c r="C75" i="39" s="1"/>
  <c r="A75" i="39" s="1"/>
  <c r="K38" i="29"/>
  <c r="D74" i="39" s="1"/>
  <c r="J38" i="29"/>
  <c r="D73" i="39" s="1"/>
  <c r="F41" i="29"/>
  <c r="C73" i="39" s="1"/>
  <c r="A73" i="39" s="1"/>
  <c r="L38" i="29"/>
  <c r="D75" i="39" s="1"/>
  <c r="M38" i="29"/>
  <c r="D76" i="39" s="1"/>
  <c r="N61" i="24"/>
  <c r="N63" i="24" s="1"/>
  <c r="O8" i="24" a="1"/>
  <c r="O8" i="24" s="1"/>
  <c r="O60" i="24" s="1"/>
  <c r="N9" i="24" a="1"/>
  <c r="N9" i="24" s="1"/>
  <c r="C76" i="39"/>
  <c r="A76" i="39" s="1"/>
  <c r="F42" i="29"/>
  <c r="C74" i="39" s="1"/>
  <c r="A74" i="39" s="1"/>
  <c r="G115" i="23"/>
  <c r="C69" i="39" s="1"/>
  <c r="A69" i="39" s="1"/>
  <c r="G122" i="23"/>
  <c r="C58" i="39" s="1"/>
  <c r="A58" i="39" s="1"/>
  <c r="M60" i="38"/>
  <c r="M61" i="38"/>
  <c r="N12" i="38"/>
  <c r="M12" i="38"/>
  <c r="L12" i="38"/>
  <c r="N13" i="26" a="1"/>
  <c r="N13" i="26" s="1"/>
  <c r="M13" i="26" a="1"/>
  <c r="M13" i="26" s="1"/>
  <c r="L14" i="26" a="1"/>
  <c r="L14" i="26" s="1"/>
  <c r="L15" i="26" s="1" a="1"/>
  <c r="L15" i="26" s="1"/>
  <c r="N9" i="38"/>
  <c r="N61" i="38"/>
  <c r="N60" i="38"/>
  <c r="G129" i="23"/>
  <c r="C65" i="39" s="1"/>
  <c r="A65" i="39" s="1"/>
  <c r="G121" i="23"/>
  <c r="C57" i="39" s="1"/>
  <c r="A57" i="39" s="1"/>
  <c r="M10" i="24" a="1"/>
  <c r="M10" i="24" s="1"/>
  <c r="N10" i="24" a="1"/>
  <c r="N10" i="24" s="1"/>
  <c r="N10" i="38"/>
  <c r="G124" i="23"/>
  <c r="C60" i="39" s="1"/>
  <c r="A60" i="39" s="1"/>
  <c r="G125" i="23"/>
  <c r="C61" i="39" s="1"/>
  <c r="A61" i="39" s="1"/>
  <c r="N60" i="26"/>
  <c r="N61" i="26"/>
  <c r="N9" i="26" a="1"/>
  <c r="N9" i="26" s="1"/>
  <c r="G116" i="23"/>
  <c r="C52" i="39" s="1"/>
  <c r="A52" i="39" s="1"/>
  <c r="G128" i="23"/>
  <c r="C64" i="39" s="1"/>
  <c r="A64" i="39" s="1"/>
  <c r="G117" i="23"/>
  <c r="C53" i="39" s="1"/>
  <c r="A53" i="39" s="1"/>
  <c r="P61" i="25"/>
  <c r="Q8" i="25" a="1"/>
  <c r="Q8" i="25" s="1"/>
  <c r="R8" i="25" s="1" a="1"/>
  <c r="R8" i="25" s="1"/>
  <c r="R10" i="25" s="1" a="1"/>
  <c r="R10" i="25" s="1"/>
  <c r="P60" i="25"/>
  <c r="L11" i="24" a="1"/>
  <c r="L11" i="24" s="1"/>
  <c r="O8" i="38" a="1"/>
  <c r="O8" i="38" s="1"/>
  <c r="G120" i="23"/>
  <c r="C56" i="39" s="1"/>
  <c r="A56" i="39" s="1"/>
  <c r="G126" i="23"/>
  <c r="C62" i="39" s="1"/>
  <c r="A62" i="39" s="1"/>
  <c r="G119" i="23"/>
  <c r="C55" i="39" s="1"/>
  <c r="A55" i="39" s="1"/>
  <c r="N10" i="26" a="1"/>
  <c r="N10" i="26" s="1"/>
  <c r="G112" i="23"/>
  <c r="C66" i="39" s="1"/>
  <c r="A66" i="39" s="1"/>
  <c r="P10" i="25" a="1"/>
  <c r="P10" i="25" s="1"/>
  <c r="O10" i="25" a="1"/>
  <c r="O10" i="25" s="1"/>
  <c r="N11" i="25" a="1"/>
  <c r="N11" i="25" s="1"/>
  <c r="N12" i="25" s="1" a="1"/>
  <c r="N12" i="25" s="1"/>
  <c r="N11" i="26" a="1"/>
  <c r="N11" i="26" s="1"/>
  <c r="M11" i="26" a="1"/>
  <c r="M11" i="26" s="1"/>
  <c r="M63" i="24"/>
  <c r="M62" i="24"/>
  <c r="G123" i="23"/>
  <c r="C59" i="39" s="1"/>
  <c r="A59" i="39" s="1"/>
  <c r="G113" i="23"/>
  <c r="C67" i="39" s="1"/>
  <c r="A67" i="39" s="1"/>
  <c r="F322" i="22"/>
  <c r="F323" i="22" s="1"/>
  <c r="A82" i="39"/>
  <c r="A83" i="39"/>
  <c r="G127" i="23"/>
  <c r="C63" i="39" s="1"/>
  <c r="A63" i="39" s="1"/>
  <c r="M11" i="38"/>
  <c r="N11" i="38"/>
  <c r="K13" i="38" a="1"/>
  <c r="K13" i="38" s="1"/>
  <c r="L11" i="38"/>
  <c r="O11" i="38"/>
  <c r="M12" i="26" a="1"/>
  <c r="M12" i="26" s="1"/>
  <c r="N12" i="26" a="1"/>
  <c r="N12" i="26" s="1"/>
  <c r="P8" i="38" a="1"/>
  <c r="P8" i="38" s="1"/>
  <c r="P11" i="38" s="1"/>
  <c r="G114" i="23"/>
  <c r="C68" i="39" s="1"/>
  <c r="A68" i="39" s="1"/>
  <c r="O8" i="26" a="1"/>
  <c r="O8" i="26" s="1"/>
  <c r="G118" i="23"/>
  <c r="C54" i="39" s="1"/>
  <c r="A54" i="39" s="1"/>
  <c r="Q10" i="25" l="1" a="1"/>
  <c r="Q10" i="25" s="1"/>
  <c r="O10" i="24" a="1"/>
  <c r="O10" i="24" s="1"/>
  <c r="P8" i="24" a="1"/>
  <c r="P8" i="24" s="1"/>
  <c r="P10" i="24" s="1" a="1"/>
  <c r="P10" i="24" s="1"/>
  <c r="O61" i="24"/>
  <c r="O63" i="24" s="1"/>
  <c r="O9" i="24" a="1"/>
  <c r="O9" i="24" s="1"/>
  <c r="N15" i="26" a="1"/>
  <c r="N15" i="26" s="1"/>
  <c r="M15" i="26" a="1"/>
  <c r="M15" i="26" s="1"/>
  <c r="O15" i="26" a="1"/>
  <c r="O15" i="26" s="1"/>
  <c r="L16" i="26" a="1"/>
  <c r="L16" i="26" s="1"/>
  <c r="M3" i="23"/>
  <c r="R61" i="25"/>
  <c r="R9" i="25" a="1"/>
  <c r="R9" i="25" s="1"/>
  <c r="R60" i="25"/>
  <c r="P8" i="26" a="1"/>
  <c r="P8" i="26" s="1"/>
  <c r="O12" i="25" a="1"/>
  <c r="O12" i="25" s="1"/>
  <c r="P12" i="25" a="1"/>
  <c r="P12" i="25" s="1"/>
  <c r="Q12" i="25" a="1"/>
  <c r="Q12" i="25" s="1"/>
  <c r="R12" i="25" a="1"/>
  <c r="R12" i="25" s="1"/>
  <c r="M11" i="24" a="1"/>
  <c r="M11" i="24" s="1"/>
  <c r="N11" i="24" a="1"/>
  <c r="N11" i="24" s="1"/>
  <c r="O11" i="24" a="1"/>
  <c r="O11" i="24" s="1"/>
  <c r="Q9" i="25" a="1"/>
  <c r="Q9" i="25" s="1"/>
  <c r="Q61" i="25"/>
  <c r="Q60" i="25"/>
  <c r="O60" i="26"/>
  <c r="O61" i="26"/>
  <c r="O9" i="26" a="1"/>
  <c r="O9" i="26" s="1"/>
  <c r="O10" i="26" a="1"/>
  <c r="O10" i="26" s="1"/>
  <c r="O12" i="26" a="1"/>
  <c r="O12" i="26" s="1"/>
  <c r="O11" i="26" a="1"/>
  <c r="O11" i="26" s="1"/>
  <c r="Q8" i="26" a="1"/>
  <c r="Q8" i="26" s="1"/>
  <c r="Q14" i="26" s="1" a="1"/>
  <c r="Q14" i="26" s="1"/>
  <c r="N13" i="25" a="1"/>
  <c r="N13" i="25" s="1"/>
  <c r="L12" i="24" a="1"/>
  <c r="L12" i="24" s="1"/>
  <c r="L13" i="24" s="1" a="1"/>
  <c r="L13" i="24" s="1"/>
  <c r="M14" i="26" a="1"/>
  <c r="M14" i="26" s="1"/>
  <c r="P14" i="26" a="1"/>
  <c r="P14" i="26" s="1"/>
  <c r="N14" i="26" a="1"/>
  <c r="N14" i="26" s="1"/>
  <c r="O14" i="26" a="1"/>
  <c r="O14" i="26" s="1"/>
  <c r="O13" i="26" a="1"/>
  <c r="O13" i="26" s="1"/>
  <c r="F324" i="22"/>
  <c r="F325" i="22" s="1"/>
  <c r="P9" i="38"/>
  <c r="P61" i="38"/>
  <c r="P10" i="38"/>
  <c r="P60" i="38"/>
  <c r="P13" i="38"/>
  <c r="L13" i="38"/>
  <c r="N13" i="38"/>
  <c r="O13" i="38"/>
  <c r="M13" i="38"/>
  <c r="R8" i="26" a="1"/>
  <c r="R8" i="26" s="1"/>
  <c r="R15" i="26" s="1" a="1"/>
  <c r="R15" i="26" s="1"/>
  <c r="Q8" i="38" a="1"/>
  <c r="Q8" i="38" s="1"/>
  <c r="R11" i="25" a="1"/>
  <c r="R11" i="25" s="1"/>
  <c r="P11" i="25" a="1"/>
  <c r="P11" i="25" s="1"/>
  <c r="Q11" i="25" a="1"/>
  <c r="Q11" i="25" s="1"/>
  <c r="O11" i="25" a="1"/>
  <c r="O11" i="25" s="1"/>
  <c r="S8" i="25" a="1"/>
  <c r="S8" i="25" s="1"/>
  <c r="T8" i="25" s="1" a="1"/>
  <c r="T8" i="25" s="1"/>
  <c r="T11" i="25" s="1" a="1"/>
  <c r="T11" i="25" s="1"/>
  <c r="O62" i="24"/>
  <c r="K14" i="38" a="1"/>
  <c r="K14" i="38" s="1"/>
  <c r="K15" i="38" s="1" a="1"/>
  <c r="K15" i="38" s="1"/>
  <c r="O9" i="38"/>
  <c r="O60" i="38"/>
  <c r="O61" i="38"/>
  <c r="O10" i="38"/>
  <c r="P12" i="38"/>
  <c r="O12" i="38"/>
  <c r="Q8" i="24" l="1" a="1"/>
  <c r="Q8" i="24" s="1"/>
  <c r="R8" i="24" s="1" a="1"/>
  <c r="R8" i="24" s="1"/>
  <c r="R12" i="24" s="1" a="1"/>
  <c r="R12" i="24" s="1"/>
  <c r="P9" i="24" a="1"/>
  <c r="P9" i="24" s="1"/>
  <c r="P61" i="24"/>
  <c r="P11" i="24" a="1"/>
  <c r="P11" i="24" s="1"/>
  <c r="P60" i="24"/>
  <c r="P62" i="24" s="1"/>
  <c r="U8" i="25" a="1"/>
  <c r="U8" i="25" s="1"/>
  <c r="V8" i="25" s="1" a="1"/>
  <c r="V8" i="25" s="1"/>
  <c r="Q13" i="38"/>
  <c r="R9" i="26" a="1"/>
  <c r="R9" i="26" s="1"/>
  <c r="R10" i="26" a="1"/>
  <c r="R10" i="26" s="1"/>
  <c r="R60" i="26"/>
  <c r="R61" i="26"/>
  <c r="R12" i="26" a="1"/>
  <c r="R12" i="26" s="1"/>
  <c r="R13" i="26" a="1"/>
  <c r="R13" i="26" s="1"/>
  <c r="R11" i="26" a="1"/>
  <c r="R11" i="26" s="1"/>
  <c r="N14" i="25" a="1"/>
  <c r="N14" i="25" s="1"/>
  <c r="Q9" i="26" a="1"/>
  <c r="Q9" i="26" s="1"/>
  <c r="Q61" i="26"/>
  <c r="Q60" i="26"/>
  <c r="Q10" i="26" a="1"/>
  <c r="Q10" i="26" s="1"/>
  <c r="Q12" i="26" a="1"/>
  <c r="Q12" i="26" s="1"/>
  <c r="Q13" i="26" a="1"/>
  <c r="Q13" i="26" s="1"/>
  <c r="Q11" i="26" a="1"/>
  <c r="Q11" i="26" s="1"/>
  <c r="M12" i="24" a="1"/>
  <c r="M12" i="24" s="1"/>
  <c r="O12" i="24" a="1"/>
  <c r="O12" i="24" s="1"/>
  <c r="P12" i="24" a="1"/>
  <c r="P12" i="24" s="1"/>
  <c r="N12" i="24" a="1"/>
  <c r="N12" i="24" s="1"/>
  <c r="P60" i="26"/>
  <c r="P61" i="26"/>
  <c r="P10" i="26" a="1"/>
  <c r="P10" i="26" s="1"/>
  <c r="P9" i="26" a="1"/>
  <c r="P9" i="26" s="1"/>
  <c r="P13" i="26" a="1"/>
  <c r="P13" i="26" s="1"/>
  <c r="P11" i="26" a="1"/>
  <c r="P11" i="26" s="1"/>
  <c r="P12" i="26" a="1"/>
  <c r="P12" i="26" s="1"/>
  <c r="P15" i="26" a="1"/>
  <c r="P15" i="26" s="1"/>
  <c r="S11" i="25" a="1"/>
  <c r="S11" i="25" s="1"/>
  <c r="R8" i="38" a="1"/>
  <c r="R8" i="38" s="1"/>
  <c r="S8" i="26" a="1"/>
  <c r="S8" i="26" s="1"/>
  <c r="P13" i="25" a="1"/>
  <c r="P13" i="25" s="1"/>
  <c r="O13" i="25" a="1"/>
  <c r="O13" i="25" s="1"/>
  <c r="Q13" i="25" a="1"/>
  <c r="Q13" i="25" s="1"/>
  <c r="R13" i="25" a="1"/>
  <c r="R13" i="25" s="1"/>
  <c r="S13" i="25" a="1"/>
  <c r="S13" i="25" s="1"/>
  <c r="T13" i="25" a="1"/>
  <c r="T13" i="25" s="1"/>
  <c r="O14" i="38"/>
  <c r="P14" i="38"/>
  <c r="N14" i="38"/>
  <c r="L14" i="38"/>
  <c r="Q14" i="38"/>
  <c r="M14" i="38"/>
  <c r="K16" i="38" a="1"/>
  <c r="K16" i="38" s="1"/>
  <c r="M13" i="24" a="1"/>
  <c r="M13" i="24" s="1"/>
  <c r="N13" i="24" a="1"/>
  <c r="N13" i="24" s="1"/>
  <c r="O13" i="24" a="1"/>
  <c r="O13" i="24" s="1"/>
  <c r="P13" i="24" a="1"/>
  <c r="P13" i="24" s="1"/>
  <c r="T12" i="25" a="1"/>
  <c r="T12" i="25" s="1"/>
  <c r="Q15" i="26" a="1"/>
  <c r="Q15" i="26" s="1"/>
  <c r="S9" i="25" a="1"/>
  <c r="S9" i="25" s="1"/>
  <c r="S60" i="25"/>
  <c r="S61" i="25"/>
  <c r="S10" i="25" a="1"/>
  <c r="S10" i="25" s="1"/>
  <c r="R14" i="26" a="1"/>
  <c r="R14" i="26" s="1"/>
  <c r="Q15" i="38"/>
  <c r="O15" i="38"/>
  <c r="P15" i="38"/>
  <c r="N15" i="38"/>
  <c r="M15" i="38"/>
  <c r="L15" i="38"/>
  <c r="R15" i="38"/>
  <c r="L17" i="26" a="1"/>
  <c r="L17" i="26" s="1"/>
  <c r="N16" i="26" a="1"/>
  <c r="N16" i="26" s="1"/>
  <c r="R16" i="26" a="1"/>
  <c r="R16" i="26" s="1"/>
  <c r="O16" i="26" a="1"/>
  <c r="O16" i="26" s="1"/>
  <c r="P16" i="26" a="1"/>
  <c r="P16" i="26" s="1"/>
  <c r="Q16" i="26" a="1"/>
  <c r="Q16" i="26" s="1"/>
  <c r="S16" i="26" a="1"/>
  <c r="S16" i="26" s="1"/>
  <c r="M16" i="26" a="1"/>
  <c r="M16" i="26" s="1"/>
  <c r="Q9" i="38"/>
  <c r="Q61" i="38"/>
  <c r="Q60" i="38"/>
  <c r="Q10" i="38"/>
  <c r="Q11" i="38"/>
  <c r="Q12" i="38"/>
  <c r="F326" i="22"/>
  <c r="F327" i="22" s="1"/>
  <c r="L14" i="24" a="1"/>
  <c r="L14" i="24" s="1"/>
  <c r="S12" i="25" a="1"/>
  <c r="S12" i="25" s="1"/>
  <c r="T60" i="25"/>
  <c r="T9" i="25" a="1"/>
  <c r="T9" i="25" s="1"/>
  <c r="T61" i="25"/>
  <c r="T10" i="25" a="1"/>
  <c r="T10" i="25" s="1"/>
  <c r="U13" i="25" l="1" a="1"/>
  <c r="U13" i="25" s="1"/>
  <c r="P63" i="24"/>
  <c r="Q60" i="24"/>
  <c r="Q62" i="24" s="1"/>
  <c r="Q61" i="24"/>
  <c r="Q11" i="24" a="1"/>
  <c r="Q11" i="24" s="1"/>
  <c r="Q10" i="24" a="1"/>
  <c r="Q10" i="24" s="1"/>
  <c r="Q13" i="24" a="1"/>
  <c r="Q13" i="24" s="1"/>
  <c r="Q9" i="24" a="1"/>
  <c r="Q9" i="24" s="1"/>
  <c r="Q12" i="24" a="1"/>
  <c r="Q12" i="24" s="1"/>
  <c r="R13" i="24" a="1"/>
  <c r="R13" i="24" s="1"/>
  <c r="V13" i="25" a="1"/>
  <c r="V13" i="25" s="1"/>
  <c r="W8" i="25" a="1"/>
  <c r="W8" i="25" s="1"/>
  <c r="X8" i="25" s="1" a="1"/>
  <c r="X8" i="25" s="1"/>
  <c r="R16" i="38"/>
  <c r="Q16" i="38"/>
  <c r="O16" i="38"/>
  <c r="N16" i="38"/>
  <c r="L16" i="38"/>
  <c r="M16" i="38"/>
  <c r="P16" i="38"/>
  <c r="K17" i="38" a="1"/>
  <c r="K17" i="38" s="1"/>
  <c r="R60" i="38"/>
  <c r="R9" i="38"/>
  <c r="R10" i="38"/>
  <c r="R61" i="38"/>
  <c r="R11" i="38"/>
  <c r="R12" i="38"/>
  <c r="R13" i="38"/>
  <c r="S8" i="38" a="1"/>
  <c r="S8" i="38" s="1"/>
  <c r="P14" i="25" a="1"/>
  <c r="P14" i="25" s="1"/>
  <c r="S14" i="25" a="1"/>
  <c r="S14" i="25" s="1"/>
  <c r="O14" i="25" a="1"/>
  <c r="O14" i="25" s="1"/>
  <c r="Q14" i="25" a="1"/>
  <c r="Q14" i="25" s="1"/>
  <c r="R14" i="25" a="1"/>
  <c r="R14" i="25" s="1"/>
  <c r="T14" i="25" a="1"/>
  <c r="T14" i="25" s="1"/>
  <c r="U14" i="25" a="1"/>
  <c r="U14" i="25" s="1"/>
  <c r="V14" i="25" a="1"/>
  <c r="V14" i="25" s="1"/>
  <c r="F328" i="22"/>
  <c r="F330" i="22" s="1"/>
  <c r="F329" i="22"/>
  <c r="L15" i="24" a="1"/>
  <c r="L15" i="24" s="1"/>
  <c r="L16" i="24" s="1" a="1"/>
  <c r="L16" i="24" s="1"/>
  <c r="N15" i="25" a="1"/>
  <c r="N15" i="25" s="1"/>
  <c r="M17" i="26" a="1"/>
  <c r="M17" i="26" s="1"/>
  <c r="S17" i="26" a="1"/>
  <c r="S17" i="26" s="1"/>
  <c r="P17" i="26" a="1"/>
  <c r="P17" i="26" s="1"/>
  <c r="R17" i="26" a="1"/>
  <c r="R17" i="26" s="1"/>
  <c r="Q17" i="26" a="1"/>
  <c r="Q17" i="26" s="1"/>
  <c r="N17" i="26" a="1"/>
  <c r="N17" i="26" s="1"/>
  <c r="O17" i="26" a="1"/>
  <c r="O17" i="26" s="1"/>
  <c r="M14" i="24" a="1"/>
  <c r="M14" i="24" s="1"/>
  <c r="R14" i="24" a="1"/>
  <c r="R14" i="24" s="1"/>
  <c r="N14" i="24" a="1"/>
  <c r="N14" i="24" s="1"/>
  <c r="P14" i="24" a="1"/>
  <c r="P14" i="24" s="1"/>
  <c r="O14" i="24" a="1"/>
  <c r="O14" i="24" s="1"/>
  <c r="Q14" i="24" a="1"/>
  <c r="Q14" i="24" s="1"/>
  <c r="R60" i="24"/>
  <c r="R61" i="24"/>
  <c r="R9" i="24" a="1"/>
  <c r="R9" i="24" s="1"/>
  <c r="R10" i="24" a="1"/>
  <c r="R10" i="24" s="1"/>
  <c r="S8" i="24" a="1"/>
  <c r="S8" i="24" s="1"/>
  <c r="T8" i="24" s="1" a="1"/>
  <c r="T8" i="24" s="1"/>
  <c r="R11" i="24" a="1"/>
  <c r="R11" i="24" s="1"/>
  <c r="R14" i="38"/>
  <c r="L18" i="26" a="1"/>
  <c r="L18" i="26" s="1"/>
  <c r="L19" i="26" s="1" a="1"/>
  <c r="L19" i="26" s="1"/>
  <c r="U61" i="25"/>
  <c r="U60" i="25"/>
  <c r="U9" i="25" a="1"/>
  <c r="U9" i="25" s="1"/>
  <c r="U10" i="25" a="1"/>
  <c r="U10" i="25" s="1"/>
  <c r="U12" i="25" a="1"/>
  <c r="U12" i="25" s="1"/>
  <c r="U11" i="25" a="1"/>
  <c r="U11" i="25" s="1"/>
  <c r="S60" i="26"/>
  <c r="S9" i="26" a="1"/>
  <c r="S9" i="26" s="1"/>
  <c r="S10" i="26" a="1"/>
  <c r="S10" i="26" s="1"/>
  <c r="S61" i="26"/>
  <c r="S12" i="26" a="1"/>
  <c r="S12" i="26" s="1"/>
  <c r="S13" i="26" a="1"/>
  <c r="S13" i="26" s="1"/>
  <c r="S11" i="26" a="1"/>
  <c r="S11" i="26" s="1"/>
  <c r="T8" i="26" a="1"/>
  <c r="T8" i="26" s="1"/>
  <c r="T17" i="26" s="1" a="1"/>
  <c r="T17" i="26" s="1"/>
  <c r="S14" i="26" a="1"/>
  <c r="S14" i="26" s="1"/>
  <c r="S15" i="26" a="1"/>
  <c r="S15" i="26" s="1"/>
  <c r="V61" i="25"/>
  <c r="V60" i="25"/>
  <c r="V9" i="25" a="1"/>
  <c r="V9" i="25" s="1"/>
  <c r="V10" i="25" a="1"/>
  <c r="V10" i="25" s="1"/>
  <c r="V12" i="25" a="1"/>
  <c r="V12" i="25" s="1"/>
  <c r="V11" i="25" a="1"/>
  <c r="V11" i="25" s="1"/>
  <c r="W12" i="25" l="1" a="1"/>
  <c r="W12" i="25" s="1"/>
  <c r="W14" i="25" a="1"/>
  <c r="W14" i="25" s="1"/>
  <c r="W61" i="25"/>
  <c r="W11" i="25" a="1"/>
  <c r="W11" i="25" s="1"/>
  <c r="W9" i="25" a="1"/>
  <c r="W9" i="25" s="1"/>
  <c r="W13" i="25" a="1"/>
  <c r="W13" i="25" s="1"/>
  <c r="W60" i="25"/>
  <c r="Q63" i="24"/>
  <c r="X14" i="25" a="1"/>
  <c r="X14" i="25" s="1"/>
  <c r="X10" i="25" a="1"/>
  <c r="X10" i="25" s="1"/>
  <c r="Y8" i="25" a="1"/>
  <c r="Y8" i="25" s="1"/>
  <c r="Y9" i="25" s="1" a="1"/>
  <c r="Y9" i="25" s="1"/>
  <c r="X61" i="25"/>
  <c r="X11" i="25" a="1"/>
  <c r="X11" i="25" s="1"/>
  <c r="X9" i="25" a="1"/>
  <c r="X9" i="25" s="1"/>
  <c r="X12" i="25" a="1"/>
  <c r="X12" i="25" s="1"/>
  <c r="X13" i="25" a="1"/>
  <c r="X13" i="25" s="1"/>
  <c r="X60" i="25"/>
  <c r="W10" i="25" a="1"/>
  <c r="W10" i="25" s="1"/>
  <c r="L17" i="24" a="1"/>
  <c r="L17" i="24" s="1"/>
  <c r="S17" i="24" s="1" a="1"/>
  <c r="S17" i="24" s="1"/>
  <c r="T61" i="24"/>
  <c r="T9" i="24" a="1"/>
  <c r="T9" i="24" s="1"/>
  <c r="T60" i="24"/>
  <c r="T10" i="24" a="1"/>
  <c r="T10" i="24" s="1"/>
  <c r="T11" i="24" a="1"/>
  <c r="T11" i="24" s="1"/>
  <c r="T13" i="24" a="1"/>
  <c r="T13" i="24" s="1"/>
  <c r="T12" i="24" a="1"/>
  <c r="T12" i="24" s="1"/>
  <c r="T14" i="24" a="1"/>
  <c r="T14" i="24" s="1"/>
  <c r="S14" i="24" a="1"/>
  <c r="S14" i="24" s="1"/>
  <c r="P15" i="25" a="1"/>
  <c r="P15" i="25" s="1"/>
  <c r="O15" i="25" a="1"/>
  <c r="O15" i="25" s="1"/>
  <c r="Q15" i="25" a="1"/>
  <c r="Q15" i="25" s="1"/>
  <c r="R15" i="25" a="1"/>
  <c r="R15" i="25" s="1"/>
  <c r="T15" i="25" a="1"/>
  <c r="T15" i="25" s="1"/>
  <c r="U15" i="25" a="1"/>
  <c r="U15" i="25" s="1"/>
  <c r="S15" i="25" a="1"/>
  <c r="S15" i="25" s="1"/>
  <c r="V15" i="25" a="1"/>
  <c r="V15" i="25" s="1"/>
  <c r="W15" i="25" a="1"/>
  <c r="W15" i="25" s="1"/>
  <c r="X15" i="25" a="1"/>
  <c r="X15" i="25" s="1"/>
  <c r="S9" i="38"/>
  <c r="S10" i="38"/>
  <c r="S61" i="38"/>
  <c r="S60" i="38"/>
  <c r="S11" i="38"/>
  <c r="S12" i="38"/>
  <c r="S13" i="38"/>
  <c r="S15" i="38"/>
  <c r="S14" i="38"/>
  <c r="T10" i="26" a="1"/>
  <c r="T10" i="26" s="1"/>
  <c r="T60" i="26"/>
  <c r="T61" i="26"/>
  <c r="T9" i="26" a="1"/>
  <c r="T9" i="26" s="1"/>
  <c r="T12" i="26" a="1"/>
  <c r="T12" i="26" s="1"/>
  <c r="T11" i="26" a="1"/>
  <c r="T11" i="26" s="1"/>
  <c r="T13" i="26" a="1"/>
  <c r="T13" i="26" s="1"/>
  <c r="T15" i="26" a="1"/>
  <c r="T15" i="26" s="1"/>
  <c r="T14" i="26" a="1"/>
  <c r="T14" i="26" s="1"/>
  <c r="U8" i="26" a="1"/>
  <c r="U8" i="26" s="1"/>
  <c r="T16" i="26" a="1"/>
  <c r="T16" i="26" s="1"/>
  <c r="N16" i="25" a="1"/>
  <c r="N16" i="25" s="1"/>
  <c r="N19" i="26" a="1"/>
  <c r="N19" i="26" s="1"/>
  <c r="R19" i="26" a="1"/>
  <c r="R19" i="26" s="1"/>
  <c r="T19" i="26" a="1"/>
  <c r="T19" i="26" s="1"/>
  <c r="Q19" i="26" a="1"/>
  <c r="Q19" i="26" s="1"/>
  <c r="S19" i="26" a="1"/>
  <c r="S19" i="26" s="1"/>
  <c r="M19" i="26" a="1"/>
  <c r="M19" i="26" s="1"/>
  <c r="P19" i="26" a="1"/>
  <c r="P19" i="26" s="1"/>
  <c r="O19" i="26" a="1"/>
  <c r="O19" i="26" s="1"/>
  <c r="S18" i="26" a="1"/>
  <c r="S18" i="26" s="1"/>
  <c r="R18" i="26" a="1"/>
  <c r="R18" i="26" s="1"/>
  <c r="N18" i="26" a="1"/>
  <c r="N18" i="26" s="1"/>
  <c r="Q18" i="26" a="1"/>
  <c r="Q18" i="26" s="1"/>
  <c r="P18" i="26" a="1"/>
  <c r="P18" i="26" s="1"/>
  <c r="T18" i="26" a="1"/>
  <c r="T18" i="26" s="1"/>
  <c r="O18" i="26" a="1"/>
  <c r="O18" i="26" s="1"/>
  <c r="U18" i="26" a="1"/>
  <c r="U18" i="26" s="1"/>
  <c r="M18" i="26" a="1"/>
  <c r="M18" i="26" s="1"/>
  <c r="L20" i="26" a="1"/>
  <c r="L20" i="26" s="1"/>
  <c r="F331" i="22"/>
  <c r="O17" i="38"/>
  <c r="N17" i="38"/>
  <c r="M17" i="38"/>
  <c r="Q17" i="38"/>
  <c r="P17" i="38"/>
  <c r="R17" i="38"/>
  <c r="S17" i="38"/>
  <c r="L17" i="38"/>
  <c r="K18" i="38" a="1"/>
  <c r="K18" i="38" s="1"/>
  <c r="T8" i="38" a="1"/>
  <c r="T8" i="38" s="1"/>
  <c r="S60" i="24"/>
  <c r="S61" i="24"/>
  <c r="S9" i="24" a="1"/>
  <c r="S9" i="24" s="1"/>
  <c r="S10" i="24" a="1"/>
  <c r="S10" i="24" s="1"/>
  <c r="S11" i="24" a="1"/>
  <c r="S11" i="24" s="1"/>
  <c r="S12" i="24" a="1"/>
  <c r="S12" i="24" s="1"/>
  <c r="U8" i="24" a="1"/>
  <c r="U8" i="24" s="1"/>
  <c r="V8" i="24" s="1" a="1"/>
  <c r="V8" i="24" s="1"/>
  <c r="S13" i="24" a="1"/>
  <c r="S13" i="24" s="1"/>
  <c r="M16" i="24" a="1"/>
  <c r="M16" i="24" s="1"/>
  <c r="O16" i="24" a="1"/>
  <c r="O16" i="24" s="1"/>
  <c r="R16" i="24" a="1"/>
  <c r="R16" i="24" s="1"/>
  <c r="N16" i="24" a="1"/>
  <c r="N16" i="24" s="1"/>
  <c r="P16" i="24" a="1"/>
  <c r="P16" i="24" s="1"/>
  <c r="Q16" i="24" a="1"/>
  <c r="Q16" i="24" s="1"/>
  <c r="S16" i="24" a="1"/>
  <c r="S16" i="24" s="1"/>
  <c r="T16" i="24" a="1"/>
  <c r="T16" i="24" s="1"/>
  <c r="M15" i="24" a="1"/>
  <c r="M15" i="24" s="1"/>
  <c r="O15" i="24" a="1"/>
  <c r="O15" i="24" s="1"/>
  <c r="N15" i="24" a="1"/>
  <c r="N15" i="24" s="1"/>
  <c r="R15" i="24" a="1"/>
  <c r="R15" i="24" s="1"/>
  <c r="S15" i="24" a="1"/>
  <c r="S15" i="24" s="1"/>
  <c r="P15" i="24" a="1"/>
  <c r="P15" i="24" s="1"/>
  <c r="Q15" i="24" a="1"/>
  <c r="Q15" i="24" s="1"/>
  <c r="T15" i="24" a="1"/>
  <c r="T15" i="24" s="1"/>
  <c r="R63" i="24"/>
  <c r="R62" i="24"/>
  <c r="S16" i="38"/>
  <c r="Y11" i="25" l="1" a="1"/>
  <c r="Y11" i="25" s="1"/>
  <c r="Z8" i="25" a="1"/>
  <c r="Z8" i="25" s="1"/>
  <c r="Z15" i="25" s="1" a="1"/>
  <c r="Z15" i="25" s="1"/>
  <c r="Y60" i="25"/>
  <c r="Y14" i="25" a="1"/>
  <c r="Y14" i="25" s="1"/>
  <c r="Y13" i="25" a="1"/>
  <c r="Y13" i="25" s="1"/>
  <c r="Y61" i="25"/>
  <c r="Y12" i="25" a="1"/>
  <c r="Y12" i="25" s="1"/>
  <c r="Y10" i="25" a="1"/>
  <c r="Y10" i="25" s="1"/>
  <c r="Y15" i="25" a="1"/>
  <c r="Y15" i="25" s="1"/>
  <c r="P17" i="24" a="1"/>
  <c r="P17" i="24" s="1"/>
  <c r="N17" i="24" a="1"/>
  <c r="N17" i="24" s="1"/>
  <c r="L18" i="24" a="1"/>
  <c r="L18" i="24" s="1"/>
  <c r="L19" i="24" s="1" a="1"/>
  <c r="L19" i="24" s="1"/>
  <c r="S19" i="24" s="1" a="1"/>
  <c r="S19" i="24" s="1"/>
  <c r="O17" i="24" a="1"/>
  <c r="O17" i="24" s="1"/>
  <c r="M17" i="24" a="1"/>
  <c r="M17" i="24" s="1"/>
  <c r="R17" i="24" a="1"/>
  <c r="R17" i="24" s="1"/>
  <c r="T17" i="24" a="1"/>
  <c r="T17" i="24" s="1"/>
  <c r="Q17" i="24" a="1"/>
  <c r="Q17" i="24" s="1"/>
  <c r="P18" i="38"/>
  <c r="O18" i="38"/>
  <c r="L18" i="38"/>
  <c r="R18" i="38"/>
  <c r="S18" i="38"/>
  <c r="Q18" i="38"/>
  <c r="N18" i="38"/>
  <c r="M18" i="38"/>
  <c r="T18" i="38"/>
  <c r="K19" i="38" a="1"/>
  <c r="K19" i="38" s="1"/>
  <c r="S20" i="26" a="1"/>
  <c r="S20" i="26" s="1"/>
  <c r="U20" i="26" a="1"/>
  <c r="U20" i="26" s="1"/>
  <c r="R20" i="26" a="1"/>
  <c r="R20" i="26" s="1"/>
  <c r="T20" i="26" a="1"/>
  <c r="T20" i="26" s="1"/>
  <c r="Q20" i="26" a="1"/>
  <c r="Q20" i="26" s="1"/>
  <c r="M20" i="26" a="1"/>
  <c r="M20" i="26" s="1"/>
  <c r="P20" i="26" a="1"/>
  <c r="P20" i="26" s="1"/>
  <c r="N20" i="26" a="1"/>
  <c r="N20" i="26" s="1"/>
  <c r="O20" i="26" a="1"/>
  <c r="O20" i="26" s="1"/>
  <c r="U60" i="26"/>
  <c r="U9" i="26" a="1"/>
  <c r="U9" i="26" s="1"/>
  <c r="U61" i="26"/>
  <c r="U10" i="26" a="1"/>
  <c r="U10" i="26" s="1"/>
  <c r="U11" i="26" a="1"/>
  <c r="U11" i="26" s="1"/>
  <c r="U12" i="26" a="1"/>
  <c r="U12" i="26" s="1"/>
  <c r="U13" i="26" a="1"/>
  <c r="U13" i="26" s="1"/>
  <c r="U15" i="26" a="1"/>
  <c r="U15" i="26" s="1"/>
  <c r="U14" i="26" a="1"/>
  <c r="U14" i="26" s="1"/>
  <c r="U16" i="26" a="1"/>
  <c r="U16" i="26" s="1"/>
  <c r="V8" i="26" a="1"/>
  <c r="V8" i="26" s="1"/>
  <c r="W8" i="26" s="1" a="1"/>
  <c r="W8" i="26" s="1"/>
  <c r="U17" i="26" a="1"/>
  <c r="U17" i="26" s="1"/>
  <c r="V60" i="24"/>
  <c r="V61" i="24"/>
  <c r="V9" i="24" a="1"/>
  <c r="V9" i="24" s="1"/>
  <c r="V10" i="24" a="1"/>
  <c r="V10" i="24" s="1"/>
  <c r="V11" i="24" a="1"/>
  <c r="V11" i="24" s="1"/>
  <c r="V12" i="24" a="1"/>
  <c r="V12" i="24" s="1"/>
  <c r="V13" i="24" a="1"/>
  <c r="V13" i="24" s="1"/>
  <c r="V14" i="24" a="1"/>
  <c r="V14" i="24" s="1"/>
  <c r="F332" i="22"/>
  <c r="U16" i="24" a="1"/>
  <c r="U16" i="24" s="1"/>
  <c r="T10" i="38"/>
  <c r="T9" i="38"/>
  <c r="T61" i="38"/>
  <c r="T60" i="38"/>
  <c r="T11" i="38"/>
  <c r="T12" i="38"/>
  <c r="T13" i="38"/>
  <c r="T15" i="38"/>
  <c r="T14" i="38"/>
  <c r="T16" i="38"/>
  <c r="U19" i="26" a="1"/>
  <c r="U19" i="26" s="1"/>
  <c r="R16" i="25" a="1"/>
  <c r="R16" i="25" s="1"/>
  <c r="T16" i="25" a="1"/>
  <c r="T16" i="25" s="1"/>
  <c r="S16" i="25" a="1"/>
  <c r="S16" i="25" s="1"/>
  <c r="O16" i="25" a="1"/>
  <c r="O16" i="25" s="1"/>
  <c r="P16" i="25" a="1"/>
  <c r="P16" i="25" s="1"/>
  <c r="Q16" i="25" a="1"/>
  <c r="Q16" i="25" s="1"/>
  <c r="V16" i="25" a="1"/>
  <c r="V16" i="25" s="1"/>
  <c r="U16" i="25" a="1"/>
  <c r="U16" i="25" s="1"/>
  <c r="W16" i="25" a="1"/>
  <c r="W16" i="25" s="1"/>
  <c r="X16" i="25" a="1"/>
  <c r="X16" i="25" s="1"/>
  <c r="Y16" i="25" a="1"/>
  <c r="Y16" i="25" s="1"/>
  <c r="N17" i="25" a="1"/>
  <c r="N17" i="25" s="1"/>
  <c r="N18" i="25" s="1" a="1"/>
  <c r="N18" i="25" s="1"/>
  <c r="U8" i="38" a="1"/>
  <c r="U8" i="38" s="1"/>
  <c r="U18" i="38" s="1"/>
  <c r="T63" i="24"/>
  <c r="T62" i="24"/>
  <c r="V15" i="24" a="1"/>
  <c r="V15" i="24" s="1"/>
  <c r="L21" i="26" a="1"/>
  <c r="L21" i="26" s="1"/>
  <c r="L22" i="26" s="1" a="1"/>
  <c r="L22" i="26" s="1"/>
  <c r="U17" i="24" a="1"/>
  <c r="U17" i="24" s="1"/>
  <c r="W8" i="24" a="1"/>
  <c r="W8" i="24" s="1"/>
  <c r="X8" i="24" s="1" a="1"/>
  <c r="X8" i="24" s="1"/>
  <c r="S62" i="24"/>
  <c r="S63" i="24"/>
  <c r="U61" i="24"/>
  <c r="U9" i="24" a="1"/>
  <c r="U9" i="24" s="1"/>
  <c r="U60" i="24"/>
  <c r="U10" i="24" a="1"/>
  <c r="U10" i="24" s="1"/>
  <c r="U11" i="24" a="1"/>
  <c r="U11" i="24" s="1"/>
  <c r="U13" i="24" a="1"/>
  <c r="U13" i="24" s="1"/>
  <c r="U12" i="24" a="1"/>
  <c r="U12" i="24" s="1"/>
  <c r="U14" i="24" a="1"/>
  <c r="U14" i="24" s="1"/>
  <c r="U15" i="24" a="1"/>
  <c r="U15" i="24" s="1"/>
  <c r="V16" i="24" a="1"/>
  <c r="V16" i="24" s="1"/>
  <c r="T17" i="38"/>
  <c r="V17" i="24" a="1"/>
  <c r="V17" i="24" s="1"/>
  <c r="Z14" i="25" l="1" a="1"/>
  <c r="Z14" i="25" s="1"/>
  <c r="Z60" i="25"/>
  <c r="Z13" i="25" a="1"/>
  <c r="Z13" i="25" s="1"/>
  <c r="Z61" i="25"/>
  <c r="Z12" i="25" a="1"/>
  <c r="Z12" i="25" s="1"/>
  <c r="AA8" i="25" a="1"/>
  <c r="AA8" i="25" s="1"/>
  <c r="AA17" i="25" s="1" a="1"/>
  <c r="AA17" i="25" s="1"/>
  <c r="Z11" i="25" a="1"/>
  <c r="Z11" i="25" s="1"/>
  <c r="Z10" i="25" a="1"/>
  <c r="Z10" i="25" s="1"/>
  <c r="Z16" i="25" a="1"/>
  <c r="Z16" i="25" s="1"/>
  <c r="Z9" i="25" a="1"/>
  <c r="Z9" i="25" s="1"/>
  <c r="T18" i="24" a="1"/>
  <c r="T18" i="24" s="1"/>
  <c r="U18" i="24" a="1"/>
  <c r="U18" i="24" s="1"/>
  <c r="O18" i="24" a="1"/>
  <c r="O18" i="24" s="1"/>
  <c r="S18" i="24" a="1"/>
  <c r="S18" i="24" s="1"/>
  <c r="P18" i="24" a="1"/>
  <c r="P18" i="24" s="1"/>
  <c r="R18" i="24" a="1"/>
  <c r="R18" i="24" s="1"/>
  <c r="V18" i="24" a="1"/>
  <c r="V18" i="24" s="1"/>
  <c r="M18" i="24" a="1"/>
  <c r="M18" i="24" s="1"/>
  <c r="X18" i="24" a="1"/>
  <c r="X18" i="24" s="1"/>
  <c r="Q18" i="24" a="1"/>
  <c r="Q18" i="24" s="1"/>
  <c r="N18" i="24" a="1"/>
  <c r="N18" i="24" s="1"/>
  <c r="L20" i="24" a="1"/>
  <c r="L20" i="24" s="1"/>
  <c r="Q20" i="24" s="1" a="1"/>
  <c r="Q20" i="24" s="1"/>
  <c r="T19" i="24" a="1"/>
  <c r="T19" i="24" s="1"/>
  <c r="P19" i="24" a="1"/>
  <c r="P19" i="24" s="1"/>
  <c r="U19" i="24" a="1"/>
  <c r="U19" i="24" s="1"/>
  <c r="N19" i="24" a="1"/>
  <c r="N19" i="24" s="1"/>
  <c r="R19" i="24" a="1"/>
  <c r="R19" i="24" s="1"/>
  <c r="V20" i="26" a="1"/>
  <c r="V20" i="26" s="1"/>
  <c r="V19" i="24" a="1"/>
  <c r="V19" i="24" s="1"/>
  <c r="O19" i="24" a="1"/>
  <c r="O19" i="24" s="1"/>
  <c r="M19" i="24" a="1"/>
  <c r="M19" i="24" s="1"/>
  <c r="Q19" i="24" a="1"/>
  <c r="Q19" i="24" s="1"/>
  <c r="W22" i="26" a="1"/>
  <c r="W22" i="26" s="1"/>
  <c r="U22" i="26" a="1"/>
  <c r="U22" i="26" s="1"/>
  <c r="R22" i="26" a="1"/>
  <c r="R22" i="26" s="1"/>
  <c r="M22" i="26" a="1"/>
  <c r="M22" i="26" s="1"/>
  <c r="T22" i="26" a="1"/>
  <c r="T22" i="26" s="1"/>
  <c r="V22" i="26" a="1"/>
  <c r="V22" i="26" s="1"/>
  <c r="S22" i="26" a="1"/>
  <c r="S22" i="26" s="1"/>
  <c r="Q22" i="26" a="1"/>
  <c r="Q22" i="26" s="1"/>
  <c r="N22" i="26" a="1"/>
  <c r="N22" i="26" s="1"/>
  <c r="P22" i="26" a="1"/>
  <c r="P22" i="26" s="1"/>
  <c r="O22" i="26" a="1"/>
  <c r="O22" i="26" s="1"/>
  <c r="L23" i="26" a="1"/>
  <c r="L23" i="26" s="1"/>
  <c r="C7" i="39"/>
  <c r="A7" i="39" s="1"/>
  <c r="F333" i="22"/>
  <c r="V62" i="24"/>
  <c r="V63" i="24"/>
  <c r="W61" i="26"/>
  <c r="W9" i="26" a="1"/>
  <c r="W9" i="26" s="1"/>
  <c r="W10" i="26" a="1"/>
  <c r="W10" i="26" s="1"/>
  <c r="W60" i="26"/>
  <c r="W11" i="26" a="1"/>
  <c r="W11" i="26" s="1"/>
  <c r="W12" i="26" a="1"/>
  <c r="W12" i="26" s="1"/>
  <c r="W13" i="26" a="1"/>
  <c r="W13" i="26" s="1"/>
  <c r="W14" i="26" a="1"/>
  <c r="W14" i="26" s="1"/>
  <c r="W15" i="26" a="1"/>
  <c r="W15" i="26" s="1"/>
  <c r="W16" i="26" a="1"/>
  <c r="W16" i="26" s="1"/>
  <c r="W17" i="26" a="1"/>
  <c r="W17" i="26" s="1"/>
  <c r="W18" i="26" a="1"/>
  <c r="W18" i="26" s="1"/>
  <c r="W19" i="26" a="1"/>
  <c r="W19" i="26" s="1"/>
  <c r="R18" i="25" a="1"/>
  <c r="R18" i="25" s="1"/>
  <c r="Q18" i="25" a="1"/>
  <c r="Q18" i="25" s="1"/>
  <c r="O18" i="25" a="1"/>
  <c r="O18" i="25" s="1"/>
  <c r="P18" i="25" a="1"/>
  <c r="P18" i="25" s="1"/>
  <c r="S18" i="25" a="1"/>
  <c r="S18" i="25" s="1"/>
  <c r="U18" i="25" a="1"/>
  <c r="U18" i="25" s="1"/>
  <c r="T18" i="25" a="1"/>
  <c r="T18" i="25" s="1"/>
  <c r="V18" i="25" a="1"/>
  <c r="V18" i="25" s="1"/>
  <c r="W18" i="25" a="1"/>
  <c r="W18" i="25" s="1"/>
  <c r="X18" i="25" a="1"/>
  <c r="X18" i="25" s="1"/>
  <c r="Z18" i="25" a="1"/>
  <c r="Z18" i="25" s="1"/>
  <c r="Y18" i="25" a="1"/>
  <c r="Y18" i="25" s="1"/>
  <c r="R17" i="25" a="1"/>
  <c r="R17" i="25" s="1"/>
  <c r="P17" i="25" a="1"/>
  <c r="P17" i="25" s="1"/>
  <c r="Q17" i="25" a="1"/>
  <c r="Q17" i="25" s="1"/>
  <c r="T17" i="25" a="1"/>
  <c r="T17" i="25" s="1"/>
  <c r="O17" i="25" a="1"/>
  <c r="O17" i="25" s="1"/>
  <c r="S17" i="25" a="1"/>
  <c r="S17" i="25" s="1"/>
  <c r="U17" i="25" a="1"/>
  <c r="U17" i="25" s="1"/>
  <c r="V17" i="25" a="1"/>
  <c r="V17" i="25" s="1"/>
  <c r="W17" i="25" a="1"/>
  <c r="W17" i="25" s="1"/>
  <c r="X17" i="25" a="1"/>
  <c r="X17" i="25" s="1"/>
  <c r="Z17" i="25" a="1"/>
  <c r="Z17" i="25" s="1"/>
  <c r="Y17" i="25" a="1"/>
  <c r="Y17" i="25" s="1"/>
  <c r="W60" i="24"/>
  <c r="W9" i="24" a="1"/>
  <c r="W9" i="24" s="1"/>
  <c r="W61" i="24"/>
  <c r="W10" i="24" a="1"/>
  <c r="W10" i="24" s="1"/>
  <c r="W11" i="24" a="1"/>
  <c r="W11" i="24" s="1"/>
  <c r="W12" i="24" a="1"/>
  <c r="W12" i="24" s="1"/>
  <c r="W13" i="24" a="1"/>
  <c r="W13" i="24" s="1"/>
  <c r="W14" i="24" a="1"/>
  <c r="W14" i="24" s="1"/>
  <c r="W15" i="24" a="1"/>
  <c r="W15" i="24" s="1"/>
  <c r="W17" i="24" a="1"/>
  <c r="W17" i="24" s="1"/>
  <c r="W16" i="24" a="1"/>
  <c r="W16" i="24" s="1"/>
  <c r="V10" i="26" a="1"/>
  <c r="V10" i="26" s="1"/>
  <c r="V61" i="26"/>
  <c r="V9" i="26" a="1"/>
  <c r="V9" i="26" s="1"/>
  <c r="V60" i="26"/>
  <c r="V13" i="26" a="1"/>
  <c r="V13" i="26" s="1"/>
  <c r="V12" i="26" a="1"/>
  <c r="V12" i="26" s="1"/>
  <c r="V11" i="26" a="1"/>
  <c r="V11" i="26" s="1"/>
  <c r="V15" i="26" a="1"/>
  <c r="V15" i="26" s="1"/>
  <c r="V14" i="26" a="1"/>
  <c r="V14" i="26" s="1"/>
  <c r="V16" i="26" a="1"/>
  <c r="V16" i="26" s="1"/>
  <c r="V17" i="26" a="1"/>
  <c r="V17" i="26" s="1"/>
  <c r="V19" i="26" a="1"/>
  <c r="V19" i="26" s="1"/>
  <c r="V18" i="26" a="1"/>
  <c r="V18" i="26" s="1"/>
  <c r="X8" i="26" a="1"/>
  <c r="X8" i="26" s="1"/>
  <c r="X22" i="26" s="1" a="1"/>
  <c r="X22" i="26" s="1"/>
  <c r="X9" i="24" a="1"/>
  <c r="X9" i="24" s="1"/>
  <c r="X61" i="24"/>
  <c r="X60" i="24"/>
  <c r="X10" i="24" a="1"/>
  <c r="X10" i="24" s="1"/>
  <c r="X11" i="24" a="1"/>
  <c r="X11" i="24" s="1"/>
  <c r="X12" i="24" a="1"/>
  <c r="X12" i="24" s="1"/>
  <c r="X13" i="24" a="1"/>
  <c r="X13" i="24" s="1"/>
  <c r="X14" i="24" a="1"/>
  <c r="X14" i="24" s="1"/>
  <c r="Y8" i="24" a="1"/>
  <c r="Y8" i="24" s="1"/>
  <c r="X16" i="24" a="1"/>
  <c r="X16" i="24" s="1"/>
  <c r="X17" i="24" a="1"/>
  <c r="X17" i="24" s="1"/>
  <c r="X15" i="24" a="1"/>
  <c r="X15" i="24" s="1"/>
  <c r="U19" i="38"/>
  <c r="Q19" i="38"/>
  <c r="O19" i="38"/>
  <c r="S19" i="38"/>
  <c r="R19" i="38"/>
  <c r="P19" i="38"/>
  <c r="N19" i="38"/>
  <c r="M19" i="38"/>
  <c r="L19" i="38"/>
  <c r="T19" i="38"/>
  <c r="K20" i="38" a="1"/>
  <c r="K20" i="38" s="1"/>
  <c r="W18" i="24" a="1"/>
  <c r="W18" i="24" s="1"/>
  <c r="U63" i="24"/>
  <c r="U62" i="24"/>
  <c r="X21" i="26" a="1"/>
  <c r="X21" i="26" s="1"/>
  <c r="S21" i="26" a="1"/>
  <c r="S21" i="26" s="1"/>
  <c r="U21" i="26" a="1"/>
  <c r="U21" i="26" s="1"/>
  <c r="W21" i="26" a="1"/>
  <c r="W21" i="26" s="1"/>
  <c r="M21" i="26" a="1"/>
  <c r="M21" i="26" s="1"/>
  <c r="T21" i="26" a="1"/>
  <c r="T21" i="26" s="1"/>
  <c r="V21" i="26" a="1"/>
  <c r="V21" i="26" s="1"/>
  <c r="N21" i="26" a="1"/>
  <c r="N21" i="26" s="1"/>
  <c r="P21" i="26" a="1"/>
  <c r="P21" i="26" s="1"/>
  <c r="R21" i="26" a="1"/>
  <c r="R21" i="26" s="1"/>
  <c r="Q21" i="26" a="1"/>
  <c r="Q21" i="26" s="1"/>
  <c r="O21" i="26" a="1"/>
  <c r="O21" i="26" s="1"/>
  <c r="Y8" i="26" a="1"/>
  <c r="Y8" i="26" s="1"/>
  <c r="X19" i="24" a="1"/>
  <c r="X19" i="24" s="1"/>
  <c r="N19" i="25" a="1"/>
  <c r="N19" i="25" s="1"/>
  <c r="W20" i="26" a="1"/>
  <c r="W20" i="26" s="1"/>
  <c r="U9" i="38"/>
  <c r="U60" i="38"/>
  <c r="U61" i="38"/>
  <c r="U10" i="38"/>
  <c r="U11" i="38"/>
  <c r="U12" i="38"/>
  <c r="U13" i="38"/>
  <c r="U14" i="38"/>
  <c r="U15" i="38"/>
  <c r="U16" i="38"/>
  <c r="V8" i="38" a="1"/>
  <c r="V8" i="38" s="1"/>
  <c r="U17" i="38"/>
  <c r="W19" i="24" a="1"/>
  <c r="W19" i="24" s="1"/>
  <c r="AA13" i="25" l="1" a="1"/>
  <c r="AA13" i="25" s="1"/>
  <c r="AA60" i="25"/>
  <c r="AB8" i="25" a="1"/>
  <c r="AB8" i="25" s="1"/>
  <c r="AB11" i="25" s="1" a="1"/>
  <c r="AB11" i="25" s="1"/>
  <c r="AA9" i="25" a="1"/>
  <c r="AA9" i="25" s="1"/>
  <c r="AA18" i="25" a="1"/>
  <c r="AA18" i="25" s="1"/>
  <c r="AA14" i="25" a="1"/>
  <c r="AA14" i="25" s="1"/>
  <c r="AA61" i="25"/>
  <c r="AA16" i="25" a="1"/>
  <c r="AA16" i="25" s="1"/>
  <c r="AA11" i="25" a="1"/>
  <c r="AA11" i="25" s="1"/>
  <c r="AA10" i="25" a="1"/>
  <c r="AA10" i="25" s="1"/>
  <c r="AA12" i="25" a="1"/>
  <c r="AA12" i="25" s="1"/>
  <c r="AA15" i="25" a="1"/>
  <c r="AA15" i="25" s="1"/>
  <c r="M20" i="24" a="1"/>
  <c r="M20" i="24" s="1"/>
  <c r="P20" i="24" a="1"/>
  <c r="P20" i="24" s="1"/>
  <c r="U20" i="24" a="1"/>
  <c r="U20" i="24" s="1"/>
  <c r="V20" i="24" a="1"/>
  <c r="V20" i="24" s="1"/>
  <c r="S20" i="24" a="1"/>
  <c r="S20" i="24" s="1"/>
  <c r="X20" i="24" a="1"/>
  <c r="X20" i="24" s="1"/>
  <c r="L21" i="24" a="1"/>
  <c r="L21" i="24" s="1"/>
  <c r="L22" i="24" s="1" a="1"/>
  <c r="L22" i="24" s="1"/>
  <c r="W20" i="24" a="1"/>
  <c r="W20" i="24" s="1"/>
  <c r="N20" i="24" a="1"/>
  <c r="N20" i="24" s="1"/>
  <c r="R20" i="24" a="1"/>
  <c r="R20" i="24" s="1"/>
  <c r="O20" i="24" a="1"/>
  <c r="O20" i="24" s="1"/>
  <c r="T20" i="24" a="1"/>
  <c r="T20" i="24" s="1"/>
  <c r="Z8" i="26" a="1"/>
  <c r="Z8" i="26" s="1"/>
  <c r="Z60" i="26" s="1"/>
  <c r="C8" i="39"/>
  <c r="A8" i="39" s="1"/>
  <c r="F334" i="22"/>
  <c r="T23" i="26" a="1"/>
  <c r="T23" i="26" s="1"/>
  <c r="R23" i="26" a="1"/>
  <c r="R23" i="26" s="1"/>
  <c r="O23" i="26" a="1"/>
  <c r="O23" i="26" s="1"/>
  <c r="V23" i="26" a="1"/>
  <c r="V23" i="26" s="1"/>
  <c r="N23" i="26" a="1"/>
  <c r="N23" i="26" s="1"/>
  <c r="M23" i="26" a="1"/>
  <c r="M23" i="26" s="1"/>
  <c r="U23" i="26" a="1"/>
  <c r="U23" i="26" s="1"/>
  <c r="X23" i="26" a="1"/>
  <c r="X23" i="26" s="1"/>
  <c r="Q23" i="26" a="1"/>
  <c r="Q23" i="26" s="1"/>
  <c r="P23" i="26" a="1"/>
  <c r="P23" i="26" s="1"/>
  <c r="S23" i="26" a="1"/>
  <c r="S23" i="26" s="1"/>
  <c r="Y23" i="26" a="1"/>
  <c r="Y23" i="26" s="1"/>
  <c r="W23" i="26" a="1"/>
  <c r="W23" i="26" s="1"/>
  <c r="Z23" i="26" a="1"/>
  <c r="Z23" i="26" s="1"/>
  <c r="L24" i="26" a="1"/>
  <c r="L24" i="26" s="1"/>
  <c r="Y9" i="26" a="1"/>
  <c r="Y9" i="26" s="1"/>
  <c r="Y10" i="26" a="1"/>
  <c r="Y10" i="26" s="1"/>
  <c r="Y60" i="26"/>
  <c r="Y61" i="26"/>
  <c r="Y11" i="26" a="1"/>
  <c r="Y11" i="26" s="1"/>
  <c r="Y13" i="26" a="1"/>
  <c r="Y13" i="26" s="1"/>
  <c r="Y12" i="26" a="1"/>
  <c r="Y12" i="26" s="1"/>
  <c r="Y14" i="26" a="1"/>
  <c r="Y14" i="26" s="1"/>
  <c r="Y15" i="26" a="1"/>
  <c r="Y15" i="26" s="1"/>
  <c r="Y16" i="26" a="1"/>
  <c r="Y16" i="26" s="1"/>
  <c r="Y17" i="26" a="1"/>
  <c r="Y17" i="26" s="1"/>
  <c r="Y19" i="26" a="1"/>
  <c r="Y19" i="26" s="1"/>
  <c r="Y18" i="26" a="1"/>
  <c r="Y18" i="26" s="1"/>
  <c r="Y20" i="26" a="1"/>
  <c r="Y20" i="26" s="1"/>
  <c r="X63" i="24"/>
  <c r="X62" i="24"/>
  <c r="Z9" i="26" a="1"/>
  <c r="Z9" i="26" s="1"/>
  <c r="Z10" i="26" a="1"/>
  <c r="Z10" i="26" s="1"/>
  <c r="Z13" i="26" a="1"/>
  <c r="Z13" i="26" s="1"/>
  <c r="Z11" i="26" a="1"/>
  <c r="Z11" i="26" s="1"/>
  <c r="Z14" i="26" a="1"/>
  <c r="Z14" i="26" s="1"/>
  <c r="Z15" i="26" a="1"/>
  <c r="Z15" i="26" s="1"/>
  <c r="Z17" i="26" a="1"/>
  <c r="Z17" i="26" s="1"/>
  <c r="Z19" i="26" a="1"/>
  <c r="Z19" i="26" s="1"/>
  <c r="Z18" i="26" a="1"/>
  <c r="Z18" i="26" s="1"/>
  <c r="Z20" i="26" a="1"/>
  <c r="Z20" i="26" s="1"/>
  <c r="V20" i="38"/>
  <c r="L20" i="38"/>
  <c r="U20" i="38"/>
  <c r="M20" i="38"/>
  <c r="S20" i="38"/>
  <c r="T20" i="38"/>
  <c r="R20" i="38"/>
  <c r="Q20" i="38"/>
  <c r="O20" i="38"/>
  <c r="P20" i="38"/>
  <c r="N20" i="38"/>
  <c r="K21" i="38" a="1"/>
  <c r="K21" i="38" s="1"/>
  <c r="P19" i="25" a="1"/>
  <c r="P19" i="25" s="1"/>
  <c r="Q19" i="25" a="1"/>
  <c r="Q19" i="25" s="1"/>
  <c r="O19" i="25" a="1"/>
  <c r="O19" i="25" s="1"/>
  <c r="U19" i="25" a="1"/>
  <c r="U19" i="25" s="1"/>
  <c r="S19" i="25" a="1"/>
  <c r="S19" i="25" s="1"/>
  <c r="R19" i="25" a="1"/>
  <c r="R19" i="25" s="1"/>
  <c r="V19" i="25" a="1"/>
  <c r="V19" i="25" s="1"/>
  <c r="T19" i="25" a="1"/>
  <c r="T19" i="25" s="1"/>
  <c r="W19" i="25" a="1"/>
  <c r="W19" i="25" s="1"/>
  <c r="Y19" i="25" a="1"/>
  <c r="Y19" i="25" s="1"/>
  <c r="Z19" i="25" a="1"/>
  <c r="Z19" i="25" s="1"/>
  <c r="X19" i="25" a="1"/>
  <c r="X19" i="25" s="1"/>
  <c r="AA19" i="25" a="1"/>
  <c r="AA19" i="25" s="1"/>
  <c r="N20" i="25" a="1"/>
  <c r="N20" i="25" s="1"/>
  <c r="Y21" i="26" a="1"/>
  <c r="Y21" i="26" s="1"/>
  <c r="Y61" i="24"/>
  <c r="Y60" i="24"/>
  <c r="Y9" i="24" a="1"/>
  <c r="Y9" i="24" s="1"/>
  <c r="Y10" i="24" a="1"/>
  <c r="Y10" i="24" s="1"/>
  <c r="Y11" i="24" a="1"/>
  <c r="Y11" i="24" s="1"/>
  <c r="Y13" i="24" a="1"/>
  <c r="Y13" i="24" s="1"/>
  <c r="Y12" i="24" a="1"/>
  <c r="Y12" i="24" s="1"/>
  <c r="Y14" i="24" a="1"/>
  <c r="Y14" i="24" s="1"/>
  <c r="Y15" i="24" a="1"/>
  <c r="Y15" i="24" s="1"/>
  <c r="Y17" i="24" a="1"/>
  <c r="Y17" i="24" s="1"/>
  <c r="Y16" i="24" a="1"/>
  <c r="Y16" i="24" s="1"/>
  <c r="Y19" i="24" a="1"/>
  <c r="Y19" i="24" s="1"/>
  <c r="Y18" i="24" a="1"/>
  <c r="Y18" i="24" s="1"/>
  <c r="Z8" i="24" a="1"/>
  <c r="Z8" i="24" s="1"/>
  <c r="Y20" i="24" a="1"/>
  <c r="Y20" i="24" s="1"/>
  <c r="V60" i="38"/>
  <c r="V9" i="38"/>
  <c r="V10" i="38"/>
  <c r="V61" i="38"/>
  <c r="V11" i="38"/>
  <c r="V12" i="38"/>
  <c r="V13" i="38"/>
  <c r="V15" i="38"/>
  <c r="V14" i="38"/>
  <c r="V16" i="38"/>
  <c r="V17" i="38"/>
  <c r="V18" i="38"/>
  <c r="W8" i="38" a="1"/>
  <c r="W8" i="38" s="1"/>
  <c r="W20" i="38" s="1"/>
  <c r="V19" i="38"/>
  <c r="X61" i="26"/>
  <c r="X60" i="26"/>
  <c r="X10" i="26" a="1"/>
  <c r="X10" i="26" s="1"/>
  <c r="X9" i="26" a="1"/>
  <c r="X9" i="26" s="1"/>
  <c r="X13" i="26" a="1"/>
  <c r="X13" i="26" s="1"/>
  <c r="X12" i="26" a="1"/>
  <c r="X12" i="26" s="1"/>
  <c r="X11" i="26" a="1"/>
  <c r="X11" i="26" s="1"/>
  <c r="X15" i="26" a="1"/>
  <c r="X15" i="26" s="1"/>
  <c r="X14" i="26" a="1"/>
  <c r="X14" i="26" s="1"/>
  <c r="X16" i="26" a="1"/>
  <c r="X16" i="26" s="1"/>
  <c r="X17" i="26" a="1"/>
  <c r="X17" i="26" s="1"/>
  <c r="X18" i="26" a="1"/>
  <c r="X18" i="26" s="1"/>
  <c r="X19" i="26" a="1"/>
  <c r="X19" i="26" s="1"/>
  <c r="X20" i="26" a="1"/>
  <c r="X20" i="26" s="1"/>
  <c r="W62" i="24"/>
  <c r="W63" i="24"/>
  <c r="Y22" i="26" a="1"/>
  <c r="Y22" i="26" s="1"/>
  <c r="AB18" i="25" l="1" a="1"/>
  <c r="AB18" i="25" s="1"/>
  <c r="AB16" i="25" a="1"/>
  <c r="AB16" i="25" s="1"/>
  <c r="AC8" i="25" a="1"/>
  <c r="AC8" i="25" s="1"/>
  <c r="AC19" i="25" s="1" a="1"/>
  <c r="AC19" i="25" s="1"/>
  <c r="AB10" i="25" a="1"/>
  <c r="AB10" i="25" s="1"/>
  <c r="AB17" i="25" a="1"/>
  <c r="AB17" i="25" s="1"/>
  <c r="AB15" i="25" a="1"/>
  <c r="AB15" i="25" s="1"/>
  <c r="AB9" i="25" a="1"/>
  <c r="AB9" i="25" s="1"/>
  <c r="AB14" i="25" a="1"/>
  <c r="AB14" i="25" s="1"/>
  <c r="AB60" i="25"/>
  <c r="AB13" i="25" a="1"/>
  <c r="AB13" i="25" s="1"/>
  <c r="AB61" i="25"/>
  <c r="AB12" i="25" a="1"/>
  <c r="AB12" i="25" s="1"/>
  <c r="AB19" i="25" a="1"/>
  <c r="AB19" i="25" s="1"/>
  <c r="S22" i="24" a="1"/>
  <c r="S22" i="24" s="1"/>
  <c r="Y22" i="24" a="1"/>
  <c r="Y22" i="24" s="1"/>
  <c r="T22" i="24" a="1"/>
  <c r="T22" i="24" s="1"/>
  <c r="P22" i="24" a="1"/>
  <c r="P22" i="24" s="1"/>
  <c r="N22" i="24" a="1"/>
  <c r="N22" i="24" s="1"/>
  <c r="X22" i="24" a="1"/>
  <c r="X22" i="24" s="1"/>
  <c r="O22" i="24" a="1"/>
  <c r="O22" i="24" s="1"/>
  <c r="Z22" i="24" a="1"/>
  <c r="Z22" i="24" s="1"/>
  <c r="M22" i="24" a="1"/>
  <c r="M22" i="24" s="1"/>
  <c r="Q22" i="24" a="1"/>
  <c r="Q22" i="24" s="1"/>
  <c r="W22" i="24" a="1"/>
  <c r="W22" i="24" s="1"/>
  <c r="R22" i="24" a="1"/>
  <c r="R22" i="24" s="1"/>
  <c r="U22" i="24" a="1"/>
  <c r="U22" i="24" s="1"/>
  <c r="V22" i="24" a="1"/>
  <c r="V22" i="24" s="1"/>
  <c r="M21" i="24" a="1"/>
  <c r="M21" i="24" s="1"/>
  <c r="O21" i="24" a="1"/>
  <c r="O21" i="24" s="1"/>
  <c r="P21" i="24" a="1"/>
  <c r="P21" i="24" s="1"/>
  <c r="W21" i="24" a="1"/>
  <c r="W21" i="24" s="1"/>
  <c r="T21" i="24" a="1"/>
  <c r="T21" i="24" s="1"/>
  <c r="X21" i="24" a="1"/>
  <c r="X21" i="24" s="1"/>
  <c r="S21" i="24" a="1"/>
  <c r="S21" i="24" s="1"/>
  <c r="Q21" i="24" a="1"/>
  <c r="Q21" i="24" s="1"/>
  <c r="N21" i="24" a="1"/>
  <c r="N21" i="24" s="1"/>
  <c r="U21" i="24" a="1"/>
  <c r="U21" i="24" s="1"/>
  <c r="R21" i="24" a="1"/>
  <c r="R21" i="24" s="1"/>
  <c r="V21" i="24" a="1"/>
  <c r="V21" i="24" s="1"/>
  <c r="Y21" i="24" a="1"/>
  <c r="Y21" i="24" s="1"/>
  <c r="L23" i="24" a="1"/>
  <c r="L23" i="24" s="1"/>
  <c r="R23" i="24" s="1" a="1"/>
  <c r="R23" i="24" s="1"/>
  <c r="Z61" i="26"/>
  <c r="AA8" i="26" a="1"/>
  <c r="AA8" i="26" s="1"/>
  <c r="AA23" i="26" s="1" a="1"/>
  <c r="AA23" i="26" s="1"/>
  <c r="Z16" i="26" a="1"/>
  <c r="Z16" i="26" s="1"/>
  <c r="Z12" i="26" a="1"/>
  <c r="Z12" i="26" s="1"/>
  <c r="Z21" i="26" a="1"/>
  <c r="Z21" i="26" s="1"/>
  <c r="Z22" i="26" a="1"/>
  <c r="Z22" i="26" s="1"/>
  <c r="W21" i="38"/>
  <c r="O21" i="38"/>
  <c r="U21" i="38"/>
  <c r="S21" i="38"/>
  <c r="P21" i="38"/>
  <c r="N21" i="38"/>
  <c r="M21" i="38"/>
  <c r="V21" i="38"/>
  <c r="T21" i="38"/>
  <c r="R21" i="38"/>
  <c r="L21" i="38"/>
  <c r="Q21" i="38"/>
  <c r="K22" i="38" a="1"/>
  <c r="K22" i="38" s="1"/>
  <c r="Z60" i="24"/>
  <c r="Z61" i="24"/>
  <c r="Z9" i="24" a="1"/>
  <c r="Z9" i="24" s="1"/>
  <c r="Z10" i="24" a="1"/>
  <c r="Z10" i="24" s="1"/>
  <c r="Z11" i="24" a="1"/>
  <c r="Z11" i="24" s="1"/>
  <c r="Z12" i="24" a="1"/>
  <c r="Z12" i="24" s="1"/>
  <c r="Z13" i="24" a="1"/>
  <c r="Z13" i="24" s="1"/>
  <c r="Z14" i="24" a="1"/>
  <c r="Z14" i="24" s="1"/>
  <c r="Z16" i="24" a="1"/>
  <c r="Z16" i="24" s="1"/>
  <c r="Z17" i="24" a="1"/>
  <c r="Z17" i="24" s="1"/>
  <c r="Z15" i="24" a="1"/>
  <c r="Z15" i="24" s="1"/>
  <c r="Z18" i="24" a="1"/>
  <c r="Z18" i="24" s="1"/>
  <c r="Z19" i="24" a="1"/>
  <c r="Z19" i="24" s="1"/>
  <c r="AA8" i="24" a="1"/>
  <c r="AA8" i="24" s="1"/>
  <c r="Z21" i="24" a="1"/>
  <c r="Z21" i="24" s="1"/>
  <c r="Z20" i="24" a="1"/>
  <c r="Z20" i="24" s="1"/>
  <c r="Y63" i="24"/>
  <c r="Y62" i="24"/>
  <c r="AA10" i="26" a="1"/>
  <c r="AA10" i="26" s="1"/>
  <c r="AA61" i="26"/>
  <c r="AA9" i="26" a="1"/>
  <c r="AA9" i="26" s="1"/>
  <c r="AA60" i="26"/>
  <c r="AA11" i="26" a="1"/>
  <c r="AA11" i="26" s="1"/>
  <c r="AA13" i="26" a="1"/>
  <c r="AA13" i="26" s="1"/>
  <c r="AA12" i="26" a="1"/>
  <c r="AA12" i="26" s="1"/>
  <c r="AA15" i="26" a="1"/>
  <c r="AA15" i="26" s="1"/>
  <c r="AA14" i="26" a="1"/>
  <c r="AA14" i="26" s="1"/>
  <c r="AA16" i="26" a="1"/>
  <c r="AA16" i="26" s="1"/>
  <c r="AA17" i="26" a="1"/>
  <c r="AA17" i="26" s="1"/>
  <c r="AA19" i="26" a="1"/>
  <c r="AA19" i="26" s="1"/>
  <c r="AB8" i="26" a="1"/>
  <c r="AB8" i="26" s="1"/>
  <c r="AB24" i="26" s="1" a="1"/>
  <c r="AB24" i="26" s="1"/>
  <c r="AA18" i="26" a="1"/>
  <c r="AA18" i="26" s="1"/>
  <c r="AA20" i="26" a="1"/>
  <c r="AA20" i="26" s="1"/>
  <c r="AA21" i="26" a="1"/>
  <c r="AA21" i="26" s="1"/>
  <c r="AA22" i="26" a="1"/>
  <c r="AA22" i="26" s="1"/>
  <c r="N24" i="26" a="1"/>
  <c r="N24" i="26" s="1"/>
  <c r="U24" i="26" a="1"/>
  <c r="U24" i="26" s="1"/>
  <c r="T24" i="26" a="1"/>
  <c r="T24" i="26" s="1"/>
  <c r="R24" i="26" a="1"/>
  <c r="R24" i="26" s="1"/>
  <c r="Z24" i="26" a="1"/>
  <c r="Z24" i="26" s="1"/>
  <c r="X24" i="26" a="1"/>
  <c r="X24" i="26" s="1"/>
  <c r="V24" i="26" a="1"/>
  <c r="V24" i="26" s="1"/>
  <c r="Y24" i="26" a="1"/>
  <c r="Y24" i="26" s="1"/>
  <c r="O24" i="26" a="1"/>
  <c r="O24" i="26" s="1"/>
  <c r="Q24" i="26" a="1"/>
  <c r="Q24" i="26" s="1"/>
  <c r="M24" i="26" a="1"/>
  <c r="M24" i="26" s="1"/>
  <c r="W24" i="26" a="1"/>
  <c r="W24" i="26" s="1"/>
  <c r="S24" i="26" a="1"/>
  <c r="S24" i="26" s="1"/>
  <c r="AA24" i="26" a="1"/>
  <c r="AA24" i="26" s="1"/>
  <c r="P24" i="26" a="1"/>
  <c r="P24" i="26" s="1"/>
  <c r="L25" i="26" a="1"/>
  <c r="L25" i="26" s="1"/>
  <c r="P20" i="25" a="1"/>
  <c r="P20" i="25" s="1"/>
  <c r="S20" i="25" a="1"/>
  <c r="S20" i="25" s="1"/>
  <c r="Q20" i="25" a="1"/>
  <c r="Q20" i="25" s="1"/>
  <c r="O20" i="25" a="1"/>
  <c r="O20" i="25" s="1"/>
  <c r="U20" i="25" a="1"/>
  <c r="U20" i="25" s="1"/>
  <c r="R20" i="25" a="1"/>
  <c r="R20" i="25" s="1"/>
  <c r="T20" i="25" a="1"/>
  <c r="T20" i="25" s="1"/>
  <c r="V20" i="25" a="1"/>
  <c r="V20" i="25" s="1"/>
  <c r="W20" i="25" a="1"/>
  <c r="W20" i="25" s="1"/>
  <c r="Z20" i="25" a="1"/>
  <c r="Z20" i="25" s="1"/>
  <c r="Y20" i="25" a="1"/>
  <c r="Y20" i="25" s="1"/>
  <c r="AB20" i="25" a="1"/>
  <c r="AB20" i="25" s="1"/>
  <c r="AA20" i="25" a="1"/>
  <c r="AA20" i="25" s="1"/>
  <c r="X20" i="25" a="1"/>
  <c r="X20" i="25" s="1"/>
  <c r="N21" i="25" a="1"/>
  <c r="N21" i="25" s="1"/>
  <c r="C9" i="39"/>
  <c r="A9" i="39" s="1"/>
  <c r="F335" i="22"/>
  <c r="W9" i="38"/>
  <c r="W10" i="38"/>
  <c r="W60" i="38"/>
  <c r="W61" i="38"/>
  <c r="W12" i="38"/>
  <c r="W11" i="38"/>
  <c r="W13" i="38"/>
  <c r="W15" i="38"/>
  <c r="W14" i="38"/>
  <c r="W16" i="38"/>
  <c r="W17" i="38"/>
  <c r="W18" i="38"/>
  <c r="X8" i="38" a="1"/>
  <c r="X8" i="38" s="1"/>
  <c r="X21" i="38" s="1"/>
  <c r="W19" i="38"/>
  <c r="AC15" i="25" l="1" a="1"/>
  <c r="AC15" i="25" s="1"/>
  <c r="AC60" i="25"/>
  <c r="AC14" i="25" a="1"/>
  <c r="AC14" i="25" s="1"/>
  <c r="AC61" i="25"/>
  <c r="AC12" i="25" a="1"/>
  <c r="AC12" i="25" s="1"/>
  <c r="AC13" i="25" a="1"/>
  <c r="AC13" i="25" s="1"/>
  <c r="AC9" i="25" a="1"/>
  <c r="AC9" i="25" s="1"/>
  <c r="AC17" i="25" a="1"/>
  <c r="AC17" i="25" s="1"/>
  <c r="AC18" i="25" a="1"/>
  <c r="AC18" i="25" s="1"/>
  <c r="AC11" i="25" a="1"/>
  <c r="AC11" i="25" s="1"/>
  <c r="AC20" i="25" a="1"/>
  <c r="AC20" i="25" s="1"/>
  <c r="AD8" i="25" a="1"/>
  <c r="AD8" i="25" s="1"/>
  <c r="AC16" i="25" a="1"/>
  <c r="AC16" i="25" s="1"/>
  <c r="AC10" i="25" a="1"/>
  <c r="AC10" i="25" s="1"/>
  <c r="O23" i="24" a="1"/>
  <c r="O23" i="24" s="1"/>
  <c r="X23" i="24" a="1"/>
  <c r="X23" i="24" s="1"/>
  <c r="L24" i="24" a="1"/>
  <c r="L24" i="24" s="1"/>
  <c r="S24" i="24" s="1" a="1"/>
  <c r="S24" i="24" s="1"/>
  <c r="Y23" i="24" a="1"/>
  <c r="Y23" i="24" s="1"/>
  <c r="N23" i="24" a="1"/>
  <c r="N23" i="24" s="1"/>
  <c r="Z23" i="24" a="1"/>
  <c r="Z23" i="24" s="1"/>
  <c r="V23" i="24" a="1"/>
  <c r="V23" i="24" s="1"/>
  <c r="P23" i="24" a="1"/>
  <c r="P23" i="24" s="1"/>
  <c r="W23" i="24" a="1"/>
  <c r="W23" i="24" s="1"/>
  <c r="S23" i="24" a="1"/>
  <c r="S23" i="24" s="1"/>
  <c r="M23" i="24" a="1"/>
  <c r="M23" i="24" s="1"/>
  <c r="T23" i="24" a="1"/>
  <c r="T23" i="24" s="1"/>
  <c r="Q23" i="24" a="1"/>
  <c r="Q23" i="24" s="1"/>
  <c r="U23" i="24" a="1"/>
  <c r="U23" i="24" s="1"/>
  <c r="C10" i="39"/>
  <c r="A10" i="39" s="1"/>
  <c r="F336" i="22"/>
  <c r="S22" i="38"/>
  <c r="W22" i="38"/>
  <c r="R22" i="38"/>
  <c r="X22" i="38"/>
  <c r="T22" i="38"/>
  <c r="P22" i="38"/>
  <c r="V22" i="38"/>
  <c r="N22" i="38"/>
  <c r="U22" i="38"/>
  <c r="M22" i="38"/>
  <c r="Q22" i="38"/>
  <c r="L22" i="38"/>
  <c r="O22" i="38"/>
  <c r="K23" i="38" a="1"/>
  <c r="K23" i="38" s="1"/>
  <c r="AB9" i="26" a="1"/>
  <c r="AB9" i="26" s="1"/>
  <c r="AB10" i="26" a="1"/>
  <c r="AB10" i="26" s="1"/>
  <c r="AB61" i="26"/>
  <c r="AB60" i="26"/>
  <c r="AB12" i="26" a="1"/>
  <c r="AB12" i="26" s="1"/>
  <c r="AB11" i="26" a="1"/>
  <c r="AB11" i="26" s="1"/>
  <c r="AB13" i="26" a="1"/>
  <c r="AB13" i="26" s="1"/>
  <c r="AB15" i="26" a="1"/>
  <c r="AB15" i="26" s="1"/>
  <c r="AB14" i="26" a="1"/>
  <c r="AB14" i="26" s="1"/>
  <c r="AB16" i="26" a="1"/>
  <c r="AB16" i="26" s="1"/>
  <c r="AB17" i="26" a="1"/>
  <c r="AB17" i="26" s="1"/>
  <c r="AB19" i="26" a="1"/>
  <c r="AB19" i="26" s="1"/>
  <c r="AB18" i="26" a="1"/>
  <c r="AB18" i="26" s="1"/>
  <c r="AC8" i="26" a="1"/>
  <c r="AC8" i="26" s="1"/>
  <c r="AC25" i="26" s="1" a="1"/>
  <c r="AC25" i="26" s="1"/>
  <c r="AB20" i="26" a="1"/>
  <c r="AB20" i="26" s="1"/>
  <c r="AB22" i="26" a="1"/>
  <c r="AB22" i="26" s="1"/>
  <c r="AB21" i="26" a="1"/>
  <c r="AB21" i="26" s="1"/>
  <c r="AB23" i="26" a="1"/>
  <c r="AB23" i="26" s="1"/>
  <c r="X9" i="38"/>
  <c r="X10" i="38"/>
  <c r="X60" i="38"/>
  <c r="X61" i="38"/>
  <c r="X11" i="38"/>
  <c r="X12" i="38"/>
  <c r="X13" i="38"/>
  <c r="X14" i="38"/>
  <c r="X15" i="38"/>
  <c r="X16" i="38"/>
  <c r="X17" i="38"/>
  <c r="X18" i="38"/>
  <c r="X19" i="38"/>
  <c r="Y8" i="38" a="1"/>
  <c r="Y8" i="38" s="1"/>
  <c r="X20" i="38"/>
  <c r="P21" i="25" a="1"/>
  <c r="P21" i="25" s="1"/>
  <c r="O21" i="25" a="1"/>
  <c r="O21" i="25" s="1"/>
  <c r="S21" i="25" a="1"/>
  <c r="S21" i="25" s="1"/>
  <c r="Q21" i="25" a="1"/>
  <c r="Q21" i="25" s="1"/>
  <c r="T21" i="25" a="1"/>
  <c r="T21" i="25" s="1"/>
  <c r="U21" i="25" a="1"/>
  <c r="U21" i="25" s="1"/>
  <c r="R21" i="25" a="1"/>
  <c r="R21" i="25" s="1"/>
  <c r="W21" i="25" a="1"/>
  <c r="W21" i="25" s="1"/>
  <c r="X21" i="25" a="1"/>
  <c r="X21" i="25" s="1"/>
  <c r="Z21" i="25" a="1"/>
  <c r="Z21" i="25" s="1"/>
  <c r="V21" i="25" a="1"/>
  <c r="V21" i="25" s="1"/>
  <c r="AC21" i="25" a="1"/>
  <c r="AC21" i="25" s="1"/>
  <c r="Y21" i="25" a="1"/>
  <c r="Y21" i="25" s="1"/>
  <c r="AA21" i="25" a="1"/>
  <c r="AA21" i="25" s="1"/>
  <c r="AB21" i="25" a="1"/>
  <c r="AB21" i="25" s="1"/>
  <c r="N22" i="25" a="1"/>
  <c r="N22" i="25" s="1"/>
  <c r="AA9" i="24" a="1"/>
  <c r="AA9" i="24" s="1"/>
  <c r="AA60" i="24"/>
  <c r="AA61" i="24"/>
  <c r="AA10" i="24" a="1"/>
  <c r="AA10" i="24" s="1"/>
  <c r="AA11" i="24" a="1"/>
  <c r="AA11" i="24" s="1"/>
  <c r="AA12" i="24" a="1"/>
  <c r="AA12" i="24" s="1"/>
  <c r="AA13" i="24" a="1"/>
  <c r="AA13" i="24" s="1"/>
  <c r="AA14" i="24" a="1"/>
  <c r="AA14" i="24" s="1"/>
  <c r="AA16" i="24" a="1"/>
  <c r="AA16" i="24" s="1"/>
  <c r="AA15" i="24" a="1"/>
  <c r="AA15" i="24" s="1"/>
  <c r="AA17" i="24" a="1"/>
  <c r="AA17" i="24" s="1"/>
  <c r="AA19" i="24" a="1"/>
  <c r="AA19" i="24" s="1"/>
  <c r="AA18" i="24" a="1"/>
  <c r="AA18" i="24" s="1"/>
  <c r="AB8" i="24" a="1"/>
  <c r="AB8" i="24" s="1"/>
  <c r="AA20" i="24" a="1"/>
  <c r="AA20" i="24" s="1"/>
  <c r="AA21" i="24" a="1"/>
  <c r="AA21" i="24" s="1"/>
  <c r="AA22" i="24" a="1"/>
  <c r="AA22" i="24" s="1"/>
  <c r="Z63" i="24"/>
  <c r="Z62" i="24"/>
  <c r="Z25" i="26" a="1"/>
  <c r="Z25" i="26" s="1"/>
  <c r="M25" i="26" a="1"/>
  <c r="M25" i="26" s="1"/>
  <c r="V25" i="26" a="1"/>
  <c r="V25" i="26" s="1"/>
  <c r="T25" i="26" a="1"/>
  <c r="T25" i="26" s="1"/>
  <c r="Q25" i="26" a="1"/>
  <c r="Q25" i="26" s="1"/>
  <c r="R25" i="26" a="1"/>
  <c r="R25" i="26" s="1"/>
  <c r="N25" i="26" a="1"/>
  <c r="N25" i="26" s="1"/>
  <c r="AA25" i="26" a="1"/>
  <c r="AA25" i="26" s="1"/>
  <c r="Y25" i="26" a="1"/>
  <c r="Y25" i="26" s="1"/>
  <c r="P25" i="26" a="1"/>
  <c r="P25" i="26" s="1"/>
  <c r="S25" i="26" a="1"/>
  <c r="S25" i="26" s="1"/>
  <c r="U25" i="26" a="1"/>
  <c r="U25" i="26" s="1"/>
  <c r="O25" i="26" a="1"/>
  <c r="O25" i="26" s="1"/>
  <c r="W25" i="26" a="1"/>
  <c r="W25" i="26" s="1"/>
  <c r="AB25" i="26" a="1"/>
  <c r="AB25" i="26" s="1"/>
  <c r="X25" i="26" a="1"/>
  <c r="X25" i="26" s="1"/>
  <c r="L26" i="26" a="1"/>
  <c r="L26" i="26" s="1"/>
  <c r="AA23" i="24" a="1"/>
  <c r="AA23" i="24" s="1"/>
  <c r="AD11" i="25" l="1" a="1"/>
  <c r="AD11" i="25" s="1"/>
  <c r="AD18" i="25" a="1"/>
  <c r="AD18" i="25" s="1"/>
  <c r="AD60" i="25"/>
  <c r="AD13" i="25" a="1"/>
  <c r="AD13" i="25" s="1"/>
  <c r="AD9" i="25" a="1"/>
  <c r="AD9" i="25" s="1"/>
  <c r="AD61" i="25"/>
  <c r="AD15" i="25" a="1"/>
  <c r="AD15" i="25" s="1"/>
  <c r="AD14" i="25" a="1"/>
  <c r="AD14" i="25" s="1"/>
  <c r="AD19" i="25" a="1"/>
  <c r="AD19" i="25" s="1"/>
  <c r="AD10" i="25" a="1"/>
  <c r="AD10" i="25" s="1"/>
  <c r="AD16" i="25" a="1"/>
  <c r="AD16" i="25" s="1"/>
  <c r="AD12" i="25" a="1"/>
  <c r="AD12" i="25" s="1"/>
  <c r="AD17" i="25" a="1"/>
  <c r="AD17" i="25" s="1"/>
  <c r="AD20" i="25" a="1"/>
  <c r="AD20" i="25" s="1"/>
  <c r="AD21" i="25" a="1"/>
  <c r="AD21" i="25" s="1"/>
  <c r="AE8" i="25" a="1"/>
  <c r="AE8" i="25" s="1"/>
  <c r="AE22" i="25" s="1" a="1"/>
  <c r="AE22" i="25" s="1"/>
  <c r="Z24" i="24" a="1"/>
  <c r="Z24" i="24" s="1"/>
  <c r="W24" i="24" a="1"/>
  <c r="W24" i="24" s="1"/>
  <c r="P24" i="24" a="1"/>
  <c r="P24" i="24" s="1"/>
  <c r="V24" i="24" a="1"/>
  <c r="V24" i="24" s="1"/>
  <c r="T24" i="24" a="1"/>
  <c r="T24" i="24" s="1"/>
  <c r="R24" i="24" a="1"/>
  <c r="R24" i="24" s="1"/>
  <c r="M24" i="24" a="1"/>
  <c r="M24" i="24" s="1"/>
  <c r="AA24" i="24" a="1"/>
  <c r="AA24" i="24" s="1"/>
  <c r="N24" i="24" a="1"/>
  <c r="N24" i="24" s="1"/>
  <c r="U24" i="24" a="1"/>
  <c r="U24" i="24" s="1"/>
  <c r="Q24" i="24" a="1"/>
  <c r="Q24" i="24" s="1"/>
  <c r="L25" i="24" a="1"/>
  <c r="L25" i="24" s="1"/>
  <c r="AA25" i="24" s="1" a="1"/>
  <c r="AA25" i="24" s="1"/>
  <c r="Y24" i="24" a="1"/>
  <c r="Y24" i="24" s="1"/>
  <c r="O24" i="24" a="1"/>
  <c r="O24" i="24" s="1"/>
  <c r="X24" i="24" a="1"/>
  <c r="X24" i="24" s="1"/>
  <c r="U23" i="38"/>
  <c r="T23" i="38"/>
  <c r="S23" i="38"/>
  <c r="X23" i="38"/>
  <c r="R23" i="38"/>
  <c r="P23" i="38"/>
  <c r="M23" i="38"/>
  <c r="Y23" i="38"/>
  <c r="O23" i="38"/>
  <c r="W23" i="38"/>
  <c r="N23" i="38"/>
  <c r="Q23" i="38"/>
  <c r="L23" i="38"/>
  <c r="V23" i="38"/>
  <c r="K24" i="38" a="1"/>
  <c r="K24" i="38" s="1"/>
  <c r="C11" i="39"/>
  <c r="A11" i="39" s="1"/>
  <c r="F337" i="22"/>
  <c r="AB9" i="24" a="1"/>
  <c r="AB9" i="24" s="1"/>
  <c r="AB60" i="24"/>
  <c r="AB61" i="24"/>
  <c r="AB10" i="24" a="1"/>
  <c r="AB10" i="24" s="1"/>
  <c r="AB11" i="24" a="1"/>
  <c r="AB11" i="24" s="1"/>
  <c r="AB12" i="24" a="1"/>
  <c r="AB12" i="24" s="1"/>
  <c r="AB13" i="24" a="1"/>
  <c r="AB13" i="24" s="1"/>
  <c r="AB14" i="24" a="1"/>
  <c r="AB14" i="24" s="1"/>
  <c r="AB16" i="24" a="1"/>
  <c r="AB16" i="24" s="1"/>
  <c r="AB17" i="24" a="1"/>
  <c r="AB17" i="24" s="1"/>
  <c r="AC8" i="24" a="1"/>
  <c r="AC8" i="24" s="1"/>
  <c r="AB15" i="24" a="1"/>
  <c r="AB15" i="24" s="1"/>
  <c r="AB18" i="24" a="1"/>
  <c r="AB18" i="24" s="1"/>
  <c r="AB19" i="24" a="1"/>
  <c r="AB19" i="24" s="1"/>
  <c r="AB21" i="24" a="1"/>
  <c r="AB21" i="24" s="1"/>
  <c r="AB20" i="24" a="1"/>
  <c r="AB20" i="24" s="1"/>
  <c r="AB22" i="24" a="1"/>
  <c r="AB22" i="24" s="1"/>
  <c r="AB23" i="24" a="1"/>
  <c r="AB23" i="24" s="1"/>
  <c r="AA63" i="24"/>
  <c r="AA62" i="24"/>
  <c r="AC10" i="26" a="1"/>
  <c r="AC10" i="26" s="1"/>
  <c r="AC9" i="26" a="1"/>
  <c r="AC9" i="26" s="1"/>
  <c r="AC61" i="26"/>
  <c r="AC60" i="26"/>
  <c r="AC13" i="26" a="1"/>
  <c r="AC13" i="26" s="1"/>
  <c r="AC11" i="26" a="1"/>
  <c r="AC11" i="26" s="1"/>
  <c r="AC12" i="26" a="1"/>
  <c r="AC12" i="26" s="1"/>
  <c r="AC14" i="26" a="1"/>
  <c r="AC14" i="26" s="1"/>
  <c r="AC15" i="26" a="1"/>
  <c r="AC15" i="26" s="1"/>
  <c r="AC16" i="26" a="1"/>
  <c r="AC16" i="26" s="1"/>
  <c r="AC17" i="26" a="1"/>
  <c r="AC17" i="26" s="1"/>
  <c r="AC19" i="26" a="1"/>
  <c r="AC19" i="26" s="1"/>
  <c r="AC18" i="26" a="1"/>
  <c r="AC18" i="26" s="1"/>
  <c r="AC20" i="26" a="1"/>
  <c r="AC20" i="26" s="1"/>
  <c r="AD8" i="26" a="1"/>
  <c r="AD8" i="26" s="1"/>
  <c r="AD26" i="26" s="1" a="1"/>
  <c r="AD26" i="26" s="1"/>
  <c r="AC22" i="26" a="1"/>
  <c r="AC22" i="26" s="1"/>
  <c r="AC21" i="26" a="1"/>
  <c r="AC21" i="26" s="1"/>
  <c r="AC23" i="26" a="1"/>
  <c r="AC23" i="26" s="1"/>
  <c r="AC24" i="26" a="1"/>
  <c r="AC24" i="26" s="1"/>
  <c r="Y9" i="38"/>
  <c r="Y60" i="38"/>
  <c r="Y10" i="38"/>
  <c r="Y61" i="38"/>
  <c r="Y11" i="38"/>
  <c r="Y12" i="38"/>
  <c r="Y13" i="38"/>
  <c r="Y14" i="38"/>
  <c r="Y15" i="38"/>
  <c r="Y16" i="38"/>
  <c r="Z8" i="38" a="1"/>
  <c r="Z8" i="38" s="1"/>
  <c r="Y17" i="38"/>
  <c r="Y18" i="38"/>
  <c r="Y19" i="38"/>
  <c r="Y20" i="38"/>
  <c r="Y21" i="38"/>
  <c r="R22" i="25" a="1"/>
  <c r="R22" i="25" s="1"/>
  <c r="Q22" i="25" a="1"/>
  <c r="Q22" i="25" s="1"/>
  <c r="O22" i="25" a="1"/>
  <c r="O22" i="25" s="1"/>
  <c r="T22" i="25" a="1"/>
  <c r="T22" i="25" s="1"/>
  <c r="P22" i="25" a="1"/>
  <c r="P22" i="25" s="1"/>
  <c r="W22" i="25" a="1"/>
  <c r="W22" i="25" s="1"/>
  <c r="U22" i="25" a="1"/>
  <c r="U22" i="25" s="1"/>
  <c r="S22" i="25" a="1"/>
  <c r="S22" i="25" s="1"/>
  <c r="V22" i="25" a="1"/>
  <c r="V22" i="25" s="1"/>
  <c r="X22" i="25" a="1"/>
  <c r="X22" i="25" s="1"/>
  <c r="Z22" i="25" a="1"/>
  <c r="Z22" i="25" s="1"/>
  <c r="Y22" i="25" a="1"/>
  <c r="Y22" i="25" s="1"/>
  <c r="AA22" i="25" a="1"/>
  <c r="AA22" i="25" s="1"/>
  <c r="AB22" i="25" a="1"/>
  <c r="AB22" i="25" s="1"/>
  <c r="AD22" i="25" a="1"/>
  <c r="AD22" i="25" s="1"/>
  <c r="AC22" i="25" a="1"/>
  <c r="AC22" i="25" s="1"/>
  <c r="N23" i="25" a="1"/>
  <c r="N23" i="25" s="1"/>
  <c r="Y22" i="38"/>
  <c r="P26" i="26" a="1"/>
  <c r="P26" i="26" s="1"/>
  <c r="R26" i="26" a="1"/>
  <c r="R26" i="26" s="1"/>
  <c r="AA26" i="26" a="1"/>
  <c r="AA26" i="26" s="1"/>
  <c r="AC26" i="26" a="1"/>
  <c r="AC26" i="26" s="1"/>
  <c r="Z26" i="26" a="1"/>
  <c r="Z26" i="26" s="1"/>
  <c r="X26" i="26" a="1"/>
  <c r="X26" i="26" s="1"/>
  <c r="V26" i="26" a="1"/>
  <c r="V26" i="26" s="1"/>
  <c r="T26" i="26" a="1"/>
  <c r="T26" i="26" s="1"/>
  <c r="Q26" i="26" a="1"/>
  <c r="Q26" i="26" s="1"/>
  <c r="N26" i="26" a="1"/>
  <c r="N26" i="26" s="1"/>
  <c r="U26" i="26" a="1"/>
  <c r="U26" i="26" s="1"/>
  <c r="AB26" i="26" a="1"/>
  <c r="AB26" i="26" s="1"/>
  <c r="W26" i="26" a="1"/>
  <c r="W26" i="26" s="1"/>
  <c r="O26" i="26" a="1"/>
  <c r="O26" i="26" s="1"/>
  <c r="Y26" i="26" a="1"/>
  <c r="Y26" i="26" s="1"/>
  <c r="S26" i="26" a="1"/>
  <c r="S26" i="26" s="1"/>
  <c r="M26" i="26" a="1"/>
  <c r="M26" i="26" s="1"/>
  <c r="L27" i="26" a="1"/>
  <c r="L27" i="26" s="1"/>
  <c r="AB24" i="24" a="1"/>
  <c r="AB24" i="24" s="1"/>
  <c r="AE20" i="25" l="1" a="1"/>
  <c r="AE20" i="25" s="1"/>
  <c r="AE60" i="25"/>
  <c r="AE15" i="25" a="1"/>
  <c r="AE15" i="25" s="1"/>
  <c r="AE12" i="25" a="1"/>
  <c r="AE12" i="25" s="1"/>
  <c r="AE16" i="25" a="1"/>
  <c r="AE16" i="25" s="1"/>
  <c r="AE14" i="25" a="1"/>
  <c r="AE14" i="25" s="1"/>
  <c r="AE19" i="25" a="1"/>
  <c r="AE19" i="25" s="1"/>
  <c r="AE10" i="25" a="1"/>
  <c r="AE10" i="25" s="1"/>
  <c r="AE9" i="25" a="1"/>
  <c r="AE9" i="25" s="1"/>
  <c r="AE21" i="25" a="1"/>
  <c r="AE21" i="25" s="1"/>
  <c r="AE11" i="25" a="1"/>
  <c r="AE11" i="25" s="1"/>
  <c r="AE18" i="25" a="1"/>
  <c r="AE18" i="25" s="1"/>
  <c r="AE61" i="25"/>
  <c r="AE13" i="25" a="1"/>
  <c r="AE13" i="25" s="1"/>
  <c r="AE17" i="25" a="1"/>
  <c r="AE17" i="25" s="1"/>
  <c r="AF8" i="25" a="1"/>
  <c r="AF8" i="25" s="1"/>
  <c r="AB25" i="24" a="1"/>
  <c r="AB25" i="24" s="1"/>
  <c r="X25" i="24" a="1"/>
  <c r="X25" i="24" s="1"/>
  <c r="Q25" i="24" a="1"/>
  <c r="Q25" i="24" s="1"/>
  <c r="AC25" i="24" a="1"/>
  <c r="AC25" i="24" s="1"/>
  <c r="Y25" i="24" a="1"/>
  <c r="Y25" i="24" s="1"/>
  <c r="O25" i="24" a="1"/>
  <c r="O25" i="24" s="1"/>
  <c r="N25" i="24" a="1"/>
  <c r="N25" i="24" s="1"/>
  <c r="L26" i="24" a="1"/>
  <c r="L26" i="24" s="1"/>
  <c r="O26" i="24" s="1" a="1"/>
  <c r="O26" i="24" s="1"/>
  <c r="Z25" i="24" a="1"/>
  <c r="Z25" i="24" s="1"/>
  <c r="U25" i="24" a="1"/>
  <c r="U25" i="24" s="1"/>
  <c r="S25" i="24" a="1"/>
  <c r="S25" i="24" s="1"/>
  <c r="V25" i="24" a="1"/>
  <c r="V25" i="24" s="1"/>
  <c r="P25" i="24" a="1"/>
  <c r="P25" i="24" s="1"/>
  <c r="M25" i="24" a="1"/>
  <c r="M25" i="24" s="1"/>
  <c r="W25" i="24" a="1"/>
  <c r="W25" i="24" s="1"/>
  <c r="R25" i="24" a="1"/>
  <c r="R25" i="24" s="1"/>
  <c r="T25" i="24" a="1"/>
  <c r="T25" i="24" s="1"/>
  <c r="Z61" i="38"/>
  <c r="Z9" i="38"/>
  <c r="Z10" i="38"/>
  <c r="Z60" i="38"/>
  <c r="Z12" i="38"/>
  <c r="Z11" i="38"/>
  <c r="Z13" i="38"/>
  <c r="Z14" i="38"/>
  <c r="Z15" i="38"/>
  <c r="Z16" i="38"/>
  <c r="AA8" i="38" a="1"/>
  <c r="AA8" i="38" s="1"/>
  <c r="Z17" i="38"/>
  <c r="Z18" i="38"/>
  <c r="Z19" i="38"/>
  <c r="Z20" i="38"/>
  <c r="Z21" i="38"/>
  <c r="Z22" i="38"/>
  <c r="P27" i="26" a="1"/>
  <c r="P27" i="26" s="1"/>
  <c r="Y27" i="26" a="1"/>
  <c r="Y27" i="26" s="1"/>
  <c r="M27" i="26" a="1"/>
  <c r="M27" i="26" s="1"/>
  <c r="AC27" i="26" a="1"/>
  <c r="AC27" i="26" s="1"/>
  <c r="AA27" i="26" a="1"/>
  <c r="AA27" i="26" s="1"/>
  <c r="N27" i="26" a="1"/>
  <c r="N27" i="26" s="1"/>
  <c r="W27" i="26" a="1"/>
  <c r="W27" i="26" s="1"/>
  <c r="U27" i="26" a="1"/>
  <c r="U27" i="26" s="1"/>
  <c r="AD27" i="26" a="1"/>
  <c r="AD27" i="26" s="1"/>
  <c r="Q27" i="26" a="1"/>
  <c r="Q27" i="26" s="1"/>
  <c r="Z27" i="26" a="1"/>
  <c r="Z27" i="26" s="1"/>
  <c r="X27" i="26" a="1"/>
  <c r="X27" i="26" s="1"/>
  <c r="AB27" i="26" a="1"/>
  <c r="AB27" i="26" s="1"/>
  <c r="T27" i="26" a="1"/>
  <c r="T27" i="26" s="1"/>
  <c r="S27" i="26" a="1"/>
  <c r="S27" i="26" s="1"/>
  <c r="V27" i="26" a="1"/>
  <c r="V27" i="26" s="1"/>
  <c r="O27" i="26" a="1"/>
  <c r="O27" i="26" s="1"/>
  <c r="R27" i="26" a="1"/>
  <c r="R27" i="26" s="1"/>
  <c r="L28" i="26" a="1"/>
  <c r="L28" i="26" s="1"/>
  <c r="C12" i="39"/>
  <c r="A12" i="39" s="1"/>
  <c r="F338" i="22"/>
  <c r="F339" i="22" s="1"/>
  <c r="F340" i="22" s="1"/>
  <c r="F341" i="22" s="1"/>
  <c r="F342" i="22" s="1"/>
  <c r="F343" i="22" s="1"/>
  <c r="F344" i="22" s="1"/>
  <c r="F345" i="22" s="1"/>
  <c r="F346" i="22" s="1"/>
  <c r="F347" i="22" s="1"/>
  <c r="F348" i="22" s="1"/>
  <c r="F349" i="22" s="1"/>
  <c r="F350" i="22" s="1"/>
  <c r="AD10" i="26" a="1"/>
  <c r="AD10" i="26" s="1"/>
  <c r="AD9" i="26" a="1"/>
  <c r="AD9" i="26" s="1"/>
  <c r="AD61" i="26"/>
  <c r="AD60" i="26"/>
  <c r="AD13" i="26" a="1"/>
  <c r="AD13" i="26" s="1"/>
  <c r="AD11" i="26" a="1"/>
  <c r="AD11" i="26" s="1"/>
  <c r="AD12" i="26" a="1"/>
  <c r="AD12" i="26" s="1"/>
  <c r="AD15" i="26" a="1"/>
  <c r="AD15" i="26" s="1"/>
  <c r="AD14" i="26" a="1"/>
  <c r="AD14" i="26" s="1"/>
  <c r="AD16" i="26" a="1"/>
  <c r="AD16" i="26" s="1"/>
  <c r="AD17" i="26" a="1"/>
  <c r="AD17" i="26" s="1"/>
  <c r="AD19" i="26" a="1"/>
  <c r="AD19" i="26" s="1"/>
  <c r="AD18" i="26" a="1"/>
  <c r="AD18" i="26" s="1"/>
  <c r="AD20" i="26" a="1"/>
  <c r="AD20" i="26" s="1"/>
  <c r="AE8" i="26" a="1"/>
  <c r="AE8" i="26" s="1"/>
  <c r="AD21" i="26" a="1"/>
  <c r="AD21" i="26" s="1"/>
  <c r="AD22" i="26" a="1"/>
  <c r="AD22" i="26" s="1"/>
  <c r="AD23" i="26" a="1"/>
  <c r="AD23" i="26" s="1"/>
  <c r="AD24" i="26" a="1"/>
  <c r="AD24" i="26" s="1"/>
  <c r="AD25" i="26" a="1"/>
  <c r="AD25" i="26" s="1"/>
  <c r="AB62" i="24"/>
  <c r="AB63" i="24"/>
  <c r="Z23" i="38"/>
  <c r="Q24" i="38"/>
  <c r="X24" i="38"/>
  <c r="O24" i="38"/>
  <c r="U24" i="38"/>
  <c r="P24" i="38"/>
  <c r="N24" i="38"/>
  <c r="M24" i="38"/>
  <c r="T24" i="38"/>
  <c r="Y24" i="38"/>
  <c r="L24" i="38"/>
  <c r="W24" i="38"/>
  <c r="R24" i="38"/>
  <c r="S24" i="38"/>
  <c r="Z24" i="38"/>
  <c r="V24" i="38"/>
  <c r="K25" i="38" a="1"/>
  <c r="K25" i="38" s="1"/>
  <c r="AC60" i="24"/>
  <c r="AC61" i="24"/>
  <c r="AC9" i="24" a="1"/>
  <c r="AC9" i="24" s="1"/>
  <c r="AC10" i="24" a="1"/>
  <c r="AC10" i="24" s="1"/>
  <c r="AC11" i="24" a="1"/>
  <c r="AC11" i="24" s="1"/>
  <c r="AC12" i="24" a="1"/>
  <c r="AC12" i="24" s="1"/>
  <c r="AC13" i="24" a="1"/>
  <c r="AC13" i="24" s="1"/>
  <c r="AC14" i="24" a="1"/>
  <c r="AC14" i="24" s="1"/>
  <c r="AC15" i="24" a="1"/>
  <c r="AC15" i="24" s="1"/>
  <c r="AC17" i="24" a="1"/>
  <c r="AC17" i="24" s="1"/>
  <c r="AC16" i="24" a="1"/>
  <c r="AC16" i="24" s="1"/>
  <c r="AC19" i="24" a="1"/>
  <c r="AC19" i="24" s="1"/>
  <c r="AD8" i="24" a="1"/>
  <c r="AD8" i="24" s="1"/>
  <c r="AC18" i="24" a="1"/>
  <c r="AC18" i="24" s="1"/>
  <c r="AC21" i="24" a="1"/>
  <c r="AC21" i="24" s="1"/>
  <c r="AC20" i="24" a="1"/>
  <c r="AC20" i="24" s="1"/>
  <c r="AC22" i="24" a="1"/>
  <c r="AC22" i="24" s="1"/>
  <c r="AC23" i="24" a="1"/>
  <c r="AC23" i="24" s="1"/>
  <c r="AC24" i="24" a="1"/>
  <c r="AC24" i="24" s="1"/>
  <c r="R23" i="25" a="1"/>
  <c r="R23" i="25" s="1"/>
  <c r="P23" i="25" a="1"/>
  <c r="P23" i="25" s="1"/>
  <c r="T23" i="25" a="1"/>
  <c r="T23" i="25" s="1"/>
  <c r="Q23" i="25" a="1"/>
  <c r="Q23" i="25" s="1"/>
  <c r="O23" i="25" a="1"/>
  <c r="O23" i="25" s="1"/>
  <c r="S23" i="25" a="1"/>
  <c r="S23" i="25" s="1"/>
  <c r="U23" i="25" a="1"/>
  <c r="U23" i="25" s="1"/>
  <c r="V23" i="25" a="1"/>
  <c r="V23" i="25" s="1"/>
  <c r="W23" i="25" a="1"/>
  <c r="W23" i="25" s="1"/>
  <c r="X23" i="25" a="1"/>
  <c r="X23" i="25" s="1"/>
  <c r="Z23" i="25" a="1"/>
  <c r="Z23" i="25" s="1"/>
  <c r="AC23" i="25" a="1"/>
  <c r="AC23" i="25" s="1"/>
  <c r="AA23" i="25" a="1"/>
  <c r="AA23" i="25" s="1"/>
  <c r="AB23" i="25" a="1"/>
  <c r="AB23" i="25" s="1"/>
  <c r="AD23" i="25" a="1"/>
  <c r="AD23" i="25" s="1"/>
  <c r="Y23" i="25" a="1"/>
  <c r="Y23" i="25" s="1"/>
  <c r="AE23" i="25" a="1"/>
  <c r="AE23" i="25" s="1"/>
  <c r="N24" i="25" a="1"/>
  <c r="N24" i="25" s="1"/>
  <c r="AF11" i="25" l="1" a="1"/>
  <c r="AF11" i="25" s="1"/>
  <c r="AF17" i="25" a="1"/>
  <c r="AF17" i="25" s="1"/>
  <c r="AF60" i="25"/>
  <c r="AF10" i="25" a="1"/>
  <c r="AF10" i="25" s="1"/>
  <c r="AF61" i="25"/>
  <c r="AF13" i="25" a="1"/>
  <c r="AF13" i="25" s="1"/>
  <c r="AF18" i="25" a="1"/>
  <c r="AF18" i="25" s="1"/>
  <c r="AF14" i="25" a="1"/>
  <c r="AF14" i="25" s="1"/>
  <c r="AF19" i="25" a="1"/>
  <c r="AF19" i="25" s="1"/>
  <c r="AF21" i="25" a="1"/>
  <c r="AF21" i="25" s="1"/>
  <c r="AF9" i="25" a="1"/>
  <c r="AF9" i="25" s="1"/>
  <c r="AF12" i="25" a="1"/>
  <c r="AF12" i="25" s="1"/>
  <c r="AF16" i="25" a="1"/>
  <c r="AF16" i="25" s="1"/>
  <c r="AF22" i="25" a="1"/>
  <c r="AF22" i="25" s="1"/>
  <c r="AF20" i="25" a="1"/>
  <c r="AF20" i="25" s="1"/>
  <c r="AF15" i="25" a="1"/>
  <c r="AF15" i="25" s="1"/>
  <c r="AG8" i="25" a="1"/>
  <c r="AG8" i="25" s="1"/>
  <c r="AF23" i="25" a="1"/>
  <c r="AF23" i="25" s="1"/>
  <c r="Y26" i="24" a="1"/>
  <c r="Y26" i="24" s="1"/>
  <c r="R26" i="24" a="1"/>
  <c r="R26" i="24" s="1"/>
  <c r="S26" i="24" a="1"/>
  <c r="S26" i="24" s="1"/>
  <c r="T26" i="24" a="1"/>
  <c r="T26" i="24" s="1"/>
  <c r="P26" i="24" a="1"/>
  <c r="P26" i="24" s="1"/>
  <c r="M26" i="24" a="1"/>
  <c r="M26" i="24" s="1"/>
  <c r="L27" i="24" a="1"/>
  <c r="L27" i="24" s="1"/>
  <c r="N27" i="24" s="1" a="1"/>
  <c r="N27" i="24" s="1"/>
  <c r="Z26" i="24" a="1"/>
  <c r="Z26" i="24" s="1"/>
  <c r="N26" i="24" a="1"/>
  <c r="N26" i="24" s="1"/>
  <c r="V26" i="24" a="1"/>
  <c r="V26" i="24" s="1"/>
  <c r="AB26" i="24" a="1"/>
  <c r="AB26" i="24" s="1"/>
  <c r="W26" i="24" a="1"/>
  <c r="W26" i="24" s="1"/>
  <c r="X26" i="24" a="1"/>
  <c r="X26" i="24" s="1"/>
  <c r="AA26" i="24" a="1"/>
  <c r="AA26" i="24" s="1"/>
  <c r="Q26" i="24" a="1"/>
  <c r="Q26" i="24" s="1"/>
  <c r="AC26" i="24" a="1"/>
  <c r="AC26" i="24" s="1"/>
  <c r="U26" i="24" a="1"/>
  <c r="U26" i="24" s="1"/>
  <c r="C13" i="39"/>
  <c r="A13" i="39" s="1"/>
  <c r="F351" i="22"/>
  <c r="O24" i="25" a="1"/>
  <c r="O24" i="25" s="1"/>
  <c r="Q24" i="25" a="1"/>
  <c r="Q24" i="25" s="1"/>
  <c r="P24" i="25" a="1"/>
  <c r="P24" i="25" s="1"/>
  <c r="R24" i="25" a="1"/>
  <c r="R24" i="25" s="1"/>
  <c r="S24" i="25" a="1"/>
  <c r="S24" i="25" s="1"/>
  <c r="U24" i="25" a="1"/>
  <c r="U24" i="25" s="1"/>
  <c r="T24" i="25" a="1"/>
  <c r="T24" i="25" s="1"/>
  <c r="V24" i="25" a="1"/>
  <c r="V24" i="25" s="1"/>
  <c r="W24" i="25" a="1"/>
  <c r="W24" i="25" s="1"/>
  <c r="X24" i="25" a="1"/>
  <c r="X24" i="25" s="1"/>
  <c r="Y24" i="25" a="1"/>
  <c r="Y24" i="25" s="1"/>
  <c r="AC24" i="25" a="1"/>
  <c r="AC24" i="25" s="1"/>
  <c r="Z24" i="25" a="1"/>
  <c r="Z24" i="25" s="1"/>
  <c r="AA24" i="25" a="1"/>
  <c r="AA24" i="25" s="1"/>
  <c r="AB24" i="25" a="1"/>
  <c r="AB24" i="25" s="1"/>
  <c r="AD24" i="25" a="1"/>
  <c r="AD24" i="25" s="1"/>
  <c r="AF24" i="25" a="1"/>
  <c r="AF24" i="25" s="1"/>
  <c r="AE24" i="25" a="1"/>
  <c r="AE24" i="25" s="1"/>
  <c r="N25" i="25" a="1"/>
  <c r="N25" i="25" s="1"/>
  <c r="AE28" i="26" a="1"/>
  <c r="AE28" i="26" s="1"/>
  <c r="R28" i="26" a="1"/>
  <c r="R28" i="26" s="1"/>
  <c r="V28" i="26" a="1"/>
  <c r="V28" i="26" s="1"/>
  <c r="Y28" i="26" a="1"/>
  <c r="Y28" i="26" s="1"/>
  <c r="AC28" i="26" a="1"/>
  <c r="AC28" i="26" s="1"/>
  <c r="P28" i="26" a="1"/>
  <c r="P28" i="26" s="1"/>
  <c r="T28" i="26" a="1"/>
  <c r="T28" i="26" s="1"/>
  <c r="W28" i="26" a="1"/>
  <c r="W28" i="26" s="1"/>
  <c r="O28" i="26" a="1"/>
  <c r="O28" i="26" s="1"/>
  <c r="Z28" i="26" a="1"/>
  <c r="Z28" i="26" s="1"/>
  <c r="X28" i="26" a="1"/>
  <c r="X28" i="26" s="1"/>
  <c r="Q28" i="26" a="1"/>
  <c r="Q28" i="26" s="1"/>
  <c r="M28" i="26" a="1"/>
  <c r="M28" i="26" s="1"/>
  <c r="N28" i="26" a="1"/>
  <c r="N28" i="26" s="1"/>
  <c r="S28" i="26" a="1"/>
  <c r="S28" i="26" s="1"/>
  <c r="AD28" i="26" a="1"/>
  <c r="AD28" i="26" s="1"/>
  <c r="AB28" i="26" a="1"/>
  <c r="AB28" i="26" s="1"/>
  <c r="AA28" i="26" a="1"/>
  <c r="AA28" i="26" s="1"/>
  <c r="U28" i="26" a="1"/>
  <c r="U28" i="26" s="1"/>
  <c r="L29" i="26" a="1"/>
  <c r="L29" i="26" s="1"/>
  <c r="AA10" i="38"/>
  <c r="AA9" i="38"/>
  <c r="AA60" i="38"/>
  <c r="AA61" i="38"/>
  <c r="AA12" i="38"/>
  <c r="AA11" i="38"/>
  <c r="AA13" i="38"/>
  <c r="AA15" i="38"/>
  <c r="AA14" i="38"/>
  <c r="AA16" i="38"/>
  <c r="AA17" i="38"/>
  <c r="AA18" i="38"/>
  <c r="AB8" i="38" a="1"/>
  <c r="AB8" i="38" s="1"/>
  <c r="AA19" i="38"/>
  <c r="AA20" i="38"/>
  <c r="AA21" i="38"/>
  <c r="AA22" i="38"/>
  <c r="AA23" i="38"/>
  <c r="AD9" i="24" a="1"/>
  <c r="AD9" i="24" s="1"/>
  <c r="AD60" i="24"/>
  <c r="AD61" i="24"/>
  <c r="AD10" i="24" a="1"/>
  <c r="AD10" i="24" s="1"/>
  <c r="AD11" i="24" a="1"/>
  <c r="AD11" i="24" s="1"/>
  <c r="AD12" i="24" a="1"/>
  <c r="AD12" i="24" s="1"/>
  <c r="AD13" i="24" a="1"/>
  <c r="AD13" i="24" s="1"/>
  <c r="AD14" i="24" a="1"/>
  <c r="AD14" i="24" s="1"/>
  <c r="AD16" i="24" a="1"/>
  <c r="AD16" i="24" s="1"/>
  <c r="AD17" i="24" a="1"/>
  <c r="AD17" i="24" s="1"/>
  <c r="AD15" i="24" a="1"/>
  <c r="AD15" i="24" s="1"/>
  <c r="AD18" i="24" a="1"/>
  <c r="AD18" i="24" s="1"/>
  <c r="AE8" i="24" a="1"/>
  <c r="AE8" i="24" s="1"/>
  <c r="AD19" i="24" a="1"/>
  <c r="AD19" i="24" s="1"/>
  <c r="AD21" i="24" a="1"/>
  <c r="AD21" i="24" s="1"/>
  <c r="AD20" i="24" a="1"/>
  <c r="AD20" i="24" s="1"/>
  <c r="AD22" i="24" a="1"/>
  <c r="AD22" i="24" s="1"/>
  <c r="AD23" i="24" a="1"/>
  <c r="AD23" i="24" s="1"/>
  <c r="AD24" i="24" a="1"/>
  <c r="AD24" i="24" s="1"/>
  <c r="AD25" i="24" a="1"/>
  <c r="AD25" i="24" s="1"/>
  <c r="AC63" i="24"/>
  <c r="AC62" i="24"/>
  <c r="V25" i="38"/>
  <c r="S25" i="38"/>
  <c r="X25" i="38"/>
  <c r="Q25" i="38"/>
  <c r="P25" i="38"/>
  <c r="O25" i="38"/>
  <c r="U25" i="38"/>
  <c r="L25" i="38"/>
  <c r="Y25" i="38"/>
  <c r="T25" i="38"/>
  <c r="N25" i="38"/>
  <c r="AA25" i="38"/>
  <c r="R25" i="38"/>
  <c r="M25" i="38"/>
  <c r="Z25" i="38"/>
  <c r="W25" i="38"/>
  <c r="K26" i="38" a="1"/>
  <c r="K26" i="38" s="1"/>
  <c r="AA24" i="38"/>
  <c r="AD26" i="24" a="1"/>
  <c r="AD26" i="24" s="1"/>
  <c r="AE10" i="26" a="1"/>
  <c r="AE10" i="26" s="1"/>
  <c r="AE60" i="26"/>
  <c r="AE61" i="26"/>
  <c r="AE9" i="26" a="1"/>
  <c r="AE9" i="26" s="1"/>
  <c r="AE12" i="26" a="1"/>
  <c r="AE12" i="26" s="1"/>
  <c r="AE13" i="26" a="1"/>
  <c r="AE13" i="26" s="1"/>
  <c r="AE11" i="26" a="1"/>
  <c r="AE11" i="26" s="1"/>
  <c r="AE14" i="26" a="1"/>
  <c r="AE14" i="26" s="1"/>
  <c r="AE15" i="26" a="1"/>
  <c r="AE15" i="26" s="1"/>
  <c r="AE16" i="26" a="1"/>
  <c r="AE16" i="26" s="1"/>
  <c r="AE17" i="26" a="1"/>
  <c r="AE17" i="26" s="1"/>
  <c r="AE19" i="26" a="1"/>
  <c r="AE19" i="26" s="1"/>
  <c r="AE18" i="26" a="1"/>
  <c r="AE18" i="26" s="1"/>
  <c r="AE20" i="26" a="1"/>
  <c r="AE20" i="26" s="1"/>
  <c r="AF8" i="26" a="1"/>
  <c r="AF8" i="26" s="1"/>
  <c r="AE21" i="26" a="1"/>
  <c r="AE21" i="26" s="1"/>
  <c r="AE22" i="26" a="1"/>
  <c r="AE22" i="26" s="1"/>
  <c r="AE23" i="26" a="1"/>
  <c r="AE23" i="26" s="1"/>
  <c r="AE24" i="26" a="1"/>
  <c r="AE24" i="26" s="1"/>
  <c r="AE25" i="26" a="1"/>
  <c r="AE25" i="26" s="1"/>
  <c r="AE26" i="26" a="1"/>
  <c r="AE26" i="26" s="1"/>
  <c r="AE27" i="26" a="1"/>
  <c r="AE27" i="26" s="1"/>
  <c r="AG12" i="25" l="1" a="1"/>
  <c r="AG12" i="25" s="1"/>
  <c r="AG16" i="25" a="1"/>
  <c r="AG16" i="25" s="1"/>
  <c r="AG60" i="25"/>
  <c r="AG22" i="25" a="1"/>
  <c r="AG22" i="25" s="1"/>
  <c r="AG9" i="25" a="1"/>
  <c r="AG9" i="25" s="1"/>
  <c r="AG21" i="25" a="1"/>
  <c r="AG21" i="25" s="1"/>
  <c r="AG11" i="25" a="1"/>
  <c r="AG11" i="25" s="1"/>
  <c r="AG18" i="25" a="1"/>
  <c r="AG18" i="25" s="1"/>
  <c r="AG19" i="25" a="1"/>
  <c r="AG19" i="25" s="1"/>
  <c r="AG23" i="25" a="1"/>
  <c r="AG23" i="25" s="1"/>
  <c r="AG20" i="25" a="1"/>
  <c r="AG20" i="25" s="1"/>
  <c r="AG61" i="25"/>
  <c r="AG13" i="25" a="1"/>
  <c r="AG13" i="25" s="1"/>
  <c r="AG17" i="25" a="1"/>
  <c r="AG17" i="25" s="1"/>
  <c r="AG14" i="25" a="1"/>
  <c r="AG14" i="25" s="1"/>
  <c r="AG15" i="25" a="1"/>
  <c r="AG15" i="25" s="1"/>
  <c r="AG10" i="25" a="1"/>
  <c r="AG10" i="25" s="1"/>
  <c r="AG24" i="25" a="1"/>
  <c r="AG24" i="25" s="1"/>
  <c r="AH8" i="25" a="1"/>
  <c r="AH8" i="25" s="1"/>
  <c r="Y27" i="24" a="1"/>
  <c r="Y27" i="24" s="1"/>
  <c r="AA27" i="24" a="1"/>
  <c r="AA27" i="24" s="1"/>
  <c r="P27" i="24" a="1"/>
  <c r="P27" i="24" s="1"/>
  <c r="W27" i="24" a="1"/>
  <c r="W27" i="24" s="1"/>
  <c r="U27" i="24" a="1"/>
  <c r="U27" i="24" s="1"/>
  <c r="T27" i="24" a="1"/>
  <c r="T27" i="24" s="1"/>
  <c r="L28" i="24" a="1"/>
  <c r="L28" i="24" s="1"/>
  <c r="P28" i="24" s="1" a="1"/>
  <c r="P28" i="24" s="1"/>
  <c r="Q27" i="24" a="1"/>
  <c r="Q27" i="24" s="1"/>
  <c r="S27" i="24" a="1"/>
  <c r="S27" i="24" s="1"/>
  <c r="M27" i="24" a="1"/>
  <c r="M27" i="24" s="1"/>
  <c r="AD27" i="24" a="1"/>
  <c r="AD27" i="24" s="1"/>
  <c r="V27" i="24" a="1"/>
  <c r="V27" i="24" s="1"/>
  <c r="O27" i="24" a="1"/>
  <c r="O27" i="24" s="1"/>
  <c r="AB27" i="24" a="1"/>
  <c r="AB27" i="24" s="1"/>
  <c r="X27" i="24" a="1"/>
  <c r="X27" i="24" s="1"/>
  <c r="R27" i="24" a="1"/>
  <c r="R27" i="24" s="1"/>
  <c r="AC27" i="24" a="1"/>
  <c r="AC27" i="24" s="1"/>
  <c r="Z27" i="24" a="1"/>
  <c r="Z27" i="24" s="1"/>
  <c r="AB10" i="38"/>
  <c r="AB61" i="38"/>
  <c r="AB9" i="38"/>
  <c r="AB60" i="38"/>
  <c r="AB11" i="38"/>
  <c r="AB12" i="38"/>
  <c r="AB13" i="38"/>
  <c r="AB14" i="38"/>
  <c r="AB15" i="38"/>
  <c r="AB16" i="38"/>
  <c r="AC8" i="38" a="1"/>
  <c r="AC8" i="38" s="1"/>
  <c r="AB17" i="38"/>
  <c r="AB18" i="38"/>
  <c r="AB19" i="38"/>
  <c r="AB20" i="38"/>
  <c r="AB21" i="38"/>
  <c r="AB22" i="38"/>
  <c r="AB23" i="38"/>
  <c r="AB24" i="38"/>
  <c r="C14" i="39"/>
  <c r="A14" i="39" s="1"/>
  <c r="F352" i="22"/>
  <c r="AF60" i="26"/>
  <c r="AF61" i="26"/>
  <c r="AF9" i="26" a="1"/>
  <c r="AF9" i="26" s="1"/>
  <c r="AF10" i="26" a="1"/>
  <c r="AF10" i="26" s="1"/>
  <c r="AF12" i="26" a="1"/>
  <c r="AF12" i="26" s="1"/>
  <c r="AF11" i="26" a="1"/>
  <c r="AF11" i="26" s="1"/>
  <c r="AF13" i="26" a="1"/>
  <c r="AF13" i="26" s="1"/>
  <c r="AF15" i="26" a="1"/>
  <c r="AF15" i="26" s="1"/>
  <c r="AF14" i="26" a="1"/>
  <c r="AF14" i="26" s="1"/>
  <c r="AF16" i="26" a="1"/>
  <c r="AF16" i="26" s="1"/>
  <c r="AF17" i="26" a="1"/>
  <c r="AF17" i="26" s="1"/>
  <c r="AF19" i="26" a="1"/>
  <c r="AF19" i="26" s="1"/>
  <c r="AF18" i="26" a="1"/>
  <c r="AF18" i="26" s="1"/>
  <c r="AF20" i="26" a="1"/>
  <c r="AF20" i="26" s="1"/>
  <c r="AG8" i="26" a="1"/>
  <c r="AG8" i="26" s="1"/>
  <c r="AF21" i="26" a="1"/>
  <c r="AF21" i="26" s="1"/>
  <c r="AF22" i="26" a="1"/>
  <c r="AF22" i="26" s="1"/>
  <c r="AF23" i="26" a="1"/>
  <c r="AF23" i="26" s="1"/>
  <c r="AF24" i="26" a="1"/>
  <c r="AF24" i="26" s="1"/>
  <c r="AF25" i="26" a="1"/>
  <c r="AF25" i="26" s="1"/>
  <c r="AF26" i="26" a="1"/>
  <c r="AF26" i="26" s="1"/>
  <c r="AF27" i="26" a="1"/>
  <c r="AF27" i="26" s="1"/>
  <c r="Z29" i="26" a="1"/>
  <c r="Z29" i="26" s="1"/>
  <c r="V29" i="26" a="1"/>
  <c r="V29" i="26" s="1"/>
  <c r="M29" i="26" a="1"/>
  <c r="M29" i="26" s="1"/>
  <c r="U29" i="26" a="1"/>
  <c r="U29" i="26" s="1"/>
  <c r="N29" i="26" a="1"/>
  <c r="N29" i="26" s="1"/>
  <c r="W29" i="26" a="1"/>
  <c r="W29" i="26" s="1"/>
  <c r="O29" i="26" a="1"/>
  <c r="O29" i="26" s="1"/>
  <c r="AF29" i="26" a="1"/>
  <c r="AF29" i="26" s="1"/>
  <c r="R29" i="26" a="1"/>
  <c r="R29" i="26" s="1"/>
  <c r="Y29" i="26" a="1"/>
  <c r="Y29" i="26" s="1"/>
  <c r="Q29" i="26" a="1"/>
  <c r="Q29" i="26" s="1"/>
  <c r="AB29" i="26" a="1"/>
  <c r="AB29" i="26" s="1"/>
  <c r="S29" i="26" a="1"/>
  <c r="S29" i="26" s="1"/>
  <c r="AE29" i="26" a="1"/>
  <c r="AE29" i="26" s="1"/>
  <c r="P29" i="26" a="1"/>
  <c r="P29" i="26" s="1"/>
  <c r="AD29" i="26" a="1"/>
  <c r="AD29" i="26" s="1"/>
  <c r="AA29" i="26" a="1"/>
  <c r="AA29" i="26" s="1"/>
  <c r="T29" i="26" a="1"/>
  <c r="T29" i="26" s="1"/>
  <c r="X29" i="26" a="1"/>
  <c r="X29" i="26" s="1"/>
  <c r="AC29" i="26" a="1"/>
  <c r="AC29" i="26" s="1"/>
  <c r="L30" i="26" a="1"/>
  <c r="L30" i="26" s="1"/>
  <c r="AB25" i="38"/>
  <c r="AD63" i="24"/>
  <c r="AD62" i="24"/>
  <c r="P25" i="25" a="1"/>
  <c r="P25" i="25" s="1"/>
  <c r="R25" i="25" a="1"/>
  <c r="R25" i="25" s="1"/>
  <c r="O25" i="25" a="1"/>
  <c r="O25" i="25" s="1"/>
  <c r="Q25" i="25" a="1"/>
  <c r="Q25" i="25" s="1"/>
  <c r="S25" i="25" a="1"/>
  <c r="S25" i="25" s="1"/>
  <c r="U25" i="25" a="1"/>
  <c r="U25" i="25" s="1"/>
  <c r="T25" i="25" a="1"/>
  <c r="T25" i="25" s="1"/>
  <c r="V25" i="25" a="1"/>
  <c r="V25" i="25" s="1"/>
  <c r="Y25" i="25" a="1"/>
  <c r="Y25" i="25" s="1"/>
  <c r="W25" i="25" a="1"/>
  <c r="W25" i="25" s="1"/>
  <c r="AB25" i="25" a="1"/>
  <c r="AB25" i="25" s="1"/>
  <c r="AD25" i="25" a="1"/>
  <c r="AD25" i="25" s="1"/>
  <c r="AC25" i="25" a="1"/>
  <c r="AC25" i="25" s="1"/>
  <c r="Z25" i="25" a="1"/>
  <c r="Z25" i="25" s="1"/>
  <c r="X25" i="25" a="1"/>
  <c r="X25" i="25" s="1"/>
  <c r="AA25" i="25" a="1"/>
  <c r="AA25" i="25" s="1"/>
  <c r="AE25" i="25" a="1"/>
  <c r="AE25" i="25" s="1"/>
  <c r="AF25" i="25" a="1"/>
  <c r="AF25" i="25" s="1"/>
  <c r="AG25" i="25" a="1"/>
  <c r="AG25" i="25" s="1"/>
  <c r="N26" i="25" a="1"/>
  <c r="N26" i="25" s="1"/>
  <c r="AE60" i="24"/>
  <c r="AE61" i="24"/>
  <c r="AE9" i="24" a="1"/>
  <c r="AE9" i="24" s="1"/>
  <c r="AE10" i="24" a="1"/>
  <c r="AE10" i="24" s="1"/>
  <c r="AE11" i="24" a="1"/>
  <c r="AE11" i="24" s="1"/>
  <c r="AE13" i="24" a="1"/>
  <c r="AE13" i="24" s="1"/>
  <c r="AE12" i="24" a="1"/>
  <c r="AE12" i="24" s="1"/>
  <c r="AE14" i="24" a="1"/>
  <c r="AE14" i="24" s="1"/>
  <c r="AE16" i="24" a="1"/>
  <c r="AE16" i="24" s="1"/>
  <c r="AE17" i="24" a="1"/>
  <c r="AE17" i="24" s="1"/>
  <c r="AF8" i="24" a="1"/>
  <c r="AF8" i="24" s="1"/>
  <c r="AE15" i="24" a="1"/>
  <c r="AE15" i="24" s="1"/>
  <c r="AE19" i="24" a="1"/>
  <c r="AE19" i="24" s="1"/>
  <c r="AE18" i="24" a="1"/>
  <c r="AE18" i="24" s="1"/>
  <c r="AE21" i="24" a="1"/>
  <c r="AE21" i="24" s="1"/>
  <c r="AE20" i="24" a="1"/>
  <c r="AE20" i="24" s="1"/>
  <c r="AE22" i="24" a="1"/>
  <c r="AE22" i="24" s="1"/>
  <c r="AE23" i="24" a="1"/>
  <c r="AE23" i="24" s="1"/>
  <c r="AE24" i="24" a="1"/>
  <c r="AE24" i="24" s="1"/>
  <c r="AE25" i="24" a="1"/>
  <c r="AE25" i="24" s="1"/>
  <c r="AE26" i="24" a="1"/>
  <c r="AE26" i="24" s="1"/>
  <c r="AF28" i="26" a="1"/>
  <c r="AF28" i="26" s="1"/>
  <c r="N26" i="38"/>
  <c r="O26" i="38"/>
  <c r="Q26" i="38"/>
  <c r="W26" i="38"/>
  <c r="M26" i="38"/>
  <c r="AB26" i="38"/>
  <c r="Z26" i="38"/>
  <c r="L26" i="38"/>
  <c r="V26" i="38"/>
  <c r="U26" i="38"/>
  <c r="R26" i="38"/>
  <c r="AA26" i="38"/>
  <c r="Y26" i="38"/>
  <c r="S26" i="38"/>
  <c r="T26" i="38"/>
  <c r="X26" i="38"/>
  <c r="P26" i="38"/>
  <c r="K27" i="38" a="1"/>
  <c r="K27" i="38" s="1"/>
  <c r="AE27" i="24" a="1"/>
  <c r="AE27" i="24" s="1"/>
  <c r="AI8" i="25" l="1" a="1"/>
  <c r="AI8" i="25" s="1"/>
  <c r="AI26" i="25" s="1" a="1"/>
  <c r="AI26" i="25" s="1"/>
  <c r="AH25" i="25" a="1"/>
  <c r="AH25" i="25" s="1"/>
  <c r="AH23" i="25" a="1"/>
  <c r="AH23" i="25" s="1"/>
  <c r="AH60" i="25"/>
  <c r="AH15" i="25" a="1"/>
  <c r="AH15" i="25" s="1"/>
  <c r="AH20" i="25" a="1"/>
  <c r="AH20" i="25" s="1"/>
  <c r="AH22" i="25" a="1"/>
  <c r="AH22" i="25" s="1"/>
  <c r="AH9" i="25" a="1"/>
  <c r="AH9" i="25" s="1"/>
  <c r="AH19" i="25" a="1"/>
  <c r="AH19" i="25" s="1"/>
  <c r="AH10" i="25" a="1"/>
  <c r="AH10" i="25" s="1"/>
  <c r="AH16" i="25" a="1"/>
  <c r="AH16" i="25" s="1"/>
  <c r="AH21" i="25" a="1"/>
  <c r="AH21" i="25" s="1"/>
  <c r="AH12" i="25" a="1"/>
  <c r="AH12" i="25" s="1"/>
  <c r="AH13" i="25" a="1"/>
  <c r="AH13" i="25" s="1"/>
  <c r="AH61" i="25"/>
  <c r="AH11" i="25" a="1"/>
  <c r="AH11" i="25" s="1"/>
  <c r="AH17" i="25" a="1"/>
  <c r="AH17" i="25" s="1"/>
  <c r="AH18" i="25" a="1"/>
  <c r="AH18" i="25" s="1"/>
  <c r="AH24" i="25" a="1"/>
  <c r="AH24" i="25" s="1"/>
  <c r="AH14" i="25" a="1"/>
  <c r="AH14" i="25" s="1"/>
  <c r="AF28" i="24" a="1"/>
  <c r="AF28" i="24" s="1"/>
  <c r="W28" i="24" a="1"/>
  <c r="W28" i="24" s="1"/>
  <c r="S28" i="24" a="1"/>
  <c r="S28" i="24" s="1"/>
  <c r="R28" i="24" a="1"/>
  <c r="R28" i="24" s="1"/>
  <c r="N28" i="24" a="1"/>
  <c r="N28" i="24" s="1"/>
  <c r="AD28" i="24" a="1"/>
  <c r="AD28" i="24" s="1"/>
  <c r="AA28" i="24" a="1"/>
  <c r="AA28" i="24" s="1"/>
  <c r="U28" i="24" a="1"/>
  <c r="U28" i="24" s="1"/>
  <c r="M28" i="24" a="1"/>
  <c r="M28" i="24" s="1"/>
  <c r="Z28" i="24" a="1"/>
  <c r="Z28" i="24" s="1"/>
  <c r="AE28" i="24" a="1"/>
  <c r="AE28" i="24" s="1"/>
  <c r="Q28" i="24" a="1"/>
  <c r="Q28" i="24" s="1"/>
  <c r="X28" i="24" a="1"/>
  <c r="X28" i="24" s="1"/>
  <c r="AB28" i="24" a="1"/>
  <c r="AB28" i="24" s="1"/>
  <c r="O28" i="24" a="1"/>
  <c r="O28" i="24" s="1"/>
  <c r="L29" i="24" a="1"/>
  <c r="L29" i="24" s="1"/>
  <c r="U29" i="24" s="1" a="1"/>
  <c r="U29" i="24" s="1"/>
  <c r="AC28" i="24" a="1"/>
  <c r="AC28" i="24" s="1"/>
  <c r="V28" i="24" a="1"/>
  <c r="V28" i="24" s="1"/>
  <c r="Y28" i="24" a="1"/>
  <c r="Y28" i="24" s="1"/>
  <c r="T28" i="24" a="1"/>
  <c r="T28" i="24" s="1"/>
  <c r="AE63" i="24"/>
  <c r="AE62" i="24"/>
  <c r="AG9" i="26" a="1"/>
  <c r="AG9" i="26" s="1"/>
  <c r="AG61" i="26"/>
  <c r="AG60" i="26"/>
  <c r="AG10" i="26" a="1"/>
  <c r="AG10" i="26" s="1"/>
  <c r="AG12" i="26" a="1"/>
  <c r="AG12" i="26" s="1"/>
  <c r="AG11" i="26" a="1"/>
  <c r="AG11" i="26" s="1"/>
  <c r="AG13" i="26" a="1"/>
  <c r="AG13" i="26" s="1"/>
  <c r="AG15" i="26" a="1"/>
  <c r="AG15" i="26" s="1"/>
  <c r="AG14" i="26" a="1"/>
  <c r="AG14" i="26" s="1"/>
  <c r="AG16" i="26" a="1"/>
  <c r="AG16" i="26" s="1"/>
  <c r="AG17" i="26" a="1"/>
  <c r="AG17" i="26" s="1"/>
  <c r="AG18" i="26" a="1"/>
  <c r="AG18" i="26" s="1"/>
  <c r="AG19" i="26" a="1"/>
  <c r="AG19" i="26" s="1"/>
  <c r="AG20" i="26" a="1"/>
  <c r="AG20" i="26" s="1"/>
  <c r="AH8" i="26" a="1"/>
  <c r="AH8" i="26" s="1"/>
  <c r="AG21" i="26" a="1"/>
  <c r="AG21" i="26" s="1"/>
  <c r="AG22" i="26" a="1"/>
  <c r="AG22" i="26" s="1"/>
  <c r="AG23" i="26" a="1"/>
  <c r="AG23" i="26" s="1"/>
  <c r="AG24" i="26" a="1"/>
  <c r="AG24" i="26" s="1"/>
  <c r="AG25" i="26" a="1"/>
  <c r="AG25" i="26" s="1"/>
  <c r="AG26" i="26" a="1"/>
  <c r="AG26" i="26" s="1"/>
  <c r="AG27" i="26" a="1"/>
  <c r="AG27" i="26" s="1"/>
  <c r="AG28" i="26" a="1"/>
  <c r="AG28" i="26" s="1"/>
  <c r="AF30" i="26" a="1"/>
  <c r="AF30" i="26" s="1"/>
  <c r="X30" i="26" a="1"/>
  <c r="X30" i="26" s="1"/>
  <c r="Y30" i="26" a="1"/>
  <c r="Y30" i="26" s="1"/>
  <c r="O30" i="26" a="1"/>
  <c r="O30" i="26" s="1"/>
  <c r="Q30" i="26" a="1"/>
  <c r="Q30" i="26" s="1"/>
  <c r="U30" i="26" a="1"/>
  <c r="U30" i="26" s="1"/>
  <c r="S30" i="26" a="1"/>
  <c r="S30" i="26" s="1"/>
  <c r="AG30" i="26" a="1"/>
  <c r="AG30" i="26" s="1"/>
  <c r="R30" i="26" a="1"/>
  <c r="R30" i="26" s="1"/>
  <c r="AB30" i="26" a="1"/>
  <c r="AB30" i="26" s="1"/>
  <c r="AE30" i="26" a="1"/>
  <c r="AE30" i="26" s="1"/>
  <c r="P30" i="26" a="1"/>
  <c r="P30" i="26" s="1"/>
  <c r="M30" i="26" a="1"/>
  <c r="M30" i="26" s="1"/>
  <c r="T30" i="26" a="1"/>
  <c r="T30" i="26" s="1"/>
  <c r="AA30" i="26" a="1"/>
  <c r="AA30" i="26" s="1"/>
  <c r="Z30" i="26" a="1"/>
  <c r="Z30" i="26" s="1"/>
  <c r="N30" i="26" a="1"/>
  <c r="N30" i="26" s="1"/>
  <c r="AD30" i="26" a="1"/>
  <c r="AD30" i="26" s="1"/>
  <c r="W30" i="26" a="1"/>
  <c r="W30" i="26" s="1"/>
  <c r="V30" i="26" a="1"/>
  <c r="V30" i="26" s="1"/>
  <c r="AC30" i="26" a="1"/>
  <c r="AC30" i="26" s="1"/>
  <c r="L31" i="26" a="1"/>
  <c r="L31" i="26" s="1"/>
  <c r="AF60" i="24"/>
  <c r="AF9" i="24" a="1"/>
  <c r="AF9" i="24" s="1"/>
  <c r="AF61" i="24"/>
  <c r="AF10" i="24" a="1"/>
  <c r="AF10" i="24" s="1"/>
  <c r="AF11" i="24" a="1"/>
  <c r="AF11" i="24" s="1"/>
  <c r="AF12" i="24" a="1"/>
  <c r="AF12" i="24" s="1"/>
  <c r="AF13" i="24" a="1"/>
  <c r="AF13" i="24" s="1"/>
  <c r="AF14" i="24" a="1"/>
  <c r="AF14" i="24" s="1"/>
  <c r="AF15" i="24" a="1"/>
  <c r="AF15" i="24" s="1"/>
  <c r="AF17" i="24" a="1"/>
  <c r="AF17" i="24" s="1"/>
  <c r="AF16" i="24" a="1"/>
  <c r="AF16" i="24" s="1"/>
  <c r="AG8" i="24" a="1"/>
  <c r="AG8" i="24" s="1"/>
  <c r="AF18" i="24" a="1"/>
  <c r="AF18" i="24" s="1"/>
  <c r="AF19" i="24" a="1"/>
  <c r="AF19" i="24" s="1"/>
  <c r="AF20" i="24" a="1"/>
  <c r="AF20" i="24" s="1"/>
  <c r="AF21" i="24" a="1"/>
  <c r="AF21" i="24" s="1"/>
  <c r="AF22" i="24" a="1"/>
  <c r="AF22" i="24" s="1"/>
  <c r="AF23" i="24" a="1"/>
  <c r="AF23" i="24" s="1"/>
  <c r="AF24" i="24" a="1"/>
  <c r="AF24" i="24" s="1"/>
  <c r="AF25" i="24" a="1"/>
  <c r="AF25" i="24" s="1"/>
  <c r="AF26" i="24" a="1"/>
  <c r="AF26" i="24" s="1"/>
  <c r="AF27" i="24" a="1"/>
  <c r="AF27" i="24" s="1"/>
  <c r="AC10" i="38"/>
  <c r="AC61" i="38"/>
  <c r="AC9" i="38"/>
  <c r="AC60" i="38"/>
  <c r="AC11" i="38"/>
  <c r="AC12" i="38"/>
  <c r="AC13" i="38"/>
  <c r="AC14" i="38"/>
  <c r="AC15" i="38"/>
  <c r="AC16" i="38"/>
  <c r="AC17" i="38"/>
  <c r="AC18" i="38"/>
  <c r="AD8" i="38" a="1"/>
  <c r="AD8" i="38" s="1"/>
  <c r="AD27" i="38" s="1"/>
  <c r="AC19" i="38"/>
  <c r="AC20" i="38"/>
  <c r="AC21" i="38"/>
  <c r="AC22" i="38"/>
  <c r="AC23" i="38"/>
  <c r="AC24" i="38"/>
  <c r="AC25" i="38"/>
  <c r="U27" i="38"/>
  <c r="R27" i="38"/>
  <c r="AB27" i="38"/>
  <c r="P27" i="38"/>
  <c r="AC27" i="38"/>
  <c r="N27" i="38"/>
  <c r="Y27" i="38"/>
  <c r="T27" i="38"/>
  <c r="M27" i="38"/>
  <c r="X27" i="38"/>
  <c r="L27" i="38"/>
  <c r="Z27" i="38"/>
  <c r="Q27" i="38"/>
  <c r="S27" i="38"/>
  <c r="O27" i="38"/>
  <c r="V27" i="38"/>
  <c r="AA27" i="38"/>
  <c r="W27" i="38"/>
  <c r="K28" i="38" a="1"/>
  <c r="K28" i="38" s="1"/>
  <c r="C15" i="39"/>
  <c r="A15" i="39" s="1"/>
  <c r="F353" i="22"/>
  <c r="AC26" i="38"/>
  <c r="P26" i="25" a="1"/>
  <c r="P26" i="25" s="1"/>
  <c r="S26" i="25" a="1"/>
  <c r="S26" i="25" s="1"/>
  <c r="O26" i="25" a="1"/>
  <c r="O26" i="25" s="1"/>
  <c r="Q26" i="25" a="1"/>
  <c r="Q26" i="25" s="1"/>
  <c r="U26" i="25" a="1"/>
  <c r="U26" i="25" s="1"/>
  <c r="R26" i="25" a="1"/>
  <c r="R26" i="25" s="1"/>
  <c r="V26" i="25" a="1"/>
  <c r="V26" i="25" s="1"/>
  <c r="T26" i="25" a="1"/>
  <c r="T26" i="25" s="1"/>
  <c r="W26" i="25" a="1"/>
  <c r="W26" i="25" s="1"/>
  <c r="Z26" i="25" a="1"/>
  <c r="Z26" i="25" s="1"/>
  <c r="Y26" i="25" a="1"/>
  <c r="Y26" i="25" s="1"/>
  <c r="AB26" i="25" a="1"/>
  <c r="AB26" i="25" s="1"/>
  <c r="AD26" i="25" a="1"/>
  <c r="AD26" i="25" s="1"/>
  <c r="AC26" i="25" a="1"/>
  <c r="AC26" i="25" s="1"/>
  <c r="AA26" i="25" a="1"/>
  <c r="AA26" i="25" s="1"/>
  <c r="X26" i="25" a="1"/>
  <c r="X26" i="25" s="1"/>
  <c r="AF26" i="25" a="1"/>
  <c r="AF26" i="25" s="1"/>
  <c r="AE26" i="25" a="1"/>
  <c r="AE26" i="25" s="1"/>
  <c r="AH26" i="25" a="1"/>
  <c r="AH26" i="25" s="1"/>
  <c r="AG26" i="25" a="1"/>
  <c r="AG26" i="25" s="1"/>
  <c r="N27" i="25" a="1"/>
  <c r="N27" i="25" s="1"/>
  <c r="AG29" i="26" a="1"/>
  <c r="AG29" i="26" s="1"/>
  <c r="AI9" i="25" l="1" a="1"/>
  <c r="AI9" i="25" s="1"/>
  <c r="AI15" i="25" a="1"/>
  <c r="AI15" i="25" s="1"/>
  <c r="AI20" i="25" a="1"/>
  <c r="AI20" i="25" s="1"/>
  <c r="AI24" i="25" a="1"/>
  <c r="AI24" i="25" s="1"/>
  <c r="AI10" i="25" a="1"/>
  <c r="AI10" i="25" s="1"/>
  <c r="AI21" i="25" a="1"/>
  <c r="AI21" i="25" s="1"/>
  <c r="AI11" i="25" a="1"/>
  <c r="AI11" i="25" s="1"/>
  <c r="AI12" i="25" a="1"/>
  <c r="AI12" i="25" s="1"/>
  <c r="AI18" i="25" a="1"/>
  <c r="AI18" i="25" s="1"/>
  <c r="AI23" i="25" a="1"/>
  <c r="AI23" i="25" s="1"/>
  <c r="AI60" i="25"/>
  <c r="AI19" i="25" a="1"/>
  <c r="AI19" i="25" s="1"/>
  <c r="AI22" i="25" a="1"/>
  <c r="AI22" i="25" s="1"/>
  <c r="AI61" i="25"/>
  <c r="AI13" i="25" a="1"/>
  <c r="AI13" i="25" s="1"/>
  <c r="AI17" i="25" a="1"/>
  <c r="AI17" i="25" s="1"/>
  <c r="AI25" i="25" a="1"/>
  <c r="AI25" i="25" s="1"/>
  <c r="AI14" i="25" a="1"/>
  <c r="AI14" i="25" s="1"/>
  <c r="AI16" i="25" a="1"/>
  <c r="AI16" i="25" s="1"/>
  <c r="AJ8" i="25" a="1"/>
  <c r="AJ8" i="25" s="1"/>
  <c r="M29" i="24" a="1"/>
  <c r="M29" i="24" s="1"/>
  <c r="Y29" i="24" a="1"/>
  <c r="Y29" i="24" s="1"/>
  <c r="V29" i="24" a="1"/>
  <c r="V29" i="24" s="1"/>
  <c r="P29" i="24" a="1"/>
  <c r="P29" i="24" s="1"/>
  <c r="AB29" i="24" a="1"/>
  <c r="AB29" i="24" s="1"/>
  <c r="AF29" i="24" a="1"/>
  <c r="AF29" i="24" s="1"/>
  <c r="AD29" i="24" a="1"/>
  <c r="AD29" i="24" s="1"/>
  <c r="X29" i="24" a="1"/>
  <c r="X29" i="24" s="1"/>
  <c r="AA29" i="24" a="1"/>
  <c r="AA29" i="24" s="1"/>
  <c r="Q29" i="24" a="1"/>
  <c r="Q29" i="24" s="1"/>
  <c r="L30" i="24" a="1"/>
  <c r="L30" i="24" s="1"/>
  <c r="U30" i="24" s="1" a="1"/>
  <c r="U30" i="24" s="1"/>
  <c r="N29" i="24" a="1"/>
  <c r="N29" i="24" s="1"/>
  <c r="R29" i="24" a="1"/>
  <c r="R29" i="24" s="1"/>
  <c r="AC29" i="24" a="1"/>
  <c r="AC29" i="24" s="1"/>
  <c r="Z29" i="24" a="1"/>
  <c r="Z29" i="24" s="1"/>
  <c r="O29" i="24" a="1"/>
  <c r="O29" i="24" s="1"/>
  <c r="S29" i="24" a="1"/>
  <c r="S29" i="24" s="1"/>
  <c r="AE29" i="24" a="1"/>
  <c r="AE29" i="24" s="1"/>
  <c r="T29" i="24" a="1"/>
  <c r="T29" i="24" s="1"/>
  <c r="W29" i="24" a="1"/>
  <c r="W29" i="24" s="1"/>
  <c r="C16" i="39"/>
  <c r="A16" i="39" s="1"/>
  <c r="F354" i="22"/>
  <c r="AF63" i="24"/>
  <c r="AF62" i="24"/>
  <c r="AH60" i="26"/>
  <c r="AH61" i="26"/>
  <c r="AH10" i="26" a="1"/>
  <c r="AH10" i="26" s="1"/>
  <c r="AH9" i="26" a="1"/>
  <c r="AH9" i="26" s="1"/>
  <c r="AH12" i="26" a="1"/>
  <c r="AH12" i="26" s="1"/>
  <c r="AH11" i="26" a="1"/>
  <c r="AH11" i="26" s="1"/>
  <c r="AH13" i="26" a="1"/>
  <c r="AH13" i="26" s="1"/>
  <c r="AH15" i="26" a="1"/>
  <c r="AH15" i="26" s="1"/>
  <c r="AH14" i="26" a="1"/>
  <c r="AH14" i="26" s="1"/>
  <c r="AH16" i="26" a="1"/>
  <c r="AH16" i="26" s="1"/>
  <c r="AH17" i="26" a="1"/>
  <c r="AH17" i="26" s="1"/>
  <c r="AH19" i="26" a="1"/>
  <c r="AH19" i="26" s="1"/>
  <c r="AH18" i="26" a="1"/>
  <c r="AH18" i="26" s="1"/>
  <c r="AH20" i="26" a="1"/>
  <c r="AH20" i="26" s="1"/>
  <c r="AH21" i="26" a="1"/>
  <c r="AH21" i="26" s="1"/>
  <c r="AH22" i="26" a="1"/>
  <c r="AH22" i="26" s="1"/>
  <c r="AI8" i="26" a="1"/>
  <c r="AI8" i="26" s="1"/>
  <c r="AI31" i="26" s="1" a="1"/>
  <c r="AI31" i="26" s="1"/>
  <c r="AH23" i="26" a="1"/>
  <c r="AH23" i="26" s="1"/>
  <c r="AH24" i="26" a="1"/>
  <c r="AH24" i="26" s="1"/>
  <c r="AH25" i="26" a="1"/>
  <c r="AH25" i="26" s="1"/>
  <c r="AH26" i="26" a="1"/>
  <c r="AH26" i="26" s="1"/>
  <c r="AH27" i="26" a="1"/>
  <c r="AH27" i="26" s="1"/>
  <c r="AH28" i="26" a="1"/>
  <c r="AH28" i="26" s="1"/>
  <c r="AH29" i="26" a="1"/>
  <c r="AH29" i="26" s="1"/>
  <c r="Z28" i="38"/>
  <c r="Y28" i="38"/>
  <c r="S28" i="38"/>
  <c r="Q28" i="38"/>
  <c r="N28" i="38"/>
  <c r="AB28" i="38"/>
  <c r="X28" i="38"/>
  <c r="T28" i="38"/>
  <c r="W28" i="38"/>
  <c r="U28" i="38"/>
  <c r="R28" i="38"/>
  <c r="AC28" i="38"/>
  <c r="P28" i="38"/>
  <c r="AA28" i="38"/>
  <c r="M28" i="38"/>
  <c r="V28" i="38"/>
  <c r="O28" i="38"/>
  <c r="L28" i="38"/>
  <c r="AD28" i="38"/>
  <c r="K29" i="38" a="1"/>
  <c r="K29" i="38" s="1"/>
  <c r="X31" i="26" a="1"/>
  <c r="X31" i="26" s="1"/>
  <c r="N31" i="26" a="1"/>
  <c r="N31" i="26" s="1"/>
  <c r="AE31" i="26" a="1"/>
  <c r="AE31" i="26" s="1"/>
  <c r="AA31" i="26" a="1"/>
  <c r="AA31" i="26" s="1"/>
  <c r="M31" i="26" a="1"/>
  <c r="M31" i="26" s="1"/>
  <c r="S31" i="26" a="1"/>
  <c r="S31" i="26" s="1"/>
  <c r="W31" i="26" a="1"/>
  <c r="W31" i="26" s="1"/>
  <c r="T31" i="26" a="1"/>
  <c r="T31" i="26" s="1"/>
  <c r="AD31" i="26" a="1"/>
  <c r="AD31" i="26" s="1"/>
  <c r="Q31" i="26" a="1"/>
  <c r="Q31" i="26" s="1"/>
  <c r="V31" i="26" a="1"/>
  <c r="V31" i="26" s="1"/>
  <c r="R31" i="26" a="1"/>
  <c r="R31" i="26" s="1"/>
  <c r="AH31" i="26" a="1"/>
  <c r="AH31" i="26" s="1"/>
  <c r="AF31" i="26" a="1"/>
  <c r="AF31" i="26" s="1"/>
  <c r="Y31" i="26" a="1"/>
  <c r="Y31" i="26" s="1"/>
  <c r="U31" i="26" a="1"/>
  <c r="U31" i="26" s="1"/>
  <c r="O31" i="26" a="1"/>
  <c r="O31" i="26" s="1"/>
  <c r="AC31" i="26" a="1"/>
  <c r="AC31" i="26" s="1"/>
  <c r="AG31" i="26" a="1"/>
  <c r="AG31" i="26" s="1"/>
  <c r="AB31" i="26" a="1"/>
  <c r="AB31" i="26" s="1"/>
  <c r="Z31" i="26" a="1"/>
  <c r="Z31" i="26" s="1"/>
  <c r="P31" i="26" a="1"/>
  <c r="P31" i="26" s="1"/>
  <c r="L32" i="26" a="1"/>
  <c r="L32" i="26" s="1"/>
  <c r="AG61" i="24"/>
  <c r="AG9" i="24" a="1"/>
  <c r="AG9" i="24" s="1"/>
  <c r="AG60" i="24"/>
  <c r="AG10" i="24" a="1"/>
  <c r="AG10" i="24" s="1"/>
  <c r="AG11" i="24" a="1"/>
  <c r="AG11" i="24" s="1"/>
  <c r="AG13" i="24" a="1"/>
  <c r="AG13" i="24" s="1"/>
  <c r="AG12" i="24" a="1"/>
  <c r="AG12" i="24" s="1"/>
  <c r="AG14" i="24" a="1"/>
  <c r="AG14" i="24" s="1"/>
  <c r="AG17" i="24" a="1"/>
  <c r="AG17" i="24" s="1"/>
  <c r="AG15" i="24" a="1"/>
  <c r="AG15" i="24" s="1"/>
  <c r="AG16" i="24" a="1"/>
  <c r="AG16" i="24" s="1"/>
  <c r="AH8" i="24" a="1"/>
  <c r="AH8" i="24" s="1"/>
  <c r="AG19" i="24" a="1"/>
  <c r="AG19" i="24" s="1"/>
  <c r="AG18" i="24" a="1"/>
  <c r="AG18" i="24" s="1"/>
  <c r="AG20" i="24" a="1"/>
  <c r="AG20" i="24" s="1"/>
  <c r="AG21" i="24" a="1"/>
  <c r="AG21" i="24" s="1"/>
  <c r="AG22" i="24" a="1"/>
  <c r="AG22" i="24" s="1"/>
  <c r="AG23" i="24" a="1"/>
  <c r="AG23" i="24" s="1"/>
  <c r="AG24" i="24" a="1"/>
  <c r="AG24" i="24" s="1"/>
  <c r="AG25" i="24" a="1"/>
  <c r="AG25" i="24" s="1"/>
  <c r="AG26" i="24" a="1"/>
  <c r="AG26" i="24" s="1"/>
  <c r="AG27" i="24" a="1"/>
  <c r="AG27" i="24" s="1"/>
  <c r="AG28" i="24" a="1"/>
  <c r="AG28" i="24" s="1"/>
  <c r="AH30" i="26" a="1"/>
  <c r="AH30" i="26" s="1"/>
  <c r="P27" i="25" a="1"/>
  <c r="P27" i="25" s="1"/>
  <c r="S27" i="25" a="1"/>
  <c r="S27" i="25" s="1"/>
  <c r="O27" i="25" a="1"/>
  <c r="O27" i="25" s="1"/>
  <c r="Q27" i="25" a="1"/>
  <c r="Q27" i="25" s="1"/>
  <c r="R27" i="25" a="1"/>
  <c r="R27" i="25" s="1"/>
  <c r="U27" i="25" a="1"/>
  <c r="U27" i="25" s="1"/>
  <c r="T27" i="25" a="1"/>
  <c r="T27" i="25" s="1"/>
  <c r="V27" i="25" a="1"/>
  <c r="V27" i="25" s="1"/>
  <c r="W27" i="25" a="1"/>
  <c r="W27" i="25" s="1"/>
  <c r="X27" i="25" a="1"/>
  <c r="X27" i="25" s="1"/>
  <c r="Z27" i="25" a="1"/>
  <c r="Z27" i="25" s="1"/>
  <c r="AC27" i="25" a="1"/>
  <c r="AC27" i="25" s="1"/>
  <c r="Y27" i="25" a="1"/>
  <c r="Y27" i="25" s="1"/>
  <c r="AB27" i="25" a="1"/>
  <c r="AB27" i="25" s="1"/>
  <c r="AD27" i="25" a="1"/>
  <c r="AD27" i="25" s="1"/>
  <c r="AE27" i="25" a="1"/>
  <c r="AE27" i="25" s="1"/>
  <c r="AA27" i="25" a="1"/>
  <c r="AA27" i="25" s="1"/>
  <c r="AF27" i="25" a="1"/>
  <c r="AF27" i="25" s="1"/>
  <c r="AH27" i="25" a="1"/>
  <c r="AH27" i="25" s="1"/>
  <c r="AI27" i="25" a="1"/>
  <c r="AI27" i="25" s="1"/>
  <c r="AG27" i="25" a="1"/>
  <c r="AG27" i="25" s="1"/>
  <c r="N28" i="25" a="1"/>
  <c r="N28" i="25" s="1"/>
  <c r="AD9" i="38"/>
  <c r="AD10" i="38"/>
  <c r="AD61" i="38"/>
  <c r="AD60" i="38"/>
  <c r="AD11" i="38"/>
  <c r="AD12" i="38"/>
  <c r="AD13" i="38"/>
  <c r="AD15" i="38"/>
  <c r="AD14" i="38"/>
  <c r="AD16" i="38"/>
  <c r="AD17" i="38"/>
  <c r="AD18" i="38"/>
  <c r="AE8" i="38" a="1"/>
  <c r="AE8" i="38" s="1"/>
  <c r="AD19" i="38"/>
  <c r="AD20" i="38"/>
  <c r="AD21" i="38"/>
  <c r="AD22" i="38"/>
  <c r="AD23" i="38"/>
  <c r="AD24" i="38"/>
  <c r="AD25" i="38"/>
  <c r="AD26" i="38"/>
  <c r="AG29" i="24" a="1"/>
  <c r="AG29" i="24" s="1"/>
  <c r="AJ27" i="25" l="1" a="1"/>
  <c r="AJ27" i="25" s="1"/>
  <c r="AJ10" i="25" a="1"/>
  <c r="AJ10" i="25" s="1"/>
  <c r="AJ16" i="25" a="1"/>
  <c r="AJ16" i="25" s="1"/>
  <c r="AJ21" i="25" a="1"/>
  <c r="AJ21" i="25" s="1"/>
  <c r="AJ13" i="25" a="1"/>
  <c r="AJ13" i="25" s="1"/>
  <c r="AJ14" i="25" a="1"/>
  <c r="AJ14" i="25" s="1"/>
  <c r="AJ20" i="25" a="1"/>
  <c r="AJ20" i="25" s="1"/>
  <c r="AJ11" i="25" a="1"/>
  <c r="AJ11" i="25" s="1"/>
  <c r="AJ18" i="25" a="1"/>
  <c r="AJ18" i="25" s="1"/>
  <c r="AJ22" i="25" a="1"/>
  <c r="AJ22" i="25" s="1"/>
  <c r="AJ25" i="25" a="1"/>
  <c r="AJ25" i="25" s="1"/>
  <c r="AJ9" i="25" a="1"/>
  <c r="AJ9" i="25" s="1"/>
  <c r="AJ24" i="25" a="1"/>
  <c r="AJ24" i="25" s="1"/>
  <c r="AJ61" i="25"/>
  <c r="AJ26" i="25" a="1"/>
  <c r="AJ26" i="25" s="1"/>
  <c r="AJ60" i="25"/>
  <c r="AJ15" i="25" a="1"/>
  <c r="AJ15" i="25" s="1"/>
  <c r="AJ12" i="25" a="1"/>
  <c r="AJ12" i="25" s="1"/>
  <c r="AJ17" i="25" a="1"/>
  <c r="AJ17" i="25" s="1"/>
  <c r="AJ23" i="25" a="1"/>
  <c r="AJ23" i="25" s="1"/>
  <c r="AJ19" i="25" a="1"/>
  <c r="AJ19" i="25" s="1"/>
  <c r="AK8" i="25" a="1"/>
  <c r="AK8" i="25" s="1"/>
  <c r="Z30" i="24" a="1"/>
  <c r="Z30" i="24" s="1"/>
  <c r="V30" i="24" a="1"/>
  <c r="V30" i="24" s="1"/>
  <c r="AC30" i="24" a="1"/>
  <c r="AC30" i="24" s="1"/>
  <c r="AG30" i="24" a="1"/>
  <c r="AG30" i="24" s="1"/>
  <c r="Q30" i="24" a="1"/>
  <c r="Q30" i="24" s="1"/>
  <c r="R30" i="24" a="1"/>
  <c r="R30" i="24" s="1"/>
  <c r="L31" i="24" a="1"/>
  <c r="L31" i="24" s="1"/>
  <c r="R31" i="24" s="1" a="1"/>
  <c r="R31" i="24" s="1"/>
  <c r="T30" i="24" a="1"/>
  <c r="T30" i="24" s="1"/>
  <c r="AE30" i="24" a="1"/>
  <c r="AE30" i="24" s="1"/>
  <c r="N30" i="24" a="1"/>
  <c r="N30" i="24" s="1"/>
  <c r="X30" i="24" a="1"/>
  <c r="X30" i="24" s="1"/>
  <c r="O30" i="24" a="1"/>
  <c r="O30" i="24" s="1"/>
  <c r="AF30" i="24" a="1"/>
  <c r="AF30" i="24" s="1"/>
  <c r="Y30" i="24" a="1"/>
  <c r="Y30" i="24" s="1"/>
  <c r="S30" i="24" a="1"/>
  <c r="S30" i="24" s="1"/>
  <c r="AA30" i="24" a="1"/>
  <c r="AA30" i="24" s="1"/>
  <c r="AD30" i="24" a="1"/>
  <c r="AD30" i="24" s="1"/>
  <c r="P30" i="24" a="1"/>
  <c r="P30" i="24" s="1"/>
  <c r="M30" i="24" a="1"/>
  <c r="M30" i="24" s="1"/>
  <c r="W30" i="24" a="1"/>
  <c r="W30" i="24" s="1"/>
  <c r="AB30" i="24" a="1"/>
  <c r="AB30" i="24" s="1"/>
  <c r="AH9" i="24" a="1"/>
  <c r="AH9" i="24" s="1"/>
  <c r="AH61" i="24"/>
  <c r="AH60" i="24"/>
  <c r="AH10" i="24" a="1"/>
  <c r="AH10" i="24" s="1"/>
  <c r="AH11" i="24" a="1"/>
  <c r="AH11" i="24" s="1"/>
  <c r="AH13" i="24" a="1"/>
  <c r="AH13" i="24" s="1"/>
  <c r="AH12" i="24" a="1"/>
  <c r="AH12" i="24" s="1"/>
  <c r="AH14" i="24" a="1"/>
  <c r="AH14" i="24" s="1"/>
  <c r="AH17" i="24" a="1"/>
  <c r="AH17" i="24" s="1"/>
  <c r="AI8" i="24" a="1"/>
  <c r="AI8" i="24" s="1"/>
  <c r="AH16" i="24" a="1"/>
  <c r="AH16" i="24" s="1"/>
  <c r="AH15" i="24" a="1"/>
  <c r="AH15" i="24" s="1"/>
  <c r="AH18" i="24" a="1"/>
  <c r="AH18" i="24" s="1"/>
  <c r="AH19" i="24" a="1"/>
  <c r="AH19" i="24" s="1"/>
  <c r="AH20" i="24" a="1"/>
  <c r="AH20" i="24" s="1"/>
  <c r="AH21" i="24" a="1"/>
  <c r="AH21" i="24" s="1"/>
  <c r="AH22" i="24" a="1"/>
  <c r="AH22" i="24" s="1"/>
  <c r="AH23" i="24" a="1"/>
  <c r="AH23" i="24" s="1"/>
  <c r="AH24" i="24" a="1"/>
  <c r="AH24" i="24" s="1"/>
  <c r="AH25" i="24" a="1"/>
  <c r="AH25" i="24" s="1"/>
  <c r="AH26" i="24" a="1"/>
  <c r="AH26" i="24" s="1"/>
  <c r="AH27" i="24" a="1"/>
  <c r="AH27" i="24" s="1"/>
  <c r="AH28" i="24" a="1"/>
  <c r="AH28" i="24" s="1"/>
  <c r="AH29" i="24" a="1"/>
  <c r="AH29" i="24" s="1"/>
  <c r="C17" i="39"/>
  <c r="A17" i="39" s="1"/>
  <c r="F355" i="22"/>
  <c r="AI32" i="26" a="1"/>
  <c r="AI32" i="26" s="1"/>
  <c r="N32" i="26" a="1"/>
  <c r="N32" i="26" s="1"/>
  <c r="AG32" i="26" a="1"/>
  <c r="AG32" i="26" s="1"/>
  <c r="Y32" i="26" a="1"/>
  <c r="Y32" i="26" s="1"/>
  <c r="W32" i="26" a="1"/>
  <c r="W32" i="26" s="1"/>
  <c r="S32" i="26" a="1"/>
  <c r="S32" i="26" s="1"/>
  <c r="O32" i="26" a="1"/>
  <c r="O32" i="26" s="1"/>
  <c r="AH32" i="26" a="1"/>
  <c r="AH32" i="26" s="1"/>
  <c r="AB32" i="26" a="1"/>
  <c r="AB32" i="26" s="1"/>
  <c r="Z32" i="26" a="1"/>
  <c r="Z32" i="26" s="1"/>
  <c r="X32" i="26" a="1"/>
  <c r="X32" i="26" s="1"/>
  <c r="V32" i="26" a="1"/>
  <c r="V32" i="26" s="1"/>
  <c r="T32" i="26" a="1"/>
  <c r="T32" i="26" s="1"/>
  <c r="M32" i="26" a="1"/>
  <c r="M32" i="26" s="1"/>
  <c r="Q32" i="26" a="1"/>
  <c r="Q32" i="26" s="1"/>
  <c r="AA32" i="26" a="1"/>
  <c r="AA32" i="26" s="1"/>
  <c r="R32" i="26" a="1"/>
  <c r="R32" i="26" s="1"/>
  <c r="U32" i="26" a="1"/>
  <c r="U32" i="26" s="1"/>
  <c r="AC32" i="26" a="1"/>
  <c r="AC32" i="26" s="1"/>
  <c r="AF32" i="26" a="1"/>
  <c r="AF32" i="26" s="1"/>
  <c r="AD32" i="26" a="1"/>
  <c r="AD32" i="26" s="1"/>
  <c r="AE32" i="26" a="1"/>
  <c r="AE32" i="26" s="1"/>
  <c r="P32" i="26" a="1"/>
  <c r="P32" i="26" s="1"/>
  <c r="L33" i="26" a="1"/>
  <c r="L33" i="26" s="1"/>
  <c r="AE10" i="38"/>
  <c r="AE9" i="38"/>
  <c r="AE60" i="38"/>
  <c r="AE61" i="38"/>
  <c r="AE11" i="38"/>
  <c r="AE12" i="38"/>
  <c r="AE13" i="38"/>
  <c r="AE14" i="38"/>
  <c r="AE15" i="38"/>
  <c r="AE16" i="38"/>
  <c r="AE17" i="38"/>
  <c r="AE18" i="38"/>
  <c r="AF8" i="38" a="1"/>
  <c r="AF8" i="38" s="1"/>
  <c r="AF29" i="38" s="1"/>
  <c r="AE19" i="38"/>
  <c r="AE20" i="38"/>
  <c r="AE21" i="38"/>
  <c r="AE22" i="38"/>
  <c r="AE23" i="38"/>
  <c r="AE24" i="38"/>
  <c r="AE25" i="38"/>
  <c r="AE26" i="38"/>
  <c r="AE27" i="38"/>
  <c r="R28" i="25" a="1"/>
  <c r="R28" i="25" s="1"/>
  <c r="P28" i="25" a="1"/>
  <c r="P28" i="25" s="1"/>
  <c r="T28" i="25" a="1"/>
  <c r="T28" i="25" s="1"/>
  <c r="O28" i="25" a="1"/>
  <c r="O28" i="25" s="1"/>
  <c r="Q28" i="25" a="1"/>
  <c r="Q28" i="25" s="1"/>
  <c r="S28" i="25" a="1"/>
  <c r="S28" i="25" s="1"/>
  <c r="W28" i="25" a="1"/>
  <c r="W28" i="25" s="1"/>
  <c r="U28" i="25" a="1"/>
  <c r="U28" i="25" s="1"/>
  <c r="V28" i="25" a="1"/>
  <c r="V28" i="25" s="1"/>
  <c r="X28" i="25" a="1"/>
  <c r="X28" i="25" s="1"/>
  <c r="Z28" i="25" a="1"/>
  <c r="Z28" i="25" s="1"/>
  <c r="Y28" i="25" a="1"/>
  <c r="Y28" i="25" s="1"/>
  <c r="AA28" i="25" a="1"/>
  <c r="AA28" i="25" s="1"/>
  <c r="AB28" i="25" a="1"/>
  <c r="AB28" i="25" s="1"/>
  <c r="AD28" i="25" a="1"/>
  <c r="AD28" i="25" s="1"/>
  <c r="AC28" i="25" a="1"/>
  <c r="AC28" i="25" s="1"/>
  <c r="AH28" i="25" a="1"/>
  <c r="AH28" i="25" s="1"/>
  <c r="AF28" i="25" a="1"/>
  <c r="AF28" i="25" s="1"/>
  <c r="AG28" i="25" a="1"/>
  <c r="AG28" i="25" s="1"/>
  <c r="AE28" i="25" a="1"/>
  <c r="AE28" i="25" s="1"/>
  <c r="AI28" i="25" a="1"/>
  <c r="AI28" i="25" s="1"/>
  <c r="AJ28" i="25" a="1"/>
  <c r="AJ28" i="25" s="1"/>
  <c r="N29" i="25" a="1"/>
  <c r="N29" i="25" s="1"/>
  <c r="AI60" i="26"/>
  <c r="AI10" i="26" a="1"/>
  <c r="AI10" i="26" s="1"/>
  <c r="AI61" i="26"/>
  <c r="AI9" i="26" a="1"/>
  <c r="AI9" i="26" s="1"/>
  <c r="AI13" i="26" a="1"/>
  <c r="AI13" i="26" s="1"/>
  <c r="AI12" i="26" a="1"/>
  <c r="AI12" i="26" s="1"/>
  <c r="AI11" i="26" a="1"/>
  <c r="AI11" i="26" s="1"/>
  <c r="AI15" i="26" a="1"/>
  <c r="AI15" i="26" s="1"/>
  <c r="AI14" i="26" a="1"/>
  <c r="AI14" i="26" s="1"/>
  <c r="AI16" i="26" a="1"/>
  <c r="AI16" i="26" s="1"/>
  <c r="AI17" i="26" a="1"/>
  <c r="AI17" i="26" s="1"/>
  <c r="AI18" i="26" a="1"/>
  <c r="AI18" i="26" s="1"/>
  <c r="AI19" i="26" a="1"/>
  <c r="AI19" i="26" s="1"/>
  <c r="AI20" i="26" a="1"/>
  <c r="AI20" i="26" s="1"/>
  <c r="AI21" i="26" a="1"/>
  <c r="AI21" i="26" s="1"/>
  <c r="AI22" i="26" a="1"/>
  <c r="AI22" i="26" s="1"/>
  <c r="AJ8" i="26" a="1"/>
  <c r="AJ8" i="26" s="1"/>
  <c r="AJ32" i="26" s="1" a="1"/>
  <c r="AJ32" i="26" s="1"/>
  <c r="AI23" i="26" a="1"/>
  <c r="AI23" i="26" s="1"/>
  <c r="AI24" i="26" a="1"/>
  <c r="AI24" i="26" s="1"/>
  <c r="AI25" i="26" a="1"/>
  <c r="AI25" i="26" s="1"/>
  <c r="AI26" i="26" a="1"/>
  <c r="AI26" i="26" s="1"/>
  <c r="AI27" i="26" a="1"/>
  <c r="AI27" i="26" s="1"/>
  <c r="AI28" i="26" a="1"/>
  <c r="AI28" i="26" s="1"/>
  <c r="AI29" i="26" a="1"/>
  <c r="AI29" i="26" s="1"/>
  <c r="AI30" i="26" a="1"/>
  <c r="AI30" i="26" s="1"/>
  <c r="AE28" i="38"/>
  <c r="AH30" i="24" a="1"/>
  <c r="AH30" i="24" s="1"/>
  <c r="AC29" i="38"/>
  <c r="Q29" i="38"/>
  <c r="P29" i="38"/>
  <c r="U29" i="38"/>
  <c r="Y29" i="38"/>
  <c r="T29" i="38"/>
  <c r="AB29" i="38"/>
  <c r="AE29" i="38"/>
  <c r="Z29" i="38"/>
  <c r="N29" i="38"/>
  <c r="AD29" i="38"/>
  <c r="L29" i="38"/>
  <c r="W29" i="38"/>
  <c r="V29" i="38"/>
  <c r="AA29" i="38"/>
  <c r="M29" i="38"/>
  <c r="X29" i="38"/>
  <c r="O29" i="38"/>
  <c r="S29" i="38"/>
  <c r="R29" i="38"/>
  <c r="K30" i="38" a="1"/>
  <c r="K30" i="38" s="1"/>
  <c r="AG62" i="24"/>
  <c r="AG63" i="24"/>
  <c r="AK26" i="25" l="1" a="1"/>
  <c r="AK26" i="25" s="1"/>
  <c r="AK9" i="25" a="1"/>
  <c r="AK9" i="25" s="1"/>
  <c r="AK14" i="25" a="1"/>
  <c r="AK14" i="25" s="1"/>
  <c r="AK61" i="25"/>
  <c r="AK15" i="25" a="1"/>
  <c r="AK15" i="25" s="1"/>
  <c r="AK20" i="25" a="1"/>
  <c r="AK20" i="25" s="1"/>
  <c r="AK11" i="25" a="1"/>
  <c r="AK11" i="25" s="1"/>
  <c r="AK22" i="25" a="1"/>
  <c r="AK22" i="25" s="1"/>
  <c r="AK12" i="25" a="1"/>
  <c r="AK12" i="25" s="1"/>
  <c r="AK23" i="25" a="1"/>
  <c r="AK23" i="25" s="1"/>
  <c r="AK27" i="25" a="1"/>
  <c r="AK27" i="25" s="1"/>
  <c r="AK60" i="25"/>
  <c r="AK19" i="25" a="1"/>
  <c r="AK19" i="25" s="1"/>
  <c r="AK24" i="25" a="1"/>
  <c r="AK24" i="25" s="1"/>
  <c r="AK25" i="25" a="1"/>
  <c r="AK25" i="25" s="1"/>
  <c r="AK10" i="25" a="1"/>
  <c r="AK10" i="25" s="1"/>
  <c r="AK16" i="25" a="1"/>
  <c r="AK16" i="25" s="1"/>
  <c r="AK21" i="25" a="1"/>
  <c r="AK21" i="25" s="1"/>
  <c r="AK17" i="25" a="1"/>
  <c r="AK17" i="25" s="1"/>
  <c r="AK18" i="25" a="1"/>
  <c r="AK18" i="25" s="1"/>
  <c r="AK13" i="25" a="1"/>
  <c r="AK13" i="25" s="1"/>
  <c r="AK28" i="25" a="1"/>
  <c r="AK28" i="25" s="1"/>
  <c r="AL8" i="25" a="1"/>
  <c r="AL8" i="25" s="1"/>
  <c r="AF31" i="24" a="1"/>
  <c r="AF31" i="24" s="1"/>
  <c r="AB31" i="24" a="1"/>
  <c r="AB31" i="24" s="1"/>
  <c r="AA31" i="24" a="1"/>
  <c r="AA31" i="24" s="1"/>
  <c r="W31" i="24" a="1"/>
  <c r="W31" i="24" s="1"/>
  <c r="AC31" i="24" a="1"/>
  <c r="AC31" i="24" s="1"/>
  <c r="Q31" i="24" a="1"/>
  <c r="Q31" i="24" s="1"/>
  <c r="V31" i="24" a="1"/>
  <c r="V31" i="24" s="1"/>
  <c r="P31" i="24" a="1"/>
  <c r="P31" i="24" s="1"/>
  <c r="Z31" i="24" a="1"/>
  <c r="Z31" i="24" s="1"/>
  <c r="O31" i="24" a="1"/>
  <c r="O31" i="24" s="1"/>
  <c r="AD31" i="24" a="1"/>
  <c r="AD31" i="24" s="1"/>
  <c r="AH31" i="24" a="1"/>
  <c r="AH31" i="24" s="1"/>
  <c r="T31" i="24" a="1"/>
  <c r="T31" i="24" s="1"/>
  <c r="M31" i="24" a="1"/>
  <c r="M31" i="24" s="1"/>
  <c r="L32" i="24" a="1"/>
  <c r="L32" i="24" s="1"/>
  <c r="Q32" i="24" s="1" a="1"/>
  <c r="Q32" i="24" s="1"/>
  <c r="S31" i="24" a="1"/>
  <c r="S31" i="24" s="1"/>
  <c r="AG31" i="24" a="1"/>
  <c r="AG31" i="24" s="1"/>
  <c r="Y31" i="24" a="1"/>
  <c r="Y31" i="24" s="1"/>
  <c r="N31" i="24" a="1"/>
  <c r="N31" i="24" s="1"/>
  <c r="X31" i="24" a="1"/>
  <c r="X31" i="24" s="1"/>
  <c r="U31" i="24" a="1"/>
  <c r="U31" i="24" s="1"/>
  <c r="AE31" i="24" a="1"/>
  <c r="AE31" i="24" s="1"/>
  <c r="AH62" i="24"/>
  <c r="AH63" i="24"/>
  <c r="Y30" i="38"/>
  <c r="AE30" i="38"/>
  <c r="AB30" i="38"/>
  <c r="X30" i="38"/>
  <c r="T30" i="38"/>
  <c r="L30" i="38"/>
  <c r="U30" i="38"/>
  <c r="AA30" i="38"/>
  <c r="R30" i="38"/>
  <c r="P30" i="38"/>
  <c r="AD30" i="38"/>
  <c r="AF30" i="38"/>
  <c r="AC30" i="38"/>
  <c r="M30" i="38"/>
  <c r="Q30" i="38"/>
  <c r="Z30" i="38"/>
  <c r="W30" i="38"/>
  <c r="O30" i="38"/>
  <c r="V30" i="38"/>
  <c r="N30" i="38"/>
  <c r="S30" i="38"/>
  <c r="K31" i="38" a="1"/>
  <c r="K31" i="38" s="1"/>
  <c r="AI61" i="24"/>
  <c r="AI9" i="24" a="1"/>
  <c r="AI9" i="24" s="1"/>
  <c r="AI60" i="24"/>
  <c r="AI10" i="24" a="1"/>
  <c r="AI10" i="24" s="1"/>
  <c r="AI11" i="24" a="1"/>
  <c r="AI11" i="24" s="1"/>
  <c r="AI12" i="24" a="1"/>
  <c r="AI12" i="24" s="1"/>
  <c r="AI13" i="24" a="1"/>
  <c r="AI13" i="24" s="1"/>
  <c r="AI14" i="24" a="1"/>
  <c r="AI14" i="24" s="1"/>
  <c r="AI17" i="24" a="1"/>
  <c r="AI17" i="24" s="1"/>
  <c r="AI15" i="24" a="1"/>
  <c r="AI15" i="24" s="1"/>
  <c r="AI16" i="24" a="1"/>
  <c r="AI16" i="24" s="1"/>
  <c r="AJ8" i="24" a="1"/>
  <c r="AJ8" i="24" s="1"/>
  <c r="AI19" i="24" a="1"/>
  <c r="AI19" i="24" s="1"/>
  <c r="AI18" i="24" a="1"/>
  <c r="AI18" i="24" s="1"/>
  <c r="AI21" i="24" a="1"/>
  <c r="AI21" i="24" s="1"/>
  <c r="AI20" i="24" a="1"/>
  <c r="AI20" i="24" s="1"/>
  <c r="AI22" i="24" a="1"/>
  <c r="AI22" i="24" s="1"/>
  <c r="AI23" i="24" a="1"/>
  <c r="AI23" i="24" s="1"/>
  <c r="AI24" i="24" a="1"/>
  <c r="AI24" i="24" s="1"/>
  <c r="AI25" i="24" a="1"/>
  <c r="AI25" i="24" s="1"/>
  <c r="AI26" i="24" a="1"/>
  <c r="AI26" i="24" s="1"/>
  <c r="AI27" i="24" a="1"/>
  <c r="AI27" i="24" s="1"/>
  <c r="AI28" i="24" a="1"/>
  <c r="AI28" i="24" s="1"/>
  <c r="AI29" i="24" a="1"/>
  <c r="AI29" i="24" s="1"/>
  <c r="AI30" i="24" a="1"/>
  <c r="AI30" i="24" s="1"/>
  <c r="R29" i="25" a="1"/>
  <c r="R29" i="25" s="1"/>
  <c r="P29" i="25" a="1"/>
  <c r="P29" i="25" s="1"/>
  <c r="T29" i="25" a="1"/>
  <c r="T29" i="25" s="1"/>
  <c r="O29" i="25" a="1"/>
  <c r="O29" i="25" s="1"/>
  <c r="Q29" i="25" a="1"/>
  <c r="Q29" i="25" s="1"/>
  <c r="S29" i="25" a="1"/>
  <c r="S29" i="25" s="1"/>
  <c r="U29" i="25" a="1"/>
  <c r="U29" i="25" s="1"/>
  <c r="W29" i="25" a="1"/>
  <c r="W29" i="25" s="1"/>
  <c r="V29" i="25" a="1"/>
  <c r="V29" i="25" s="1"/>
  <c r="X29" i="25" a="1"/>
  <c r="X29" i="25" s="1"/>
  <c r="Z29" i="25" a="1"/>
  <c r="Z29" i="25" s="1"/>
  <c r="Y29" i="25" a="1"/>
  <c r="Y29" i="25" s="1"/>
  <c r="AA29" i="25" a="1"/>
  <c r="AA29" i="25" s="1"/>
  <c r="AB29" i="25" a="1"/>
  <c r="AB29" i="25" s="1"/>
  <c r="AD29" i="25" a="1"/>
  <c r="AD29" i="25" s="1"/>
  <c r="AC29" i="25" a="1"/>
  <c r="AC29" i="25" s="1"/>
  <c r="AE29" i="25" a="1"/>
  <c r="AE29" i="25" s="1"/>
  <c r="AK29" i="25" a="1"/>
  <c r="AK29" i="25" s="1"/>
  <c r="AJ29" i="25" a="1"/>
  <c r="AJ29" i="25" s="1"/>
  <c r="AF29" i="25" a="1"/>
  <c r="AF29" i="25" s="1"/>
  <c r="AH29" i="25" a="1"/>
  <c r="AH29" i="25" s="1"/>
  <c r="AI29" i="25" a="1"/>
  <c r="AI29" i="25" s="1"/>
  <c r="AG29" i="25" a="1"/>
  <c r="AG29" i="25" s="1"/>
  <c r="N30" i="25" a="1"/>
  <c r="N30" i="25" s="1"/>
  <c r="AJ10" i="26" a="1"/>
  <c r="AJ10" i="26" s="1"/>
  <c r="AJ9" i="26" a="1"/>
  <c r="AJ9" i="26" s="1"/>
  <c r="AJ60" i="26"/>
  <c r="AJ61" i="26"/>
  <c r="AJ12" i="26" a="1"/>
  <c r="AJ12" i="26" s="1"/>
  <c r="AJ13" i="26" a="1"/>
  <c r="AJ13" i="26" s="1"/>
  <c r="AJ11" i="26" a="1"/>
  <c r="AJ11" i="26" s="1"/>
  <c r="AJ14" i="26" a="1"/>
  <c r="AJ14" i="26" s="1"/>
  <c r="AJ15" i="26" a="1"/>
  <c r="AJ15" i="26" s="1"/>
  <c r="AJ16" i="26" a="1"/>
  <c r="AJ16" i="26" s="1"/>
  <c r="AJ17" i="26" a="1"/>
  <c r="AJ17" i="26" s="1"/>
  <c r="AJ19" i="26" a="1"/>
  <c r="AJ19" i="26" s="1"/>
  <c r="AJ18" i="26" a="1"/>
  <c r="AJ18" i="26" s="1"/>
  <c r="AJ20" i="26" a="1"/>
  <c r="AJ20" i="26" s="1"/>
  <c r="AJ21" i="26" a="1"/>
  <c r="AJ21" i="26" s="1"/>
  <c r="AJ22" i="26" a="1"/>
  <c r="AJ22" i="26" s="1"/>
  <c r="AJ23" i="26" a="1"/>
  <c r="AJ23" i="26" s="1"/>
  <c r="AK8" i="26" a="1"/>
  <c r="AK8" i="26" s="1"/>
  <c r="AJ24" i="26" a="1"/>
  <c r="AJ24" i="26" s="1"/>
  <c r="AJ25" i="26" a="1"/>
  <c r="AJ25" i="26" s="1"/>
  <c r="AJ26" i="26" a="1"/>
  <c r="AJ26" i="26" s="1"/>
  <c r="AJ27" i="26" a="1"/>
  <c r="AJ27" i="26" s="1"/>
  <c r="AJ28" i="26" a="1"/>
  <c r="AJ28" i="26" s="1"/>
  <c r="AJ29" i="26" a="1"/>
  <c r="AJ29" i="26" s="1"/>
  <c r="AJ30" i="26" a="1"/>
  <c r="AJ30" i="26" s="1"/>
  <c r="AJ31" i="26" a="1"/>
  <c r="AJ31" i="26" s="1"/>
  <c r="AG33" i="26" a="1"/>
  <c r="AG33" i="26" s="1"/>
  <c r="N33" i="26" a="1"/>
  <c r="N33" i="26" s="1"/>
  <c r="AI33" i="26" a="1"/>
  <c r="AI33" i="26" s="1"/>
  <c r="Q33" i="26" a="1"/>
  <c r="Q33" i="26" s="1"/>
  <c r="M33" i="26" a="1"/>
  <c r="M33" i="26" s="1"/>
  <c r="T33" i="26" a="1"/>
  <c r="T33" i="26" s="1"/>
  <c r="AD33" i="26" a="1"/>
  <c r="AD33" i="26" s="1"/>
  <c r="AH33" i="26" a="1"/>
  <c r="AH33" i="26" s="1"/>
  <c r="AF33" i="26" a="1"/>
  <c r="AF33" i="26" s="1"/>
  <c r="X33" i="26" a="1"/>
  <c r="X33" i="26" s="1"/>
  <c r="AB33" i="26" a="1"/>
  <c r="AB33" i="26" s="1"/>
  <c r="Z33" i="26" a="1"/>
  <c r="Z33" i="26" s="1"/>
  <c r="V33" i="26" a="1"/>
  <c r="V33" i="26" s="1"/>
  <c r="S33" i="26" a="1"/>
  <c r="S33" i="26" s="1"/>
  <c r="AC33" i="26" a="1"/>
  <c r="AC33" i="26" s="1"/>
  <c r="AJ33" i="26" a="1"/>
  <c r="AJ33" i="26" s="1"/>
  <c r="O33" i="26" a="1"/>
  <c r="O33" i="26" s="1"/>
  <c r="AE33" i="26" a="1"/>
  <c r="AE33" i="26" s="1"/>
  <c r="U33" i="26" a="1"/>
  <c r="U33" i="26" s="1"/>
  <c r="Y33" i="26" a="1"/>
  <c r="Y33" i="26" s="1"/>
  <c r="R33" i="26" a="1"/>
  <c r="R33" i="26" s="1"/>
  <c r="W33" i="26" a="1"/>
  <c r="W33" i="26" s="1"/>
  <c r="P33" i="26" a="1"/>
  <c r="P33" i="26" s="1"/>
  <c r="AA33" i="26" a="1"/>
  <c r="AA33" i="26" s="1"/>
  <c r="L34" i="26" a="1"/>
  <c r="L34" i="26" s="1"/>
  <c r="C18" i="39"/>
  <c r="A18" i="39" s="1"/>
  <c r="F356" i="22"/>
  <c r="AI31" i="24" a="1"/>
  <c r="AI31" i="24" s="1"/>
  <c r="AF9" i="38"/>
  <c r="AF10" i="38"/>
  <c r="AF60" i="38"/>
  <c r="AF61" i="38"/>
  <c r="AF11" i="38"/>
  <c r="AF12" i="38"/>
  <c r="AF13" i="38"/>
  <c r="AF15" i="38"/>
  <c r="AF14" i="38"/>
  <c r="AF16" i="38"/>
  <c r="AF17" i="38"/>
  <c r="AF18" i="38"/>
  <c r="AF19" i="38"/>
  <c r="AG8" i="38" a="1"/>
  <c r="AG8" i="38" s="1"/>
  <c r="AG30" i="38" s="1"/>
  <c r="AF20" i="38"/>
  <c r="AF21" i="38"/>
  <c r="AF22" i="38"/>
  <c r="AF23" i="38"/>
  <c r="AF24" i="38"/>
  <c r="AF25" i="38"/>
  <c r="AF26" i="38"/>
  <c r="AF27" i="38"/>
  <c r="AF28" i="38"/>
  <c r="AL11" i="25" l="1" a="1"/>
  <c r="AL11" i="25" s="1"/>
  <c r="AL17" i="25" a="1"/>
  <c r="AL17" i="25" s="1"/>
  <c r="AL23" i="25" a="1"/>
  <c r="AL23" i="25" s="1"/>
  <c r="AL24" i="25" a="1"/>
  <c r="AL24" i="25" s="1"/>
  <c r="AL9" i="25" a="1"/>
  <c r="AL9" i="25" s="1"/>
  <c r="AL13" i="25" a="1"/>
  <c r="AL13" i="25" s="1"/>
  <c r="AL61" i="25"/>
  <c r="AL14" i="25" a="1"/>
  <c r="AL14" i="25" s="1"/>
  <c r="AL19" i="25" a="1"/>
  <c r="AL19" i="25" s="1"/>
  <c r="AL25" i="25" a="1"/>
  <c r="AL25" i="25" s="1"/>
  <c r="AL60" i="25"/>
  <c r="AL15" i="25" a="1"/>
  <c r="AL15" i="25" s="1"/>
  <c r="AL20" i="25" a="1"/>
  <c r="AL20" i="25" s="1"/>
  <c r="AL26" i="25" a="1"/>
  <c r="AL26" i="25" s="1"/>
  <c r="AL28" i="25" a="1"/>
  <c r="AL28" i="25" s="1"/>
  <c r="AL27" i="25" a="1"/>
  <c r="AL27" i="25" s="1"/>
  <c r="AL10" i="25" a="1"/>
  <c r="AL10" i="25" s="1"/>
  <c r="AL16" i="25" a="1"/>
  <c r="AL16" i="25" s="1"/>
  <c r="AL21" i="25" a="1"/>
  <c r="AL21" i="25" s="1"/>
  <c r="AL12" i="25" a="1"/>
  <c r="AL12" i="25" s="1"/>
  <c r="AL18" i="25" a="1"/>
  <c r="AL18" i="25" s="1"/>
  <c r="AL22" i="25" a="1"/>
  <c r="AL22" i="25" s="1"/>
  <c r="AL29" i="25" a="1"/>
  <c r="AL29" i="25" s="1"/>
  <c r="AM8" i="25" a="1"/>
  <c r="AM8" i="25" s="1"/>
  <c r="AN8" i="25" s="1" a="1"/>
  <c r="AN8" i="25" s="1"/>
  <c r="AD32" i="24" a="1"/>
  <c r="AD32" i="24" s="1"/>
  <c r="O32" i="24" a="1"/>
  <c r="O32" i="24" s="1"/>
  <c r="AF32" i="24" a="1"/>
  <c r="AF32" i="24" s="1"/>
  <c r="AB32" i="24" a="1"/>
  <c r="AB32" i="24" s="1"/>
  <c r="P32" i="24" a="1"/>
  <c r="P32" i="24" s="1"/>
  <c r="M32" i="24" a="1"/>
  <c r="M32" i="24" s="1"/>
  <c r="L33" i="24" a="1"/>
  <c r="L33" i="24" s="1"/>
  <c r="P33" i="24" s="1" a="1"/>
  <c r="P33" i="24" s="1"/>
  <c r="Z32" i="24" a="1"/>
  <c r="Z32" i="24" s="1"/>
  <c r="X32" i="24" a="1"/>
  <c r="X32" i="24" s="1"/>
  <c r="S32" i="24" a="1"/>
  <c r="S32" i="24" s="1"/>
  <c r="T32" i="24" a="1"/>
  <c r="T32" i="24" s="1"/>
  <c r="AH32" i="24" a="1"/>
  <c r="AH32" i="24" s="1"/>
  <c r="AC32" i="24" a="1"/>
  <c r="AC32" i="24" s="1"/>
  <c r="AA32" i="24" a="1"/>
  <c r="AA32" i="24" s="1"/>
  <c r="W32" i="24" a="1"/>
  <c r="W32" i="24" s="1"/>
  <c r="N32" i="24" a="1"/>
  <c r="N32" i="24" s="1"/>
  <c r="AG32" i="24" a="1"/>
  <c r="AG32" i="24" s="1"/>
  <c r="AJ32" i="24" a="1"/>
  <c r="AJ32" i="24" s="1"/>
  <c r="U32" i="24" a="1"/>
  <c r="U32" i="24" s="1"/>
  <c r="V32" i="24" a="1"/>
  <c r="V32" i="24" s="1"/>
  <c r="R32" i="24" a="1"/>
  <c r="R32" i="24" s="1"/>
  <c r="AI32" i="24" a="1"/>
  <c r="AI32" i="24" s="1"/>
  <c r="Y32" i="24" a="1"/>
  <c r="Y32" i="24" s="1"/>
  <c r="AE32" i="24" a="1"/>
  <c r="AE32" i="24" s="1"/>
  <c r="C19" i="39"/>
  <c r="A19" i="39" s="1"/>
  <c r="F357" i="22"/>
  <c r="P30" i="25" a="1"/>
  <c r="P30" i="25" s="1"/>
  <c r="O30" i="25" a="1"/>
  <c r="O30" i="25" s="1"/>
  <c r="S30" i="25" a="1"/>
  <c r="S30" i="25" s="1"/>
  <c r="U30" i="25" a="1"/>
  <c r="U30" i="25" s="1"/>
  <c r="R30" i="25" a="1"/>
  <c r="R30" i="25" s="1"/>
  <c r="T30" i="25" a="1"/>
  <c r="T30" i="25" s="1"/>
  <c r="W30" i="25" a="1"/>
  <c r="W30" i="25" s="1"/>
  <c r="Q30" i="25" a="1"/>
  <c r="Q30" i="25" s="1"/>
  <c r="V30" i="25" a="1"/>
  <c r="V30" i="25" s="1"/>
  <c r="X30" i="25" a="1"/>
  <c r="X30" i="25" s="1"/>
  <c r="AC30" i="25" a="1"/>
  <c r="AC30" i="25" s="1"/>
  <c r="Y30" i="25" a="1"/>
  <c r="Y30" i="25" s="1"/>
  <c r="AA30" i="25" a="1"/>
  <c r="AA30" i="25" s="1"/>
  <c r="Z30" i="25" a="1"/>
  <c r="Z30" i="25" s="1"/>
  <c r="AD30" i="25" a="1"/>
  <c r="AD30" i="25" s="1"/>
  <c r="AH30" i="25" a="1"/>
  <c r="AH30" i="25" s="1"/>
  <c r="AB30" i="25" a="1"/>
  <c r="AB30" i="25" s="1"/>
  <c r="AF30" i="25" a="1"/>
  <c r="AF30" i="25" s="1"/>
  <c r="AE30" i="25" a="1"/>
  <c r="AE30" i="25" s="1"/>
  <c r="AG30" i="25" a="1"/>
  <c r="AG30" i="25" s="1"/>
  <c r="AI30" i="25" a="1"/>
  <c r="AI30" i="25" s="1"/>
  <c r="AK30" i="25" a="1"/>
  <c r="AK30" i="25" s="1"/>
  <c r="AJ30" i="25" a="1"/>
  <c r="AJ30" i="25" s="1"/>
  <c r="AL30" i="25" a="1"/>
  <c r="AL30" i="25" s="1"/>
  <c r="N31" i="25" a="1"/>
  <c r="N31" i="25" s="1"/>
  <c r="AK61" i="26"/>
  <c r="AK60" i="26"/>
  <c r="AK9" i="26" a="1"/>
  <c r="AK9" i="26" s="1"/>
  <c r="AK10" i="26" a="1"/>
  <c r="AK10" i="26" s="1"/>
  <c r="AK13" i="26" a="1"/>
  <c r="AK13" i="26" s="1"/>
  <c r="AK12" i="26" a="1"/>
  <c r="AK12" i="26" s="1"/>
  <c r="AK11" i="26" a="1"/>
  <c r="AK11" i="26" s="1"/>
  <c r="AK14" i="26" a="1"/>
  <c r="AK14" i="26" s="1"/>
  <c r="AK15" i="26" a="1"/>
  <c r="AK15" i="26" s="1"/>
  <c r="AK16" i="26" a="1"/>
  <c r="AK16" i="26" s="1"/>
  <c r="AK17" i="26" a="1"/>
  <c r="AK17" i="26" s="1"/>
  <c r="AK18" i="26" a="1"/>
  <c r="AK18" i="26" s="1"/>
  <c r="AL8" i="26" a="1"/>
  <c r="AL8" i="26" s="1"/>
  <c r="AL34" i="26" s="1" a="1"/>
  <c r="AL34" i="26" s="1"/>
  <c r="AK19" i="26" a="1"/>
  <c r="AK19" i="26" s="1"/>
  <c r="AK20" i="26" a="1"/>
  <c r="AK20" i="26" s="1"/>
  <c r="AK22" i="26" a="1"/>
  <c r="AK22" i="26" s="1"/>
  <c r="AK21" i="26" a="1"/>
  <c r="AK21" i="26" s="1"/>
  <c r="AK23" i="26" a="1"/>
  <c r="AK23" i="26" s="1"/>
  <c r="AK24" i="26" a="1"/>
  <c r="AK24" i="26" s="1"/>
  <c r="AK25" i="26" a="1"/>
  <c r="AK25" i="26" s="1"/>
  <c r="AK26" i="26" a="1"/>
  <c r="AK26" i="26" s="1"/>
  <c r="AK27" i="26" a="1"/>
  <c r="AK27" i="26" s="1"/>
  <c r="AK28" i="26" a="1"/>
  <c r="AK28" i="26" s="1"/>
  <c r="AK29" i="26" a="1"/>
  <c r="AK29" i="26" s="1"/>
  <c r="AK30" i="26" a="1"/>
  <c r="AK30" i="26" s="1"/>
  <c r="AK31" i="26" a="1"/>
  <c r="AK31" i="26" s="1"/>
  <c r="AK32" i="26" a="1"/>
  <c r="AK32" i="26" s="1"/>
  <c r="AI63" i="24"/>
  <c r="AI62" i="24"/>
  <c r="AG9" i="38"/>
  <c r="AG10" i="38"/>
  <c r="AG61" i="38"/>
  <c r="AG60" i="38"/>
  <c r="AG11" i="38"/>
  <c r="AG12" i="38"/>
  <c r="AG13" i="38"/>
  <c r="AG15" i="38"/>
  <c r="AG14" i="38"/>
  <c r="AG16" i="38"/>
  <c r="AH8" i="38" a="1"/>
  <c r="AH8" i="38" s="1"/>
  <c r="AG17" i="38"/>
  <c r="AG18" i="38"/>
  <c r="AG19" i="38"/>
  <c r="AG20" i="38"/>
  <c r="AG21" i="38"/>
  <c r="AG22" i="38"/>
  <c r="AG23" i="38"/>
  <c r="AG24" i="38"/>
  <c r="AG25" i="38"/>
  <c r="AG26" i="38"/>
  <c r="AG27" i="38"/>
  <c r="AG28" i="38"/>
  <c r="AG29" i="38"/>
  <c r="AJ9" i="24" a="1"/>
  <c r="AJ9" i="24" s="1"/>
  <c r="AJ60" i="24"/>
  <c r="AJ61" i="24"/>
  <c r="AJ10" i="24" a="1"/>
  <c r="AJ10" i="24" s="1"/>
  <c r="AJ11" i="24" a="1"/>
  <c r="AJ11" i="24" s="1"/>
  <c r="AJ13" i="24" a="1"/>
  <c r="AJ13" i="24" s="1"/>
  <c r="AJ12" i="24" a="1"/>
  <c r="AJ12" i="24" s="1"/>
  <c r="AJ14" i="24" a="1"/>
  <c r="AJ14" i="24" s="1"/>
  <c r="AJ15" i="24" a="1"/>
  <c r="AJ15" i="24" s="1"/>
  <c r="AK8" i="24" a="1"/>
  <c r="AK8" i="24" s="1"/>
  <c r="AJ17" i="24" a="1"/>
  <c r="AJ17" i="24" s="1"/>
  <c r="AJ16" i="24" a="1"/>
  <c r="AJ16" i="24" s="1"/>
  <c r="AJ18" i="24" a="1"/>
  <c r="AJ18" i="24" s="1"/>
  <c r="AJ19" i="24" a="1"/>
  <c r="AJ19" i="24" s="1"/>
  <c r="AJ20" i="24" a="1"/>
  <c r="AJ20" i="24" s="1"/>
  <c r="AJ21" i="24" a="1"/>
  <c r="AJ21" i="24" s="1"/>
  <c r="AJ22" i="24" a="1"/>
  <c r="AJ22" i="24" s="1"/>
  <c r="AJ23" i="24" a="1"/>
  <c r="AJ23" i="24" s="1"/>
  <c r="AJ24" i="24" a="1"/>
  <c r="AJ24" i="24" s="1"/>
  <c r="AJ25" i="24" a="1"/>
  <c r="AJ25" i="24" s="1"/>
  <c r="AJ26" i="24" a="1"/>
  <c r="AJ26" i="24" s="1"/>
  <c r="AJ27" i="24" a="1"/>
  <c r="AJ27" i="24" s="1"/>
  <c r="AJ28" i="24" a="1"/>
  <c r="AJ28" i="24" s="1"/>
  <c r="AJ29" i="24" a="1"/>
  <c r="AJ29" i="24" s="1"/>
  <c r="AJ30" i="24" a="1"/>
  <c r="AJ30" i="24" s="1"/>
  <c r="AJ31" i="24" a="1"/>
  <c r="AJ31" i="24" s="1"/>
  <c r="AI34" i="26" a="1"/>
  <c r="AI34" i="26" s="1"/>
  <c r="AB34" i="26" a="1"/>
  <c r="AB34" i="26" s="1"/>
  <c r="N34" i="26" a="1"/>
  <c r="N34" i="26" s="1"/>
  <c r="AC34" i="26" a="1"/>
  <c r="AC34" i="26" s="1"/>
  <c r="V34" i="26" a="1"/>
  <c r="V34" i="26" s="1"/>
  <c r="AF34" i="26" a="1"/>
  <c r="AF34" i="26" s="1"/>
  <c r="AE34" i="26" a="1"/>
  <c r="AE34" i="26" s="1"/>
  <c r="X34" i="26" a="1"/>
  <c r="X34" i="26" s="1"/>
  <c r="AG34" i="26" a="1"/>
  <c r="AG34" i="26" s="1"/>
  <c r="Z34" i="26" a="1"/>
  <c r="Z34" i="26" s="1"/>
  <c r="Y34" i="26" a="1"/>
  <c r="Y34" i="26" s="1"/>
  <c r="AJ34" i="26" a="1"/>
  <c r="AJ34" i="26" s="1"/>
  <c r="AH34" i="26" a="1"/>
  <c r="AH34" i="26" s="1"/>
  <c r="AA34" i="26" a="1"/>
  <c r="AA34" i="26" s="1"/>
  <c r="T34" i="26" a="1"/>
  <c r="T34" i="26" s="1"/>
  <c r="S34" i="26" a="1"/>
  <c r="S34" i="26" s="1"/>
  <c r="R34" i="26" a="1"/>
  <c r="R34" i="26" s="1"/>
  <c r="Q34" i="26" a="1"/>
  <c r="Q34" i="26" s="1"/>
  <c r="P34" i="26" a="1"/>
  <c r="P34" i="26" s="1"/>
  <c r="AK34" i="26" a="1"/>
  <c r="AK34" i="26" s="1"/>
  <c r="AD34" i="26" a="1"/>
  <c r="AD34" i="26" s="1"/>
  <c r="U34" i="26" a="1"/>
  <c r="U34" i="26" s="1"/>
  <c r="M34" i="26" a="1"/>
  <c r="M34" i="26" s="1"/>
  <c r="W34" i="26" a="1"/>
  <c r="W34" i="26" s="1"/>
  <c r="O34" i="26" a="1"/>
  <c r="O34" i="26" s="1"/>
  <c r="L35" i="26" a="1"/>
  <c r="L35" i="26" s="1"/>
  <c r="AK33" i="26" a="1"/>
  <c r="AK33" i="26" s="1"/>
  <c r="AB31" i="38"/>
  <c r="N31" i="38"/>
  <c r="Z31" i="38"/>
  <c r="M31" i="38"/>
  <c r="AF31" i="38"/>
  <c r="Y31" i="38"/>
  <c r="P31" i="38"/>
  <c r="V31" i="38"/>
  <c r="AC31" i="38"/>
  <c r="Q31" i="38"/>
  <c r="AG31" i="38"/>
  <c r="X31" i="38"/>
  <c r="AE31" i="38"/>
  <c r="AD31" i="38"/>
  <c r="AA31" i="38"/>
  <c r="U31" i="38"/>
  <c r="L31" i="38"/>
  <c r="S31" i="38"/>
  <c r="R31" i="38"/>
  <c r="O31" i="38"/>
  <c r="W31" i="38"/>
  <c r="T31" i="38"/>
  <c r="K32" i="38" a="1"/>
  <c r="K32" i="38" s="1"/>
  <c r="AN10" i="25" l="1" a="1"/>
  <c r="AN10" i="25" s="1"/>
  <c r="AN15" i="25" a="1"/>
  <c r="AN15" i="25" s="1"/>
  <c r="AN21" i="25" a="1"/>
  <c r="AN21" i="25" s="1"/>
  <c r="AN27" i="25" a="1"/>
  <c r="AN27" i="25" s="1"/>
  <c r="AN11" i="25" a="1"/>
  <c r="AN11" i="25" s="1"/>
  <c r="AN16" i="25" a="1"/>
  <c r="AN16" i="25" s="1"/>
  <c r="AN28" i="25" a="1"/>
  <c r="AN28" i="25" s="1"/>
  <c r="AN18" i="25" a="1"/>
  <c r="AN18" i="25" s="1"/>
  <c r="AN23" i="25" a="1"/>
  <c r="AN23" i="25" s="1"/>
  <c r="AN22" i="25" a="1"/>
  <c r="AN22" i="25" s="1"/>
  <c r="AN29" i="25" a="1"/>
  <c r="AN29" i="25" s="1"/>
  <c r="AN12" i="25" a="1"/>
  <c r="AN12" i="25" s="1"/>
  <c r="AN30" i="25" a="1"/>
  <c r="AN30" i="25" s="1"/>
  <c r="AN9" i="25" a="1"/>
  <c r="AN9" i="25" s="1"/>
  <c r="AN13" i="25" a="1"/>
  <c r="AN13" i="25" s="1"/>
  <c r="AN17" i="25" a="1"/>
  <c r="AN17" i="25" s="1"/>
  <c r="AN24" i="25" a="1"/>
  <c r="AN24" i="25" s="1"/>
  <c r="AN61" i="25"/>
  <c r="AN14" i="25" a="1"/>
  <c r="AN14" i="25" s="1"/>
  <c r="AN19" i="25" a="1"/>
  <c r="AN19" i="25" s="1"/>
  <c r="AN25" i="25" a="1"/>
  <c r="AN25" i="25" s="1"/>
  <c r="AN20" i="25" a="1"/>
  <c r="AN20" i="25" s="1"/>
  <c r="AN26" i="25" a="1"/>
  <c r="AN26" i="25" s="1"/>
  <c r="AN60" i="25"/>
  <c r="AO8" i="25" a="1"/>
  <c r="AO8" i="25" s="1"/>
  <c r="AO30" i="25" s="1" a="1"/>
  <c r="AO30" i="25" s="1"/>
  <c r="AM28" i="25" a="1"/>
  <c r="AM28" i="25" s="1"/>
  <c r="AM61" i="25"/>
  <c r="AM13" i="25" a="1"/>
  <c r="AM13" i="25" s="1"/>
  <c r="AM18" i="25" a="1"/>
  <c r="AM18" i="25" s="1"/>
  <c r="AM24" i="25" a="1"/>
  <c r="AM24" i="25" s="1"/>
  <c r="AM60" i="25"/>
  <c r="AM19" i="25" a="1"/>
  <c r="AM19" i="25" s="1"/>
  <c r="AM25" i="25" a="1"/>
  <c r="AM25" i="25" s="1"/>
  <c r="AM20" i="25" a="1"/>
  <c r="AM20" i="25" s="1"/>
  <c r="AM15" i="25" a="1"/>
  <c r="AM15" i="25" s="1"/>
  <c r="AM27" i="25" a="1"/>
  <c r="AM27" i="25" s="1"/>
  <c r="AM14" i="25" a="1"/>
  <c r="AM14" i="25" s="1"/>
  <c r="AM9" i="25" a="1"/>
  <c r="AM9" i="25" s="1"/>
  <c r="AM26" i="25" a="1"/>
  <c r="AM26" i="25" s="1"/>
  <c r="AM10" i="25" a="1"/>
  <c r="AM10" i="25" s="1"/>
  <c r="AM21" i="25" a="1"/>
  <c r="AM21" i="25" s="1"/>
  <c r="AM11" i="25" a="1"/>
  <c r="AM11" i="25" s="1"/>
  <c r="AM16" i="25" a="1"/>
  <c r="AM16" i="25" s="1"/>
  <c r="AM22" i="25" a="1"/>
  <c r="AM22" i="25" s="1"/>
  <c r="AM29" i="25" a="1"/>
  <c r="AM29" i="25" s="1"/>
  <c r="AM12" i="25" a="1"/>
  <c r="AM12" i="25" s="1"/>
  <c r="AM17" i="25" a="1"/>
  <c r="AM17" i="25" s="1"/>
  <c r="AM23" i="25" a="1"/>
  <c r="AM23" i="25" s="1"/>
  <c r="AM30" i="25" a="1"/>
  <c r="AM30" i="25" s="1"/>
  <c r="L34" i="24" a="1"/>
  <c r="L34" i="24" s="1"/>
  <c r="P34" i="24" s="1" a="1"/>
  <c r="P34" i="24" s="1"/>
  <c r="AC33" i="24" a="1"/>
  <c r="AC33" i="24" s="1"/>
  <c r="AI33" i="24" a="1"/>
  <c r="AI33" i="24" s="1"/>
  <c r="Q33" i="24" a="1"/>
  <c r="Q33" i="24" s="1"/>
  <c r="V33" i="24" a="1"/>
  <c r="V33" i="24" s="1"/>
  <c r="M33" i="24" a="1"/>
  <c r="M33" i="24" s="1"/>
  <c r="N33" i="24" a="1"/>
  <c r="N33" i="24" s="1"/>
  <c r="AD33" i="24" a="1"/>
  <c r="AD33" i="24" s="1"/>
  <c r="AG33" i="24" a="1"/>
  <c r="AG33" i="24" s="1"/>
  <c r="Y33" i="24" a="1"/>
  <c r="Y33" i="24" s="1"/>
  <c r="AA33" i="24" a="1"/>
  <c r="AA33" i="24" s="1"/>
  <c r="O33" i="24" a="1"/>
  <c r="O33" i="24" s="1"/>
  <c r="AF33" i="24" a="1"/>
  <c r="AF33" i="24" s="1"/>
  <c r="AH33" i="24" a="1"/>
  <c r="AH33" i="24" s="1"/>
  <c r="AB33" i="24" a="1"/>
  <c r="AB33" i="24" s="1"/>
  <c r="AJ33" i="24" a="1"/>
  <c r="AJ33" i="24" s="1"/>
  <c r="W33" i="24" a="1"/>
  <c r="W33" i="24" s="1"/>
  <c r="T33" i="24" a="1"/>
  <c r="T33" i="24" s="1"/>
  <c r="U33" i="24" a="1"/>
  <c r="U33" i="24" s="1"/>
  <c r="R33" i="24" a="1"/>
  <c r="R33" i="24" s="1"/>
  <c r="AE33" i="24" a="1"/>
  <c r="AE33" i="24" s="1"/>
  <c r="Z33" i="24" a="1"/>
  <c r="Z33" i="24" s="1"/>
  <c r="X33" i="24" a="1"/>
  <c r="X33" i="24" s="1"/>
  <c r="S33" i="24" a="1"/>
  <c r="S33" i="24" s="1"/>
  <c r="AK33" i="24" a="1"/>
  <c r="AK33" i="24" s="1"/>
  <c r="AK61" i="24"/>
  <c r="AK60" i="24"/>
  <c r="AK9" i="24" a="1"/>
  <c r="AK9" i="24" s="1"/>
  <c r="AK10" i="24" a="1"/>
  <c r="AK10" i="24" s="1"/>
  <c r="AK11" i="24" a="1"/>
  <c r="AK11" i="24" s="1"/>
  <c r="AK13" i="24" a="1"/>
  <c r="AK13" i="24" s="1"/>
  <c r="AK12" i="24" a="1"/>
  <c r="AK12" i="24" s="1"/>
  <c r="AK14" i="24" a="1"/>
  <c r="AK14" i="24" s="1"/>
  <c r="AK17" i="24" a="1"/>
  <c r="AK17" i="24" s="1"/>
  <c r="AK16" i="24" a="1"/>
  <c r="AK16" i="24" s="1"/>
  <c r="AK15" i="24" a="1"/>
  <c r="AK15" i="24" s="1"/>
  <c r="AL8" i="24" a="1"/>
  <c r="AL8" i="24" s="1"/>
  <c r="AK18" i="24" a="1"/>
  <c r="AK18" i="24" s="1"/>
  <c r="AK19" i="24" a="1"/>
  <c r="AK19" i="24" s="1"/>
  <c r="AK21" i="24" a="1"/>
  <c r="AK21" i="24" s="1"/>
  <c r="AK20" i="24" a="1"/>
  <c r="AK20" i="24" s="1"/>
  <c r="AK22" i="24" a="1"/>
  <c r="AK22" i="24" s="1"/>
  <c r="AK23" i="24" a="1"/>
  <c r="AK23" i="24" s="1"/>
  <c r="AK24" i="24" a="1"/>
  <c r="AK24" i="24" s="1"/>
  <c r="AK25" i="24" a="1"/>
  <c r="AK25" i="24" s="1"/>
  <c r="AK26" i="24" a="1"/>
  <c r="AK26" i="24" s="1"/>
  <c r="AK27" i="24" a="1"/>
  <c r="AK27" i="24" s="1"/>
  <c r="AK28" i="24" a="1"/>
  <c r="AK28" i="24" s="1"/>
  <c r="AK29" i="24" a="1"/>
  <c r="AK29" i="24" s="1"/>
  <c r="AK30" i="24" a="1"/>
  <c r="AK30" i="24" s="1"/>
  <c r="AK31" i="24" a="1"/>
  <c r="AK31" i="24" s="1"/>
  <c r="AK32" i="24" a="1"/>
  <c r="AK32" i="24" s="1"/>
  <c r="C20" i="39"/>
  <c r="A20" i="39" s="1"/>
  <c r="F358" i="22"/>
  <c r="AH61" i="38"/>
  <c r="AH60" i="38"/>
  <c r="AH9" i="38"/>
  <c r="AH10" i="38"/>
  <c r="AH11" i="38"/>
  <c r="AH12" i="38"/>
  <c r="AH13" i="38"/>
  <c r="AH15" i="38"/>
  <c r="AH14" i="38"/>
  <c r="AH16" i="38"/>
  <c r="AH17" i="38"/>
  <c r="AH18" i="38"/>
  <c r="AH19" i="38"/>
  <c r="AI8" i="38" a="1"/>
  <c r="AI8" i="38" s="1"/>
  <c r="AI32" i="38" s="1"/>
  <c r="AH20" i="38"/>
  <c r="AH21" i="38"/>
  <c r="AH22" i="38"/>
  <c r="AH23" i="38"/>
  <c r="AH24" i="38"/>
  <c r="AH25" i="38"/>
  <c r="AH26" i="38"/>
  <c r="AH27" i="38"/>
  <c r="AH28" i="38"/>
  <c r="AH29" i="38"/>
  <c r="AH30" i="38"/>
  <c r="AH31" i="38"/>
  <c r="AG35" i="26" a="1"/>
  <c r="AG35" i="26" s="1"/>
  <c r="U35" i="26" a="1"/>
  <c r="U35" i="26" s="1"/>
  <c r="Y35" i="26" a="1"/>
  <c r="Y35" i="26" s="1"/>
  <c r="V35" i="26" a="1"/>
  <c r="V35" i="26" s="1"/>
  <c r="AJ35" i="26" a="1"/>
  <c r="AJ35" i="26" s="1"/>
  <c r="AH35" i="26" a="1"/>
  <c r="AH35" i="26" s="1"/>
  <c r="M35" i="26" a="1"/>
  <c r="M35" i="26" s="1"/>
  <c r="AF35" i="26" a="1"/>
  <c r="AF35" i="26" s="1"/>
  <c r="P35" i="26" a="1"/>
  <c r="P35" i="26" s="1"/>
  <c r="AE35" i="26" a="1"/>
  <c r="AE35" i="26" s="1"/>
  <c r="AD35" i="26" a="1"/>
  <c r="AD35" i="26" s="1"/>
  <c r="Z35" i="26" a="1"/>
  <c r="Z35" i="26" s="1"/>
  <c r="X35" i="26" a="1"/>
  <c r="X35" i="26" s="1"/>
  <c r="AC35" i="26" a="1"/>
  <c r="AC35" i="26" s="1"/>
  <c r="AK35" i="26" a="1"/>
  <c r="AK35" i="26" s="1"/>
  <c r="AA35" i="26" a="1"/>
  <c r="AA35" i="26" s="1"/>
  <c r="S35" i="26" a="1"/>
  <c r="S35" i="26" s="1"/>
  <c r="W35" i="26" a="1"/>
  <c r="W35" i="26" s="1"/>
  <c r="T35" i="26" a="1"/>
  <c r="T35" i="26" s="1"/>
  <c r="AI35" i="26" a="1"/>
  <c r="AI35" i="26" s="1"/>
  <c r="AB35" i="26" a="1"/>
  <c r="AB35" i="26" s="1"/>
  <c r="N35" i="26" a="1"/>
  <c r="N35" i="26" s="1"/>
  <c r="R35" i="26" a="1"/>
  <c r="R35" i="26" s="1"/>
  <c r="Q35" i="26" a="1"/>
  <c r="Q35" i="26" s="1"/>
  <c r="O35" i="26" a="1"/>
  <c r="O35" i="26" s="1"/>
  <c r="AL35" i="26" a="1"/>
  <c r="AL35" i="26" s="1"/>
  <c r="L36" i="26" a="1"/>
  <c r="L36" i="26" s="1"/>
  <c r="AL61" i="26"/>
  <c r="AL9" i="26" a="1"/>
  <c r="AL9" i="26" s="1"/>
  <c r="AL10" i="26" a="1"/>
  <c r="AL10" i="26" s="1"/>
  <c r="AL60" i="26"/>
  <c r="AL13" i="26" a="1"/>
  <c r="AL13" i="26" s="1"/>
  <c r="AL11" i="26" a="1"/>
  <c r="AL11" i="26" s="1"/>
  <c r="AL12" i="26" a="1"/>
  <c r="AL12" i="26" s="1"/>
  <c r="AL14" i="26" a="1"/>
  <c r="AL14" i="26" s="1"/>
  <c r="AL15" i="26" a="1"/>
  <c r="AL15" i="26" s="1"/>
  <c r="AL16" i="26" a="1"/>
  <c r="AL16" i="26" s="1"/>
  <c r="AL17" i="26" a="1"/>
  <c r="AL17" i="26" s="1"/>
  <c r="AL18" i="26" a="1"/>
  <c r="AL18" i="26" s="1"/>
  <c r="AL19" i="26" a="1"/>
  <c r="AL19" i="26" s="1"/>
  <c r="AM8" i="26" a="1"/>
  <c r="AM8" i="26" s="1"/>
  <c r="AM35" i="26" s="1" a="1"/>
  <c r="AM35" i="26" s="1"/>
  <c r="AL20" i="26" a="1"/>
  <c r="AL20" i="26" s="1"/>
  <c r="AL21" i="26" a="1"/>
  <c r="AL21" i="26" s="1"/>
  <c r="AL22" i="26" a="1"/>
  <c r="AL22" i="26" s="1"/>
  <c r="AL23" i="26" a="1"/>
  <c r="AL23" i="26" s="1"/>
  <c r="AL24" i="26" a="1"/>
  <c r="AL24" i="26" s="1"/>
  <c r="AL25" i="26" a="1"/>
  <c r="AL25" i="26" s="1"/>
  <c r="AL26" i="26" a="1"/>
  <c r="AL26" i="26" s="1"/>
  <c r="AL27" i="26" a="1"/>
  <c r="AL27" i="26" s="1"/>
  <c r="AL28" i="26" a="1"/>
  <c r="AL28" i="26" s="1"/>
  <c r="AL29" i="26" a="1"/>
  <c r="AL29" i="26" s="1"/>
  <c r="AL30" i="26" a="1"/>
  <c r="AL30" i="26" s="1"/>
  <c r="AL31" i="26" a="1"/>
  <c r="AL31" i="26" s="1"/>
  <c r="AL32" i="26" a="1"/>
  <c r="AL32" i="26" s="1"/>
  <c r="AL33" i="26" a="1"/>
  <c r="AL33" i="26" s="1"/>
  <c r="P31" i="25" a="1"/>
  <c r="P31" i="25" s="1"/>
  <c r="Q31" i="25" a="1"/>
  <c r="Q31" i="25" s="1"/>
  <c r="O31" i="25" a="1"/>
  <c r="O31" i="25" s="1"/>
  <c r="R31" i="25" a="1"/>
  <c r="R31" i="25" s="1"/>
  <c r="U31" i="25" a="1"/>
  <c r="U31" i="25" s="1"/>
  <c r="T31" i="25" a="1"/>
  <c r="T31" i="25" s="1"/>
  <c r="V31" i="25" a="1"/>
  <c r="V31" i="25" s="1"/>
  <c r="S31" i="25" a="1"/>
  <c r="S31" i="25" s="1"/>
  <c r="W31" i="25" a="1"/>
  <c r="W31" i="25" s="1"/>
  <c r="Y31" i="25" a="1"/>
  <c r="Y31" i="25" s="1"/>
  <c r="AD31" i="25" a="1"/>
  <c r="AD31" i="25" s="1"/>
  <c r="AC31" i="25" a="1"/>
  <c r="AC31" i="25" s="1"/>
  <c r="AA31" i="25" a="1"/>
  <c r="AA31" i="25" s="1"/>
  <c r="Z31" i="25" a="1"/>
  <c r="Z31" i="25" s="1"/>
  <c r="X31" i="25" a="1"/>
  <c r="X31" i="25" s="1"/>
  <c r="AB31" i="25" a="1"/>
  <c r="AB31" i="25" s="1"/>
  <c r="AE31" i="25" a="1"/>
  <c r="AE31" i="25" s="1"/>
  <c r="AG31" i="25" a="1"/>
  <c r="AG31" i="25" s="1"/>
  <c r="AH31" i="25" a="1"/>
  <c r="AH31" i="25" s="1"/>
  <c r="AF31" i="25" a="1"/>
  <c r="AF31" i="25" s="1"/>
  <c r="AK31" i="25" a="1"/>
  <c r="AK31" i="25" s="1"/>
  <c r="AI31" i="25" a="1"/>
  <c r="AI31" i="25" s="1"/>
  <c r="AM31" i="25" a="1"/>
  <c r="AM31" i="25" s="1"/>
  <c r="AJ31" i="25" a="1"/>
  <c r="AJ31" i="25" s="1"/>
  <c r="AL31" i="25" a="1"/>
  <c r="AL31" i="25" s="1"/>
  <c r="AN31" i="25" a="1"/>
  <c r="AN31" i="25" s="1"/>
  <c r="N32" i="25" a="1"/>
  <c r="N32" i="25" s="1"/>
  <c r="AJ62" i="24"/>
  <c r="AJ63" i="24"/>
  <c r="O32" i="38"/>
  <c r="V32" i="38"/>
  <c r="AE32" i="38"/>
  <c r="Q32" i="38"/>
  <c r="U32" i="38"/>
  <c r="AD32" i="38"/>
  <c r="N32" i="38"/>
  <c r="S32" i="38"/>
  <c r="AH32" i="38"/>
  <c r="AC32" i="38"/>
  <c r="M32" i="38"/>
  <c r="R32" i="38"/>
  <c r="AF32" i="38"/>
  <c r="AB32" i="38"/>
  <c r="Z32" i="38"/>
  <c r="T32" i="38"/>
  <c r="P32" i="38"/>
  <c r="AG32" i="38"/>
  <c r="Y32" i="38"/>
  <c r="L32" i="38"/>
  <c r="X32" i="38"/>
  <c r="AA32" i="38"/>
  <c r="W32" i="38"/>
  <c r="K33" i="38" a="1"/>
  <c r="K33" i="38" s="1"/>
  <c r="AP8" i="25" l="1" a="1"/>
  <c r="AP8" i="25" s="1"/>
  <c r="AP31" i="25" s="1" a="1"/>
  <c r="AP31" i="25" s="1"/>
  <c r="AO60" i="25"/>
  <c r="AO28" i="25" a="1"/>
  <c r="AO28" i="25" s="1"/>
  <c r="AO16" i="25" a="1"/>
  <c r="AO16" i="25" s="1"/>
  <c r="AO12" i="25" a="1"/>
  <c r="AO12" i="25" s="1"/>
  <c r="AO26" i="25" a="1"/>
  <c r="AO26" i="25" s="1"/>
  <c r="AO20" i="25" a="1"/>
  <c r="AO20" i="25" s="1"/>
  <c r="AO14" i="25" a="1"/>
  <c r="AO14" i="25" s="1"/>
  <c r="AO9" i="25" a="1"/>
  <c r="AO9" i="25" s="1"/>
  <c r="AO31" i="25" a="1"/>
  <c r="AO31" i="25" s="1"/>
  <c r="AO25" i="25" a="1"/>
  <c r="AO25" i="25" s="1"/>
  <c r="AO19" i="25" a="1"/>
  <c r="AO19" i="25" s="1"/>
  <c r="AO24" i="25" a="1"/>
  <c r="AO24" i="25" s="1"/>
  <c r="AO18" i="25" a="1"/>
  <c r="AO18" i="25" s="1"/>
  <c r="AO13" i="25" a="1"/>
  <c r="AO13" i="25" s="1"/>
  <c r="AO61" i="25"/>
  <c r="AO29" i="25" a="1"/>
  <c r="AO29" i="25" s="1"/>
  <c r="AO23" i="25" a="1"/>
  <c r="AO23" i="25" s="1"/>
  <c r="AO17" i="25" a="1"/>
  <c r="AO17" i="25" s="1"/>
  <c r="AO11" i="25" a="1"/>
  <c r="AO11" i="25" s="1"/>
  <c r="AO22" i="25" a="1"/>
  <c r="AO22" i="25" s="1"/>
  <c r="AO27" i="25" a="1"/>
  <c r="AO27" i="25" s="1"/>
  <c r="AO21" i="25" a="1"/>
  <c r="AO21" i="25" s="1"/>
  <c r="AO15" i="25" a="1"/>
  <c r="AO15" i="25" s="1"/>
  <c r="AO10" i="25" a="1"/>
  <c r="AO10" i="25" s="1"/>
  <c r="T34" i="24" a="1"/>
  <c r="T34" i="24" s="1"/>
  <c r="AJ34" i="24" a="1"/>
  <c r="AJ34" i="24" s="1"/>
  <c r="Z34" i="24" a="1"/>
  <c r="Z34" i="24" s="1"/>
  <c r="M34" i="24" a="1"/>
  <c r="M34" i="24" s="1"/>
  <c r="AH34" i="24" a="1"/>
  <c r="AH34" i="24" s="1"/>
  <c r="AE34" i="24" a="1"/>
  <c r="AE34" i="24" s="1"/>
  <c r="X34" i="24" a="1"/>
  <c r="X34" i="24" s="1"/>
  <c r="S34" i="24" a="1"/>
  <c r="S34" i="24" s="1"/>
  <c r="V34" i="24" a="1"/>
  <c r="V34" i="24" s="1"/>
  <c r="O34" i="24" a="1"/>
  <c r="O34" i="24" s="1"/>
  <c r="AL34" i="24" a="1"/>
  <c r="AL34" i="24" s="1"/>
  <c r="U34" i="24" a="1"/>
  <c r="U34" i="24" s="1"/>
  <c r="AG34" i="24" a="1"/>
  <c r="AG34" i="24" s="1"/>
  <c r="AC34" i="24" a="1"/>
  <c r="AC34" i="24" s="1"/>
  <c r="W34" i="24" a="1"/>
  <c r="W34" i="24" s="1"/>
  <c r="R34" i="24" a="1"/>
  <c r="R34" i="24" s="1"/>
  <c r="AK34" i="24" a="1"/>
  <c r="AK34" i="24" s="1"/>
  <c r="AB34" i="24" a="1"/>
  <c r="AB34" i="24" s="1"/>
  <c r="AI34" i="24" a="1"/>
  <c r="AI34" i="24" s="1"/>
  <c r="Q34" i="24" a="1"/>
  <c r="Q34" i="24" s="1"/>
  <c r="N34" i="24" a="1"/>
  <c r="N34" i="24" s="1"/>
  <c r="L35" i="24" a="1"/>
  <c r="L35" i="24" s="1"/>
  <c r="R35" i="24" s="1" a="1"/>
  <c r="R35" i="24" s="1"/>
  <c r="AA34" i="24" a="1"/>
  <c r="AA34" i="24" s="1"/>
  <c r="Y34" i="24" a="1"/>
  <c r="Y34" i="24" s="1"/>
  <c r="AF34" i="24" a="1"/>
  <c r="AF34" i="24" s="1"/>
  <c r="AD34" i="24" a="1"/>
  <c r="AD34" i="24" s="1"/>
  <c r="P32" i="25" a="1"/>
  <c r="P32" i="25" s="1"/>
  <c r="R32" i="25" a="1"/>
  <c r="R32" i="25" s="1"/>
  <c r="S32" i="25" a="1"/>
  <c r="S32" i="25" s="1"/>
  <c r="Q32" i="25" a="1"/>
  <c r="Q32" i="25" s="1"/>
  <c r="O32" i="25" a="1"/>
  <c r="O32" i="25" s="1"/>
  <c r="U32" i="25" a="1"/>
  <c r="U32" i="25" s="1"/>
  <c r="T32" i="25" a="1"/>
  <c r="T32" i="25" s="1"/>
  <c r="V32" i="25" a="1"/>
  <c r="V32" i="25" s="1"/>
  <c r="Z32" i="25" a="1"/>
  <c r="Z32" i="25" s="1"/>
  <c r="Y32" i="25" a="1"/>
  <c r="Y32" i="25" s="1"/>
  <c r="AB32" i="25" a="1"/>
  <c r="AB32" i="25" s="1"/>
  <c r="W32" i="25" a="1"/>
  <c r="W32" i="25" s="1"/>
  <c r="AD32" i="25" a="1"/>
  <c r="AD32" i="25" s="1"/>
  <c r="AC32" i="25" a="1"/>
  <c r="AC32" i="25" s="1"/>
  <c r="AA32" i="25" a="1"/>
  <c r="AA32" i="25" s="1"/>
  <c r="X32" i="25" a="1"/>
  <c r="X32" i="25" s="1"/>
  <c r="AG32" i="25" a="1"/>
  <c r="AG32" i="25" s="1"/>
  <c r="AH32" i="25" a="1"/>
  <c r="AH32" i="25" s="1"/>
  <c r="AF32" i="25" a="1"/>
  <c r="AF32" i="25" s="1"/>
  <c r="AI32" i="25" a="1"/>
  <c r="AI32" i="25" s="1"/>
  <c r="AE32" i="25" a="1"/>
  <c r="AE32" i="25" s="1"/>
  <c r="AK32" i="25" a="1"/>
  <c r="AK32" i="25" s="1"/>
  <c r="AL32" i="25" a="1"/>
  <c r="AL32" i="25" s="1"/>
  <c r="AM32" i="25" a="1"/>
  <c r="AM32" i="25" s="1"/>
  <c r="AJ32" i="25" a="1"/>
  <c r="AJ32" i="25" s="1"/>
  <c r="AO32" i="25" a="1"/>
  <c r="AO32" i="25" s="1"/>
  <c r="AN32" i="25" a="1"/>
  <c r="AN32" i="25" s="1"/>
  <c r="N33" i="25" a="1"/>
  <c r="N33" i="25" s="1"/>
  <c r="AK63" i="24"/>
  <c r="AK62" i="24"/>
  <c r="AA36" i="26" a="1"/>
  <c r="AA36" i="26" s="1"/>
  <c r="T36" i="26" a="1"/>
  <c r="T36" i="26" s="1"/>
  <c r="X36" i="26" a="1"/>
  <c r="X36" i="26" s="1"/>
  <c r="W36" i="26" a="1"/>
  <c r="W36" i="26" s="1"/>
  <c r="AH36" i="26" a="1"/>
  <c r="AH36" i="26" s="1"/>
  <c r="U36" i="26" a="1"/>
  <c r="U36" i="26" s="1"/>
  <c r="AK36" i="26" a="1"/>
  <c r="AK36" i="26" s="1"/>
  <c r="S36" i="26" a="1"/>
  <c r="S36" i="26" s="1"/>
  <c r="AG36" i="26" a="1"/>
  <c r="AG36" i="26" s="1"/>
  <c r="P36" i="26" a="1"/>
  <c r="P36" i="26" s="1"/>
  <c r="AE36" i="26" a="1"/>
  <c r="AE36" i="26" s="1"/>
  <c r="AJ36" i="26" a="1"/>
  <c r="AJ36" i="26" s="1"/>
  <c r="R36" i="26" a="1"/>
  <c r="R36" i="26" s="1"/>
  <c r="V36" i="26" a="1"/>
  <c r="V36" i="26" s="1"/>
  <c r="AL36" i="26" a="1"/>
  <c r="AL36" i="26" s="1"/>
  <c r="Y36" i="26" a="1"/>
  <c r="Y36" i="26" s="1"/>
  <c r="AC36" i="26" a="1"/>
  <c r="AC36" i="26" s="1"/>
  <c r="AD36" i="26" a="1"/>
  <c r="AD36" i="26" s="1"/>
  <c r="N36" i="26" a="1"/>
  <c r="N36" i="26" s="1"/>
  <c r="AB36" i="26" a="1"/>
  <c r="AB36" i="26" s="1"/>
  <c r="Q36" i="26" a="1"/>
  <c r="Q36" i="26" s="1"/>
  <c r="M36" i="26" a="1"/>
  <c r="M36" i="26" s="1"/>
  <c r="AM36" i="26" a="1"/>
  <c r="AM36" i="26" s="1"/>
  <c r="AI36" i="26" a="1"/>
  <c r="AI36" i="26" s="1"/>
  <c r="AF36" i="26" a="1"/>
  <c r="AF36" i="26" s="1"/>
  <c r="Z36" i="26" a="1"/>
  <c r="Z36" i="26" s="1"/>
  <c r="O36" i="26" a="1"/>
  <c r="O36" i="26" s="1"/>
  <c r="L37" i="26" a="1"/>
  <c r="L37" i="26" s="1"/>
  <c r="AL61" i="24"/>
  <c r="AL60" i="24"/>
  <c r="AL9" i="24" a="1"/>
  <c r="AL9" i="24" s="1"/>
  <c r="AL10" i="24" a="1"/>
  <c r="AL10" i="24" s="1"/>
  <c r="AL11" i="24" a="1"/>
  <c r="AL11" i="24" s="1"/>
  <c r="AL12" i="24" a="1"/>
  <c r="AL12" i="24" s="1"/>
  <c r="AL13" i="24" a="1"/>
  <c r="AL13" i="24" s="1"/>
  <c r="AL14" i="24" a="1"/>
  <c r="AL14" i="24" s="1"/>
  <c r="AL15" i="24" a="1"/>
  <c r="AL15" i="24" s="1"/>
  <c r="AL16" i="24" a="1"/>
  <c r="AL16" i="24" s="1"/>
  <c r="AL17" i="24" a="1"/>
  <c r="AL17" i="24" s="1"/>
  <c r="AL19" i="24" a="1"/>
  <c r="AL19" i="24" s="1"/>
  <c r="AL18" i="24" a="1"/>
  <c r="AL18" i="24" s="1"/>
  <c r="AL20" i="24" a="1"/>
  <c r="AL20" i="24" s="1"/>
  <c r="AM8" i="24" a="1"/>
  <c r="AM8" i="24" s="1"/>
  <c r="AL21" i="24" a="1"/>
  <c r="AL21" i="24" s="1"/>
  <c r="AL22" i="24" a="1"/>
  <c r="AL22" i="24" s="1"/>
  <c r="AL23" i="24" a="1"/>
  <c r="AL23" i="24" s="1"/>
  <c r="AL24" i="24" a="1"/>
  <c r="AL24" i="24" s="1"/>
  <c r="AL25" i="24" a="1"/>
  <c r="AL25" i="24" s="1"/>
  <c r="AL26" i="24" a="1"/>
  <c r="AL26" i="24" s="1"/>
  <c r="AL27" i="24" a="1"/>
  <c r="AL27" i="24" s="1"/>
  <c r="AL28" i="24" a="1"/>
  <c r="AL28" i="24" s="1"/>
  <c r="AL29" i="24" a="1"/>
  <c r="AL29" i="24" s="1"/>
  <c r="AL30" i="24" a="1"/>
  <c r="AL30" i="24" s="1"/>
  <c r="AL31" i="24" a="1"/>
  <c r="AL31" i="24" s="1"/>
  <c r="AL32" i="24" a="1"/>
  <c r="AL32" i="24" s="1"/>
  <c r="AL33" i="24" a="1"/>
  <c r="AL33" i="24" s="1"/>
  <c r="AM9" i="26" a="1"/>
  <c r="AM9" i="26" s="1"/>
  <c r="AM10" i="26" a="1"/>
  <c r="AM10" i="26" s="1"/>
  <c r="AM60" i="26"/>
  <c r="AM61" i="26"/>
  <c r="AM12" i="26" a="1"/>
  <c r="AM12" i="26" s="1"/>
  <c r="AM13" i="26" a="1"/>
  <c r="AM13" i="26" s="1"/>
  <c r="AM11" i="26" a="1"/>
  <c r="AM11" i="26" s="1"/>
  <c r="AM15" i="26" a="1"/>
  <c r="AM15" i="26" s="1"/>
  <c r="AM14" i="26" a="1"/>
  <c r="AM14" i="26" s="1"/>
  <c r="AM16" i="26" a="1"/>
  <c r="AM16" i="26" s="1"/>
  <c r="AM17" i="26" a="1"/>
  <c r="AM17" i="26" s="1"/>
  <c r="AM19" i="26" a="1"/>
  <c r="AM19" i="26" s="1"/>
  <c r="AM18" i="26" a="1"/>
  <c r="AM18" i="26" s="1"/>
  <c r="AM20" i="26" a="1"/>
  <c r="AM20" i="26" s="1"/>
  <c r="AM21" i="26" a="1"/>
  <c r="AM21" i="26" s="1"/>
  <c r="AM22" i="26" a="1"/>
  <c r="AM22" i="26" s="1"/>
  <c r="AN8" i="26" a="1"/>
  <c r="AN8" i="26" s="1"/>
  <c r="AN36" i="26" s="1" a="1"/>
  <c r="AN36" i="26" s="1"/>
  <c r="AM23" i="26" a="1"/>
  <c r="AM23" i="26" s="1"/>
  <c r="AM24" i="26" a="1"/>
  <c r="AM24" i="26" s="1"/>
  <c r="AM25" i="26" a="1"/>
  <c r="AM25" i="26" s="1"/>
  <c r="AM26" i="26" a="1"/>
  <c r="AM26" i="26" s="1"/>
  <c r="AM27" i="26" a="1"/>
  <c r="AM27" i="26" s="1"/>
  <c r="AM28" i="26" a="1"/>
  <c r="AM28" i="26" s="1"/>
  <c r="AM29" i="26" a="1"/>
  <c r="AM29" i="26" s="1"/>
  <c r="AM30" i="26" a="1"/>
  <c r="AM30" i="26" s="1"/>
  <c r="AM31" i="26" a="1"/>
  <c r="AM31" i="26" s="1"/>
  <c r="AM32" i="26" a="1"/>
  <c r="AM32" i="26" s="1"/>
  <c r="AM33" i="26" a="1"/>
  <c r="AM33" i="26" s="1"/>
  <c r="AM34" i="26" a="1"/>
  <c r="AM34" i="26" s="1"/>
  <c r="AI9" i="38"/>
  <c r="AI10" i="38"/>
  <c r="AI60" i="38"/>
  <c r="AI61" i="38"/>
  <c r="AI11" i="38"/>
  <c r="AI12" i="38"/>
  <c r="AI13" i="38"/>
  <c r="AI15" i="38"/>
  <c r="AI14" i="38"/>
  <c r="AI16" i="38"/>
  <c r="AI17" i="38"/>
  <c r="AJ8" i="38" a="1"/>
  <c r="AJ8" i="38" s="1"/>
  <c r="AI18" i="38"/>
  <c r="AI19" i="38"/>
  <c r="AI20" i="38"/>
  <c r="AI21" i="38"/>
  <c r="AI22" i="38"/>
  <c r="AI23" i="38"/>
  <c r="AI24" i="38"/>
  <c r="AI25" i="38"/>
  <c r="AI26" i="38"/>
  <c r="AI27" i="38"/>
  <c r="AI28" i="38"/>
  <c r="AI29" i="38"/>
  <c r="AI30" i="38"/>
  <c r="AI31" i="38"/>
  <c r="C21" i="39"/>
  <c r="A21" i="39" s="1"/>
  <c r="F359" i="22"/>
  <c r="AB33" i="38"/>
  <c r="AD33" i="38"/>
  <c r="S33" i="38"/>
  <c r="Q33" i="38"/>
  <c r="AJ33" i="38"/>
  <c r="T33" i="38"/>
  <c r="AA33" i="38"/>
  <c r="O33" i="38"/>
  <c r="R33" i="38"/>
  <c r="N33" i="38"/>
  <c r="AI33" i="38"/>
  <c r="M33" i="38"/>
  <c r="W33" i="38"/>
  <c r="AE33" i="38"/>
  <c r="L33" i="38"/>
  <c r="AC33" i="38"/>
  <c r="X33" i="38"/>
  <c r="V33" i="38"/>
  <c r="Y33" i="38"/>
  <c r="AG33" i="38"/>
  <c r="U33" i="38"/>
  <c r="Z33" i="38"/>
  <c r="AF33" i="38"/>
  <c r="P33" i="38"/>
  <c r="AH33" i="38"/>
  <c r="K34" i="38" a="1"/>
  <c r="K34" i="38" s="1"/>
  <c r="AP30" i="25" l="1" a="1"/>
  <c r="AP30" i="25" s="1"/>
  <c r="AP24" i="25" a="1"/>
  <c r="AP24" i="25" s="1"/>
  <c r="AP19" i="25" a="1"/>
  <c r="AP19" i="25" s="1"/>
  <c r="AP13" i="25" a="1"/>
  <c r="AP13" i="25" s="1"/>
  <c r="AP9" i="25" a="1"/>
  <c r="AP9" i="25" s="1"/>
  <c r="AP16" i="25" a="1"/>
  <c r="AP16" i="25" s="1"/>
  <c r="AQ8" i="25" a="1"/>
  <c r="AQ8" i="25" s="1"/>
  <c r="AQ32" i="25" s="1" a="1"/>
  <c r="AQ32" i="25" s="1"/>
  <c r="AP14" i="25" a="1"/>
  <c r="AP14" i="25" s="1"/>
  <c r="AP60" i="25"/>
  <c r="AP29" i="25" a="1"/>
  <c r="AP29" i="25" s="1"/>
  <c r="AP23" i="25" a="1"/>
  <c r="AP23" i="25" s="1"/>
  <c r="AP18" i="25" a="1"/>
  <c r="AP18" i="25" s="1"/>
  <c r="AP12" i="25" a="1"/>
  <c r="AP12" i="25" s="1"/>
  <c r="AP28" i="25" a="1"/>
  <c r="AP28" i="25" s="1"/>
  <c r="AP22" i="25" a="1"/>
  <c r="AP22" i="25" s="1"/>
  <c r="AP17" i="25" a="1"/>
  <c r="AP17" i="25" s="1"/>
  <c r="AP11" i="25" a="1"/>
  <c r="AP11" i="25" s="1"/>
  <c r="AP32" i="25" a="1"/>
  <c r="AP32" i="25" s="1"/>
  <c r="AP21" i="25" a="1"/>
  <c r="AP21" i="25" s="1"/>
  <c r="AP15" i="25" a="1"/>
  <c r="AP15" i="25" s="1"/>
  <c r="AP27" i="25" a="1"/>
  <c r="AP27" i="25" s="1"/>
  <c r="AP10" i="25" a="1"/>
  <c r="AP10" i="25" s="1"/>
  <c r="AP26" i="25" a="1"/>
  <c r="AP26" i="25" s="1"/>
  <c r="AP20" i="25" a="1"/>
  <c r="AP20" i="25" s="1"/>
  <c r="AP61" i="25"/>
  <c r="AP25" i="25" a="1"/>
  <c r="AP25" i="25" s="1"/>
  <c r="L36" i="24" a="1"/>
  <c r="L36" i="24" s="1"/>
  <c r="W36" i="24" s="1" a="1"/>
  <c r="W36" i="24" s="1"/>
  <c r="O35" i="24" a="1"/>
  <c r="O35" i="24" s="1"/>
  <c r="AL35" i="24" a="1"/>
  <c r="AL35" i="24" s="1"/>
  <c r="Z35" i="24" a="1"/>
  <c r="Z35" i="24" s="1"/>
  <c r="AF35" i="24" a="1"/>
  <c r="AF35" i="24" s="1"/>
  <c r="AH35" i="24" a="1"/>
  <c r="AH35" i="24" s="1"/>
  <c r="N35" i="24" a="1"/>
  <c r="N35" i="24" s="1"/>
  <c r="P35" i="24" a="1"/>
  <c r="P35" i="24" s="1"/>
  <c r="V35" i="24" a="1"/>
  <c r="V35" i="24" s="1"/>
  <c r="AE35" i="24" a="1"/>
  <c r="AE35" i="24" s="1"/>
  <c r="AM35" i="24" a="1"/>
  <c r="AM35" i="24" s="1"/>
  <c r="AC35" i="24" a="1"/>
  <c r="AC35" i="24" s="1"/>
  <c r="W35" i="24" a="1"/>
  <c r="W35" i="24" s="1"/>
  <c r="AJ35" i="24" a="1"/>
  <c r="AJ35" i="24" s="1"/>
  <c r="X35" i="24" a="1"/>
  <c r="X35" i="24" s="1"/>
  <c r="S35" i="24" a="1"/>
  <c r="S35" i="24" s="1"/>
  <c r="AI35" i="24" a="1"/>
  <c r="AI35" i="24" s="1"/>
  <c r="AK35" i="24" a="1"/>
  <c r="AK35" i="24" s="1"/>
  <c r="AG35" i="24" a="1"/>
  <c r="AG35" i="24" s="1"/>
  <c r="U35" i="24" a="1"/>
  <c r="U35" i="24" s="1"/>
  <c r="AD35" i="24" a="1"/>
  <c r="AD35" i="24" s="1"/>
  <c r="Q35" i="24" a="1"/>
  <c r="Q35" i="24" s="1"/>
  <c r="AB35" i="24" a="1"/>
  <c r="AB35" i="24" s="1"/>
  <c r="M35" i="24" a="1"/>
  <c r="M35" i="24" s="1"/>
  <c r="Y35" i="24" a="1"/>
  <c r="Y35" i="24" s="1"/>
  <c r="AA35" i="24" a="1"/>
  <c r="AA35" i="24" s="1"/>
  <c r="T35" i="24" a="1"/>
  <c r="T35" i="24" s="1"/>
  <c r="X34" i="38"/>
  <c r="W34" i="38"/>
  <c r="AJ34" i="38"/>
  <c r="S34" i="38"/>
  <c r="N34" i="38"/>
  <c r="AB34" i="38"/>
  <c r="AF34" i="38"/>
  <c r="T34" i="38"/>
  <c r="R34" i="38"/>
  <c r="AH34" i="38"/>
  <c r="AE34" i="38"/>
  <c r="Q34" i="38"/>
  <c r="AI34" i="38"/>
  <c r="AG34" i="38"/>
  <c r="AC34" i="38"/>
  <c r="Z34" i="38"/>
  <c r="O34" i="38"/>
  <c r="AA34" i="38"/>
  <c r="L34" i="38"/>
  <c r="Y34" i="38"/>
  <c r="V34" i="38"/>
  <c r="P34" i="38"/>
  <c r="M34" i="38"/>
  <c r="AD34" i="38"/>
  <c r="U34" i="38"/>
  <c r="K35" i="38" a="1"/>
  <c r="K35" i="38" s="1"/>
  <c r="AJ10" i="38"/>
  <c r="AJ60" i="38"/>
  <c r="AJ9" i="38"/>
  <c r="AJ61" i="38"/>
  <c r="AJ11" i="38"/>
  <c r="AJ12" i="38"/>
  <c r="AJ13" i="38"/>
  <c r="AJ14" i="38"/>
  <c r="AJ15" i="38"/>
  <c r="AJ16" i="38"/>
  <c r="AJ17" i="38"/>
  <c r="AK8" i="38" a="1"/>
  <c r="AK8" i="38" s="1"/>
  <c r="AJ18" i="38"/>
  <c r="AJ19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P33" i="25" a="1"/>
  <c r="P33" i="25" s="1"/>
  <c r="O33" i="25" a="1"/>
  <c r="O33" i="25" s="1"/>
  <c r="S33" i="25" a="1"/>
  <c r="S33" i="25" s="1"/>
  <c r="Q33" i="25" a="1"/>
  <c r="Q33" i="25" s="1"/>
  <c r="R33" i="25" a="1"/>
  <c r="R33" i="25" s="1"/>
  <c r="U33" i="25" a="1"/>
  <c r="U33" i="25" s="1"/>
  <c r="V33" i="25" a="1"/>
  <c r="V33" i="25" s="1"/>
  <c r="T33" i="25" a="1"/>
  <c r="T33" i="25" s="1"/>
  <c r="W33" i="25" a="1"/>
  <c r="W33" i="25" s="1"/>
  <c r="X33" i="25" a="1"/>
  <c r="X33" i="25" s="1"/>
  <c r="Z33" i="25" a="1"/>
  <c r="Z33" i="25" s="1"/>
  <c r="AC33" i="25" a="1"/>
  <c r="AC33" i="25" s="1"/>
  <c r="Y33" i="25" a="1"/>
  <c r="Y33" i="25" s="1"/>
  <c r="AB33" i="25" a="1"/>
  <c r="AB33" i="25" s="1"/>
  <c r="AD33" i="25" a="1"/>
  <c r="AD33" i="25" s="1"/>
  <c r="AA33" i="25" a="1"/>
  <c r="AA33" i="25" s="1"/>
  <c r="AE33" i="25" a="1"/>
  <c r="AE33" i="25" s="1"/>
  <c r="AF33" i="25" a="1"/>
  <c r="AF33" i="25" s="1"/>
  <c r="AG33" i="25" a="1"/>
  <c r="AG33" i="25" s="1"/>
  <c r="AH33" i="25" a="1"/>
  <c r="AH33" i="25" s="1"/>
  <c r="AI33" i="25" a="1"/>
  <c r="AI33" i="25" s="1"/>
  <c r="AJ33" i="25" a="1"/>
  <c r="AJ33" i="25" s="1"/>
  <c r="AL33" i="25" a="1"/>
  <c r="AL33" i="25" s="1"/>
  <c r="AN33" i="25" a="1"/>
  <c r="AN33" i="25" s="1"/>
  <c r="AM33" i="25" a="1"/>
  <c r="AM33" i="25" s="1"/>
  <c r="AK33" i="25" a="1"/>
  <c r="AK33" i="25" s="1"/>
  <c r="AP33" i="25" a="1"/>
  <c r="AP33" i="25" s="1"/>
  <c r="AO33" i="25" a="1"/>
  <c r="AO33" i="25" s="1"/>
  <c r="N34" i="25" a="1"/>
  <c r="N34" i="25" s="1"/>
  <c r="AL62" i="24"/>
  <c r="AL63" i="24"/>
  <c r="AM61" i="24"/>
  <c r="AM60" i="24"/>
  <c r="AM9" i="24" a="1"/>
  <c r="AM9" i="24" s="1"/>
  <c r="AM10" i="24" a="1"/>
  <c r="AM10" i="24" s="1"/>
  <c r="AM11" i="24" a="1"/>
  <c r="AM11" i="24" s="1"/>
  <c r="AM12" i="24" a="1"/>
  <c r="AM12" i="24" s="1"/>
  <c r="AM13" i="24" a="1"/>
  <c r="AM13" i="24" s="1"/>
  <c r="AM14" i="24" a="1"/>
  <c r="AM14" i="24" s="1"/>
  <c r="AM16" i="24" a="1"/>
  <c r="AM16" i="24" s="1"/>
  <c r="AM17" i="24" a="1"/>
  <c r="AM17" i="24" s="1"/>
  <c r="AM15" i="24" a="1"/>
  <c r="AM15" i="24" s="1"/>
  <c r="AM19" i="24" a="1"/>
  <c r="AM19" i="24" s="1"/>
  <c r="AM18" i="24" a="1"/>
  <c r="AM18" i="24" s="1"/>
  <c r="AM20" i="24" a="1"/>
  <c r="AM20" i="24" s="1"/>
  <c r="AM21" i="24" a="1"/>
  <c r="AM21" i="24" s="1"/>
  <c r="AN8" i="24" a="1"/>
  <c r="AN8" i="24" s="1"/>
  <c r="AM22" i="24" a="1"/>
  <c r="AM22" i="24" s="1"/>
  <c r="AM23" i="24" a="1"/>
  <c r="AM23" i="24" s="1"/>
  <c r="AM24" i="24" a="1"/>
  <c r="AM24" i="24" s="1"/>
  <c r="AM25" i="24" a="1"/>
  <c r="AM25" i="24" s="1"/>
  <c r="AM26" i="24" a="1"/>
  <c r="AM26" i="24" s="1"/>
  <c r="AM27" i="24" a="1"/>
  <c r="AM27" i="24" s="1"/>
  <c r="AM28" i="24" a="1"/>
  <c r="AM28" i="24" s="1"/>
  <c r="AM29" i="24" a="1"/>
  <c r="AM29" i="24" s="1"/>
  <c r="AM30" i="24" a="1"/>
  <c r="AM30" i="24" s="1"/>
  <c r="AM31" i="24" a="1"/>
  <c r="AM31" i="24" s="1"/>
  <c r="AM32" i="24" a="1"/>
  <c r="AM32" i="24" s="1"/>
  <c r="AM33" i="24" a="1"/>
  <c r="AM33" i="24" s="1"/>
  <c r="AM34" i="24" a="1"/>
  <c r="AM34" i="24" s="1"/>
  <c r="AF37" i="26" a="1"/>
  <c r="AF37" i="26" s="1"/>
  <c r="AL37" i="26" a="1"/>
  <c r="AL37" i="26" s="1"/>
  <c r="AJ37" i="26" a="1"/>
  <c r="AJ37" i="26" s="1"/>
  <c r="AC37" i="26" a="1"/>
  <c r="AC37" i="26" s="1"/>
  <c r="P37" i="26" a="1"/>
  <c r="P37" i="26" s="1"/>
  <c r="AA37" i="26" a="1"/>
  <c r="AA37" i="26" s="1"/>
  <c r="AE37" i="26" a="1"/>
  <c r="AE37" i="26" s="1"/>
  <c r="AD37" i="26" a="1"/>
  <c r="AD37" i="26" s="1"/>
  <c r="W37" i="26" a="1"/>
  <c r="W37" i="26" s="1"/>
  <c r="AN37" i="26" a="1"/>
  <c r="AN37" i="26" s="1"/>
  <c r="U37" i="26" a="1"/>
  <c r="U37" i="26" s="1"/>
  <c r="Z37" i="26" a="1"/>
  <c r="Z37" i="26" s="1"/>
  <c r="X37" i="26" a="1"/>
  <c r="X37" i="26" s="1"/>
  <c r="Q37" i="26" a="1"/>
  <c r="Q37" i="26" s="1"/>
  <c r="AH37" i="26" a="1"/>
  <c r="AH37" i="26" s="1"/>
  <c r="O37" i="26" a="1"/>
  <c r="O37" i="26" s="1"/>
  <c r="AK37" i="26" a="1"/>
  <c r="AK37" i="26" s="1"/>
  <c r="R37" i="26" a="1"/>
  <c r="R37" i="26" s="1"/>
  <c r="AB37" i="26" a="1"/>
  <c r="AB37" i="26" s="1"/>
  <c r="AG37" i="26" a="1"/>
  <c r="AG37" i="26" s="1"/>
  <c r="T37" i="26" a="1"/>
  <c r="T37" i="26" s="1"/>
  <c r="Y37" i="26" a="1"/>
  <c r="Y37" i="26" s="1"/>
  <c r="V37" i="26" a="1"/>
  <c r="V37" i="26" s="1"/>
  <c r="M37" i="26" a="1"/>
  <c r="M37" i="26" s="1"/>
  <c r="AM37" i="26" a="1"/>
  <c r="AM37" i="26" s="1"/>
  <c r="S37" i="26" a="1"/>
  <c r="S37" i="26" s="1"/>
  <c r="N37" i="26" a="1"/>
  <c r="N37" i="26" s="1"/>
  <c r="AI37" i="26" a="1"/>
  <c r="AI37" i="26" s="1"/>
  <c r="L38" i="26" a="1"/>
  <c r="L38" i="26" s="1"/>
  <c r="AN10" i="26" a="1"/>
  <c r="AN10" i="26" s="1"/>
  <c r="AN9" i="26" a="1"/>
  <c r="AN9" i="26" s="1"/>
  <c r="AN61" i="26"/>
  <c r="AN60" i="26"/>
  <c r="AN13" i="26" a="1"/>
  <c r="AN13" i="26" s="1"/>
  <c r="AN11" i="26" a="1"/>
  <c r="AN11" i="26" s="1"/>
  <c r="AN12" i="26" a="1"/>
  <c r="AN12" i="26" s="1"/>
  <c r="AN14" i="26" a="1"/>
  <c r="AN14" i="26" s="1"/>
  <c r="AN15" i="26" a="1"/>
  <c r="AN15" i="26" s="1"/>
  <c r="AN16" i="26" a="1"/>
  <c r="AN16" i="26" s="1"/>
  <c r="AN17" i="26" a="1"/>
  <c r="AN17" i="26" s="1"/>
  <c r="AN19" i="26" a="1"/>
  <c r="AN19" i="26" s="1"/>
  <c r="AN18" i="26" a="1"/>
  <c r="AN18" i="26" s="1"/>
  <c r="AN20" i="26" a="1"/>
  <c r="AN20" i="26" s="1"/>
  <c r="AO8" i="26" a="1"/>
  <c r="AO8" i="26" s="1"/>
  <c r="AN21" i="26" a="1"/>
  <c r="AN21" i="26" s="1"/>
  <c r="AN22" i="26" a="1"/>
  <c r="AN22" i="26" s="1"/>
  <c r="AN23" i="26" a="1"/>
  <c r="AN23" i="26" s="1"/>
  <c r="AN24" i="26" a="1"/>
  <c r="AN24" i="26" s="1"/>
  <c r="AN25" i="26" a="1"/>
  <c r="AN25" i="26" s="1"/>
  <c r="AN26" i="26" a="1"/>
  <c r="AN26" i="26" s="1"/>
  <c r="AN27" i="26" a="1"/>
  <c r="AN27" i="26" s="1"/>
  <c r="AN28" i="26" a="1"/>
  <c r="AN28" i="26" s="1"/>
  <c r="AN29" i="26" a="1"/>
  <c r="AN29" i="26" s="1"/>
  <c r="AN30" i="26" a="1"/>
  <c r="AN30" i="26" s="1"/>
  <c r="AN31" i="26" a="1"/>
  <c r="AN31" i="26" s="1"/>
  <c r="AN32" i="26" a="1"/>
  <c r="AN32" i="26" s="1"/>
  <c r="AN33" i="26" a="1"/>
  <c r="AN33" i="26" s="1"/>
  <c r="AN34" i="26" a="1"/>
  <c r="AN34" i="26" s="1"/>
  <c r="AN35" i="26" a="1"/>
  <c r="AN35" i="26" s="1"/>
  <c r="C22" i="39"/>
  <c r="A22" i="39" s="1"/>
  <c r="F360" i="22"/>
  <c r="AQ29" i="25" l="1" a="1"/>
  <c r="AQ29" i="25" s="1"/>
  <c r="AQ23" i="25" a="1"/>
  <c r="AQ23" i="25" s="1"/>
  <c r="AQ17" i="25" a="1"/>
  <c r="AQ17" i="25" s="1"/>
  <c r="AQ12" i="25" a="1"/>
  <c r="AQ12" i="25" s="1"/>
  <c r="AQ9" i="25" a="1"/>
  <c r="AQ9" i="25" s="1"/>
  <c r="AQ19" i="25" a="1"/>
  <c r="AQ19" i="25" s="1"/>
  <c r="AQ28" i="25" a="1"/>
  <c r="AQ28" i="25" s="1"/>
  <c r="AQ22" i="25" a="1"/>
  <c r="AQ22" i="25" s="1"/>
  <c r="AR8" i="25" a="1"/>
  <c r="AR8" i="25" s="1"/>
  <c r="AR15" i="25" s="1" a="1"/>
  <c r="AR15" i="25" s="1"/>
  <c r="AQ11" i="25" a="1"/>
  <c r="AQ11" i="25" s="1"/>
  <c r="AQ27" i="25" a="1"/>
  <c r="AQ27" i="25" s="1"/>
  <c r="AQ21" i="25" a="1"/>
  <c r="AQ21" i="25" s="1"/>
  <c r="AQ16" i="25" a="1"/>
  <c r="AQ16" i="25" s="1"/>
  <c r="AQ10" i="25" a="1"/>
  <c r="AQ10" i="25" s="1"/>
  <c r="AQ20" i="25" a="1"/>
  <c r="AQ20" i="25" s="1"/>
  <c r="AQ31" i="25" a="1"/>
  <c r="AQ31" i="25" s="1"/>
  <c r="AQ26" i="25" a="1"/>
  <c r="AQ26" i="25" s="1"/>
  <c r="AQ15" i="25" a="1"/>
  <c r="AQ15" i="25" s="1"/>
  <c r="AQ25" i="25" a="1"/>
  <c r="AQ25" i="25" s="1"/>
  <c r="AQ14" i="25" a="1"/>
  <c r="AQ14" i="25" s="1"/>
  <c r="AQ61" i="25"/>
  <c r="AQ30" i="25" a="1"/>
  <c r="AQ30" i="25" s="1"/>
  <c r="AQ24" i="25" a="1"/>
  <c r="AQ24" i="25" s="1"/>
  <c r="AQ18" i="25" a="1"/>
  <c r="AQ18" i="25" s="1"/>
  <c r="AQ13" i="25" a="1"/>
  <c r="AQ13" i="25" s="1"/>
  <c r="AQ60" i="25"/>
  <c r="AQ33" i="25" a="1"/>
  <c r="AQ33" i="25" s="1"/>
  <c r="AD36" i="24" a="1"/>
  <c r="AD36" i="24" s="1"/>
  <c r="AN36" i="24" a="1"/>
  <c r="AN36" i="24" s="1"/>
  <c r="AM36" i="24" a="1"/>
  <c r="AM36" i="24" s="1"/>
  <c r="AI36" i="24" a="1"/>
  <c r="AI36" i="24" s="1"/>
  <c r="Y36" i="24" a="1"/>
  <c r="Y36" i="24" s="1"/>
  <c r="AH36" i="24" a="1"/>
  <c r="AH36" i="24" s="1"/>
  <c r="AC36" i="24" a="1"/>
  <c r="AC36" i="24" s="1"/>
  <c r="O36" i="24" a="1"/>
  <c r="O36" i="24" s="1"/>
  <c r="L37" i="24" a="1"/>
  <c r="L37" i="24" s="1"/>
  <c r="O37" i="24" s="1" a="1"/>
  <c r="O37" i="24" s="1"/>
  <c r="R36" i="24" a="1"/>
  <c r="R36" i="24" s="1"/>
  <c r="AJ36" i="24" a="1"/>
  <c r="AJ36" i="24" s="1"/>
  <c r="Q36" i="24" a="1"/>
  <c r="Q36" i="24" s="1"/>
  <c r="Z36" i="24" a="1"/>
  <c r="Z36" i="24" s="1"/>
  <c r="AF36" i="24" a="1"/>
  <c r="AF36" i="24" s="1"/>
  <c r="U36" i="24" a="1"/>
  <c r="U36" i="24" s="1"/>
  <c r="P36" i="24" a="1"/>
  <c r="P36" i="24" s="1"/>
  <c r="AB36" i="24" a="1"/>
  <c r="AB36" i="24" s="1"/>
  <c r="AL36" i="24" a="1"/>
  <c r="AL36" i="24" s="1"/>
  <c r="AG36" i="24" a="1"/>
  <c r="AG36" i="24" s="1"/>
  <c r="T36" i="24" a="1"/>
  <c r="T36" i="24" s="1"/>
  <c r="N36" i="24" a="1"/>
  <c r="N36" i="24" s="1"/>
  <c r="M36" i="24" a="1"/>
  <c r="M36" i="24" s="1"/>
  <c r="AE36" i="24" a="1"/>
  <c r="AE36" i="24" s="1"/>
  <c r="V36" i="24" a="1"/>
  <c r="V36" i="24" s="1"/>
  <c r="AA36" i="24" a="1"/>
  <c r="AA36" i="24" s="1"/>
  <c r="AK36" i="24" a="1"/>
  <c r="AK36" i="24" s="1"/>
  <c r="S36" i="24" a="1"/>
  <c r="S36" i="24" s="1"/>
  <c r="X36" i="24" a="1"/>
  <c r="X36" i="24" s="1"/>
  <c r="AK9" i="38"/>
  <c r="AK10" i="38"/>
  <c r="AK61" i="38"/>
  <c r="AK60" i="38"/>
  <c r="AK12" i="38"/>
  <c r="AK11" i="38"/>
  <c r="AK13" i="38"/>
  <c r="AK15" i="38"/>
  <c r="AK14" i="38"/>
  <c r="AK16" i="38"/>
  <c r="AK17" i="38"/>
  <c r="AL8" i="38" a="1"/>
  <c r="AL8" i="38" s="1"/>
  <c r="AL35" i="38" s="1"/>
  <c r="AK18" i="38"/>
  <c r="AK19" i="38"/>
  <c r="AK20" i="38"/>
  <c r="AK21" i="38"/>
  <c r="AK22" i="38"/>
  <c r="AK23" i="38"/>
  <c r="AK24" i="38"/>
  <c r="AK25" i="38"/>
  <c r="AK26" i="38"/>
  <c r="AK27" i="38"/>
  <c r="AK28" i="38"/>
  <c r="AK29" i="38"/>
  <c r="AK30" i="38"/>
  <c r="AK31" i="38"/>
  <c r="AK32" i="38"/>
  <c r="AK33" i="38"/>
  <c r="AH35" i="38"/>
  <c r="AD35" i="38"/>
  <c r="AG35" i="38"/>
  <c r="L35" i="38"/>
  <c r="W35" i="38"/>
  <c r="AF35" i="38"/>
  <c r="AC35" i="38"/>
  <c r="O35" i="38"/>
  <c r="M35" i="38"/>
  <c r="N35" i="38"/>
  <c r="V35" i="38"/>
  <c r="T35" i="38"/>
  <c r="AE35" i="38"/>
  <c r="X35" i="38"/>
  <c r="R35" i="38"/>
  <c r="P35" i="38"/>
  <c r="Q35" i="38"/>
  <c r="AK35" i="38"/>
  <c r="AA35" i="38"/>
  <c r="AB35" i="38"/>
  <c r="AJ35" i="38"/>
  <c r="S35" i="38"/>
  <c r="Z35" i="38"/>
  <c r="Y35" i="38"/>
  <c r="AI35" i="38"/>
  <c r="U35" i="38"/>
  <c r="K36" i="38" a="1"/>
  <c r="K36" i="38" s="1"/>
  <c r="C23" i="39"/>
  <c r="A23" i="39" s="1"/>
  <c r="F361" i="22"/>
  <c r="R34" i="25" a="1"/>
  <c r="R34" i="25" s="1"/>
  <c r="O34" i="25" a="1"/>
  <c r="O34" i="25" s="1"/>
  <c r="T34" i="25" a="1"/>
  <c r="T34" i="25" s="1"/>
  <c r="P34" i="25" a="1"/>
  <c r="P34" i="25" s="1"/>
  <c r="Q34" i="25" a="1"/>
  <c r="Q34" i="25" s="1"/>
  <c r="S34" i="25" a="1"/>
  <c r="S34" i="25" s="1"/>
  <c r="V34" i="25" a="1"/>
  <c r="V34" i="25" s="1"/>
  <c r="U34" i="25" a="1"/>
  <c r="U34" i="25" s="1"/>
  <c r="W34" i="25" a="1"/>
  <c r="W34" i="25" s="1"/>
  <c r="X34" i="25" a="1"/>
  <c r="X34" i="25" s="1"/>
  <c r="Z34" i="25" a="1"/>
  <c r="Z34" i="25" s="1"/>
  <c r="Y34" i="25" a="1"/>
  <c r="Y34" i="25" s="1"/>
  <c r="AB34" i="25" a="1"/>
  <c r="AB34" i="25" s="1"/>
  <c r="AD34" i="25" a="1"/>
  <c r="AD34" i="25" s="1"/>
  <c r="AC34" i="25" a="1"/>
  <c r="AC34" i="25" s="1"/>
  <c r="AA34" i="25" a="1"/>
  <c r="AA34" i="25" s="1"/>
  <c r="AF34" i="25" a="1"/>
  <c r="AF34" i="25" s="1"/>
  <c r="AE34" i="25" a="1"/>
  <c r="AE34" i="25" s="1"/>
  <c r="AH34" i="25" a="1"/>
  <c r="AH34" i="25" s="1"/>
  <c r="AG34" i="25" a="1"/>
  <c r="AG34" i="25" s="1"/>
  <c r="AK34" i="25" a="1"/>
  <c r="AK34" i="25" s="1"/>
  <c r="AP34" i="25" a="1"/>
  <c r="AP34" i="25" s="1"/>
  <c r="AL34" i="25" a="1"/>
  <c r="AL34" i="25" s="1"/>
  <c r="AN34" i="25" a="1"/>
  <c r="AN34" i="25" s="1"/>
  <c r="AJ34" i="25" a="1"/>
  <c r="AJ34" i="25" s="1"/>
  <c r="AI34" i="25" a="1"/>
  <c r="AI34" i="25" s="1"/>
  <c r="AO34" i="25" a="1"/>
  <c r="AO34" i="25" s="1"/>
  <c r="AM34" i="25" a="1"/>
  <c r="AM34" i="25" s="1"/>
  <c r="AQ34" i="25" a="1"/>
  <c r="AQ34" i="25" s="1"/>
  <c r="N35" i="25" a="1"/>
  <c r="N35" i="25" s="1"/>
  <c r="AK34" i="38"/>
  <c r="O38" i="26" a="1"/>
  <c r="O38" i="26" s="1"/>
  <c r="U38" i="26" a="1"/>
  <c r="U38" i="26" s="1"/>
  <c r="AL38" i="26" a="1"/>
  <c r="AL38" i="26" s="1"/>
  <c r="AD38" i="26" a="1"/>
  <c r="AD38" i="26" s="1"/>
  <c r="P38" i="26" a="1"/>
  <c r="P38" i="26" s="1"/>
  <c r="AF38" i="26" a="1"/>
  <c r="AF38" i="26" s="1"/>
  <c r="AJ38" i="26" a="1"/>
  <c r="AJ38" i="26" s="1"/>
  <c r="AO38" i="26" a="1"/>
  <c r="AO38" i="26" s="1"/>
  <c r="AC38" i="26" a="1"/>
  <c r="AC38" i="26" s="1"/>
  <c r="AH38" i="26" a="1"/>
  <c r="AH38" i="26" s="1"/>
  <c r="Z38" i="26" a="1"/>
  <c r="Z38" i="26" s="1"/>
  <c r="X38" i="26" a="1"/>
  <c r="X38" i="26" s="1"/>
  <c r="AA38" i="26" a="1"/>
  <c r="AA38" i="26" s="1"/>
  <c r="W38" i="26" a="1"/>
  <c r="W38" i="26" s="1"/>
  <c r="AE38" i="26" a="1"/>
  <c r="AE38" i="26" s="1"/>
  <c r="AN38" i="26" a="1"/>
  <c r="AN38" i="26" s="1"/>
  <c r="S38" i="26" a="1"/>
  <c r="S38" i="26" s="1"/>
  <c r="Q38" i="26" a="1"/>
  <c r="Q38" i="26" s="1"/>
  <c r="AG38" i="26" a="1"/>
  <c r="AG38" i="26" s="1"/>
  <c r="AI38" i="26" a="1"/>
  <c r="AI38" i="26" s="1"/>
  <c r="N38" i="26" a="1"/>
  <c r="N38" i="26" s="1"/>
  <c r="M38" i="26" a="1"/>
  <c r="M38" i="26" s="1"/>
  <c r="AB38" i="26" a="1"/>
  <c r="AB38" i="26" s="1"/>
  <c r="AM38" i="26" a="1"/>
  <c r="AM38" i="26" s="1"/>
  <c r="Y38" i="26" a="1"/>
  <c r="Y38" i="26" s="1"/>
  <c r="AK38" i="26" a="1"/>
  <c r="AK38" i="26" s="1"/>
  <c r="V38" i="26" a="1"/>
  <c r="V38" i="26" s="1"/>
  <c r="T38" i="26" a="1"/>
  <c r="T38" i="26" s="1"/>
  <c r="R38" i="26" a="1"/>
  <c r="R38" i="26" s="1"/>
  <c r="L39" i="26" a="1"/>
  <c r="L39" i="26" s="1"/>
  <c r="AM63" i="24"/>
  <c r="AM62" i="24"/>
  <c r="AN9" i="24" a="1"/>
  <c r="AN9" i="24" s="1"/>
  <c r="AN60" i="24"/>
  <c r="AN61" i="24"/>
  <c r="AN10" i="24" a="1"/>
  <c r="AN10" i="24" s="1"/>
  <c r="AN11" i="24" a="1"/>
  <c r="AN11" i="24" s="1"/>
  <c r="AN12" i="24" a="1"/>
  <c r="AN12" i="24" s="1"/>
  <c r="AN13" i="24" a="1"/>
  <c r="AN13" i="24" s="1"/>
  <c r="AN14" i="24" a="1"/>
  <c r="AN14" i="24" s="1"/>
  <c r="AN17" i="24" a="1"/>
  <c r="AN17" i="24" s="1"/>
  <c r="AN16" i="24" a="1"/>
  <c r="AN16" i="24" s="1"/>
  <c r="AN15" i="24" a="1"/>
  <c r="AN15" i="24" s="1"/>
  <c r="AN19" i="24" a="1"/>
  <c r="AN19" i="24" s="1"/>
  <c r="AO8" i="24" a="1"/>
  <c r="AO8" i="24" s="1"/>
  <c r="AN18" i="24" a="1"/>
  <c r="AN18" i="24" s="1"/>
  <c r="AN21" i="24" a="1"/>
  <c r="AN21" i="24" s="1"/>
  <c r="AN20" i="24" a="1"/>
  <c r="AN20" i="24" s="1"/>
  <c r="AN22" i="24" a="1"/>
  <c r="AN22" i="24" s="1"/>
  <c r="AN23" i="24" a="1"/>
  <c r="AN23" i="24" s="1"/>
  <c r="AN24" i="24" a="1"/>
  <c r="AN24" i="24" s="1"/>
  <c r="AN25" i="24" a="1"/>
  <c r="AN25" i="24" s="1"/>
  <c r="AN26" i="24" a="1"/>
  <c r="AN26" i="24" s="1"/>
  <c r="AN27" i="24" a="1"/>
  <c r="AN27" i="24" s="1"/>
  <c r="AN28" i="24" a="1"/>
  <c r="AN28" i="24" s="1"/>
  <c r="AN29" i="24" a="1"/>
  <c r="AN29" i="24" s="1"/>
  <c r="AN30" i="24" a="1"/>
  <c r="AN30" i="24" s="1"/>
  <c r="AN31" i="24" a="1"/>
  <c r="AN31" i="24" s="1"/>
  <c r="AN32" i="24" a="1"/>
  <c r="AN32" i="24" s="1"/>
  <c r="AN33" i="24" a="1"/>
  <c r="AN33" i="24" s="1"/>
  <c r="AN34" i="24" a="1"/>
  <c r="AN34" i="24" s="1"/>
  <c r="AN35" i="24" a="1"/>
  <c r="AN35" i="24" s="1"/>
  <c r="AO61" i="26"/>
  <c r="AO60" i="26"/>
  <c r="AO9" i="26" a="1"/>
  <c r="AO9" i="26" s="1"/>
  <c r="AO10" i="26" a="1"/>
  <c r="AO10" i="26" s="1"/>
  <c r="AO11" i="26" a="1"/>
  <c r="AO11" i="26" s="1"/>
  <c r="AO13" i="26" a="1"/>
  <c r="AO13" i="26" s="1"/>
  <c r="AO12" i="26" a="1"/>
  <c r="AO12" i="26" s="1"/>
  <c r="AO15" i="26" a="1"/>
  <c r="AO15" i="26" s="1"/>
  <c r="AO14" i="26" a="1"/>
  <c r="AO14" i="26" s="1"/>
  <c r="AO16" i="26" a="1"/>
  <c r="AO16" i="26" s="1"/>
  <c r="AO17" i="26" a="1"/>
  <c r="AO17" i="26" s="1"/>
  <c r="AO19" i="26" a="1"/>
  <c r="AO19" i="26" s="1"/>
  <c r="AO18" i="26" a="1"/>
  <c r="AO18" i="26" s="1"/>
  <c r="AO20" i="26" a="1"/>
  <c r="AO20" i="26" s="1"/>
  <c r="AP8" i="26" a="1"/>
  <c r="AP8" i="26" s="1"/>
  <c r="AO22" i="26" a="1"/>
  <c r="AO22" i="26" s="1"/>
  <c r="AO21" i="26" a="1"/>
  <c r="AO21" i="26" s="1"/>
  <c r="AO23" i="26" a="1"/>
  <c r="AO23" i="26" s="1"/>
  <c r="AO24" i="26" a="1"/>
  <c r="AO24" i="26" s="1"/>
  <c r="AO25" i="26" a="1"/>
  <c r="AO25" i="26" s="1"/>
  <c r="AO26" i="26" a="1"/>
  <c r="AO26" i="26" s="1"/>
  <c r="AO27" i="26" a="1"/>
  <c r="AO27" i="26" s="1"/>
  <c r="AO28" i="26" a="1"/>
  <c r="AO28" i="26" s="1"/>
  <c r="AO29" i="26" a="1"/>
  <c r="AO29" i="26" s="1"/>
  <c r="AO30" i="26" a="1"/>
  <c r="AO30" i="26" s="1"/>
  <c r="AO31" i="26" a="1"/>
  <c r="AO31" i="26" s="1"/>
  <c r="AO32" i="26" a="1"/>
  <c r="AO32" i="26" s="1"/>
  <c r="AO33" i="26" a="1"/>
  <c r="AO33" i="26" s="1"/>
  <c r="AO34" i="26" a="1"/>
  <c r="AO34" i="26" s="1"/>
  <c r="AO35" i="26" a="1"/>
  <c r="AO35" i="26" s="1"/>
  <c r="AO36" i="26" a="1"/>
  <c r="AO36" i="26" s="1"/>
  <c r="AO37" i="26" a="1"/>
  <c r="AO37" i="26" s="1"/>
  <c r="AS8" i="25" l="1" a="1"/>
  <c r="AS8" i="25" s="1"/>
  <c r="AS34" i="25" s="1" a="1"/>
  <c r="AS34" i="25" s="1"/>
  <c r="AR60" i="25"/>
  <c r="AR31" i="25" a="1"/>
  <c r="AR31" i="25" s="1"/>
  <c r="AR25" i="25" a="1"/>
  <c r="AR25" i="25" s="1"/>
  <c r="AR19" i="25" a="1"/>
  <c r="AR19" i="25" s="1"/>
  <c r="AR14" i="25" a="1"/>
  <c r="AR14" i="25" s="1"/>
  <c r="AR61" i="25"/>
  <c r="AR28" i="25" a="1"/>
  <c r="AR28" i="25" s="1"/>
  <c r="AR22" i="25" a="1"/>
  <c r="AR22" i="25" s="1"/>
  <c r="AR12" i="25" a="1"/>
  <c r="AR12" i="25" s="1"/>
  <c r="AR27" i="25" a="1"/>
  <c r="AR27" i="25" s="1"/>
  <c r="AR21" i="25" a="1"/>
  <c r="AR21" i="25" s="1"/>
  <c r="AR10" i="25" a="1"/>
  <c r="AR10" i="25" s="1"/>
  <c r="AR34" i="25" a="1"/>
  <c r="AR34" i="25" s="1"/>
  <c r="AR32" i="25" a="1"/>
  <c r="AR32" i="25" s="1"/>
  <c r="AR26" i="25" a="1"/>
  <c r="AR26" i="25" s="1"/>
  <c r="AR20" i="25" a="1"/>
  <c r="AR20" i="25" s="1"/>
  <c r="AR30" i="25" a="1"/>
  <c r="AR30" i="25" s="1"/>
  <c r="AR24" i="25" a="1"/>
  <c r="AR24" i="25" s="1"/>
  <c r="AR17" i="25" a="1"/>
  <c r="AR17" i="25" s="1"/>
  <c r="AR13" i="25" a="1"/>
  <c r="AR13" i="25" s="1"/>
  <c r="AR9" i="25" a="1"/>
  <c r="AR9" i="25" s="1"/>
  <c r="AR29" i="25" a="1"/>
  <c r="AR29" i="25" s="1"/>
  <c r="AR23" i="25" a="1"/>
  <c r="AR23" i="25" s="1"/>
  <c r="AR18" i="25" a="1"/>
  <c r="AR18" i="25" s="1"/>
  <c r="AR11" i="25" a="1"/>
  <c r="AR11" i="25" s="1"/>
  <c r="AR33" i="25" a="1"/>
  <c r="AR33" i="25" s="1"/>
  <c r="AR16" i="25" a="1"/>
  <c r="AR16" i="25" s="1"/>
  <c r="AN37" i="24" a="1"/>
  <c r="AN37" i="24" s="1"/>
  <c r="Z37" i="24" a="1"/>
  <c r="Z37" i="24" s="1"/>
  <c r="P37" i="24" a="1"/>
  <c r="P37" i="24" s="1"/>
  <c r="T37" i="24" a="1"/>
  <c r="T37" i="24" s="1"/>
  <c r="M37" i="24" a="1"/>
  <c r="M37" i="24" s="1"/>
  <c r="AF37" i="24" a="1"/>
  <c r="AF37" i="24" s="1"/>
  <c r="AB37" i="24" a="1"/>
  <c r="AB37" i="24" s="1"/>
  <c r="AC37" i="24" a="1"/>
  <c r="AC37" i="24" s="1"/>
  <c r="X37" i="24" a="1"/>
  <c r="X37" i="24" s="1"/>
  <c r="L38" i="24" a="1"/>
  <c r="L38" i="24" s="1"/>
  <c r="N38" i="24" s="1" a="1"/>
  <c r="N38" i="24" s="1"/>
  <c r="AH37" i="24" a="1"/>
  <c r="AH37" i="24" s="1"/>
  <c r="Y37" i="24" a="1"/>
  <c r="Y37" i="24" s="1"/>
  <c r="V37" i="24" a="1"/>
  <c r="V37" i="24" s="1"/>
  <c r="U37" i="24" a="1"/>
  <c r="U37" i="24" s="1"/>
  <c r="AK37" i="24" a="1"/>
  <c r="AK37" i="24" s="1"/>
  <c r="AG37" i="24" a="1"/>
  <c r="AG37" i="24" s="1"/>
  <c r="R37" i="24" a="1"/>
  <c r="R37" i="24" s="1"/>
  <c r="AJ37" i="24" a="1"/>
  <c r="AJ37" i="24" s="1"/>
  <c r="W37" i="24" a="1"/>
  <c r="W37" i="24" s="1"/>
  <c r="AE37" i="24" a="1"/>
  <c r="AE37" i="24" s="1"/>
  <c r="AD37" i="24" a="1"/>
  <c r="AD37" i="24" s="1"/>
  <c r="S37" i="24" a="1"/>
  <c r="S37" i="24" s="1"/>
  <c r="AM37" i="24" a="1"/>
  <c r="AM37" i="24" s="1"/>
  <c r="AI37" i="24" a="1"/>
  <c r="AI37" i="24" s="1"/>
  <c r="AL37" i="24" a="1"/>
  <c r="AL37" i="24" s="1"/>
  <c r="Q37" i="24" a="1"/>
  <c r="Q37" i="24" s="1"/>
  <c r="AA37" i="24" a="1"/>
  <c r="AA37" i="24" s="1"/>
  <c r="N37" i="24" a="1"/>
  <c r="N37" i="24" s="1"/>
  <c r="AN63" i="24"/>
  <c r="AN62" i="24"/>
  <c r="C24" i="39"/>
  <c r="A24" i="39" s="1"/>
  <c r="F362" i="22"/>
  <c r="AL9" i="38"/>
  <c r="AL10" i="38"/>
  <c r="AL60" i="38"/>
  <c r="AL61" i="38"/>
  <c r="AL11" i="38"/>
  <c r="AL12" i="38"/>
  <c r="AL13" i="38"/>
  <c r="AL14" i="38"/>
  <c r="AL15" i="38"/>
  <c r="AL16" i="38"/>
  <c r="AL17" i="38"/>
  <c r="AL18" i="38"/>
  <c r="AM8" i="38" a="1"/>
  <c r="AM8" i="38" s="1"/>
  <c r="AM36" i="38" s="1"/>
  <c r="AL19" i="38"/>
  <c r="AL20" i="38"/>
  <c r="AL21" i="38"/>
  <c r="AL22" i="38"/>
  <c r="AL23" i="38"/>
  <c r="AL24" i="38"/>
  <c r="AL25" i="38"/>
  <c r="AL26" i="38"/>
  <c r="AL27" i="38"/>
  <c r="AL28" i="38"/>
  <c r="AL29" i="38"/>
  <c r="AL30" i="38"/>
  <c r="AL31" i="38"/>
  <c r="AL32" i="38"/>
  <c r="AL33" i="38"/>
  <c r="AL34" i="38"/>
  <c r="AP9" i="26" a="1"/>
  <c r="AP9" i="26" s="1"/>
  <c r="AP10" i="26" a="1"/>
  <c r="AP10" i="26" s="1"/>
  <c r="AP60" i="26"/>
  <c r="AP61" i="26"/>
  <c r="AP12" i="26" a="1"/>
  <c r="AP12" i="26" s="1"/>
  <c r="AP13" i="26" a="1"/>
  <c r="AP13" i="26" s="1"/>
  <c r="AP11" i="26" a="1"/>
  <c r="AP11" i="26" s="1"/>
  <c r="AP15" i="26" a="1"/>
  <c r="AP15" i="26" s="1"/>
  <c r="AP14" i="26" a="1"/>
  <c r="AP14" i="26" s="1"/>
  <c r="AP16" i="26" a="1"/>
  <c r="AP16" i="26" s="1"/>
  <c r="AP17" i="26" a="1"/>
  <c r="AP17" i="26" s="1"/>
  <c r="AP18" i="26" a="1"/>
  <c r="AP18" i="26" s="1"/>
  <c r="AP19" i="26" a="1"/>
  <c r="AP19" i="26" s="1"/>
  <c r="AQ8" i="26" a="1"/>
  <c r="AQ8" i="26" s="1"/>
  <c r="AQ39" i="26" s="1" a="1"/>
  <c r="AQ39" i="26" s="1"/>
  <c r="AP20" i="26" a="1"/>
  <c r="AP20" i="26" s="1"/>
  <c r="AP21" i="26" a="1"/>
  <c r="AP21" i="26" s="1"/>
  <c r="AP22" i="26" a="1"/>
  <c r="AP22" i="26" s="1"/>
  <c r="AP23" i="26" a="1"/>
  <c r="AP23" i="26" s="1"/>
  <c r="AP24" i="26" a="1"/>
  <c r="AP24" i="26" s="1"/>
  <c r="AP25" i="26" a="1"/>
  <c r="AP25" i="26" s="1"/>
  <c r="AP26" i="26" a="1"/>
  <c r="AP26" i="26" s="1"/>
  <c r="AP27" i="26" a="1"/>
  <c r="AP27" i="26" s="1"/>
  <c r="AP28" i="26" a="1"/>
  <c r="AP28" i="26" s="1"/>
  <c r="AP29" i="26" a="1"/>
  <c r="AP29" i="26" s="1"/>
  <c r="AP30" i="26" a="1"/>
  <c r="AP30" i="26" s="1"/>
  <c r="AP31" i="26" a="1"/>
  <c r="AP31" i="26" s="1"/>
  <c r="AP32" i="26" a="1"/>
  <c r="AP32" i="26" s="1"/>
  <c r="AP33" i="26" a="1"/>
  <c r="AP33" i="26" s="1"/>
  <c r="AP34" i="26" a="1"/>
  <c r="AP34" i="26" s="1"/>
  <c r="AP35" i="26" a="1"/>
  <c r="AP35" i="26" s="1"/>
  <c r="AP36" i="26" a="1"/>
  <c r="AP36" i="26" s="1"/>
  <c r="AP37" i="26" a="1"/>
  <c r="AP37" i="26" s="1"/>
  <c r="AP38" i="26" a="1"/>
  <c r="AP38" i="26" s="1"/>
  <c r="R35" i="25" a="1"/>
  <c r="R35" i="25" s="1"/>
  <c r="P35" i="25" a="1"/>
  <c r="P35" i="25" s="1"/>
  <c r="T35" i="25" a="1"/>
  <c r="T35" i="25" s="1"/>
  <c r="Q35" i="25" a="1"/>
  <c r="Q35" i="25" s="1"/>
  <c r="S35" i="25" a="1"/>
  <c r="S35" i="25" s="1"/>
  <c r="U35" i="25" a="1"/>
  <c r="U35" i="25" s="1"/>
  <c r="W35" i="25" a="1"/>
  <c r="W35" i="25" s="1"/>
  <c r="O35" i="25" a="1"/>
  <c r="O35" i="25" s="1"/>
  <c r="V35" i="25" a="1"/>
  <c r="V35" i="25" s="1"/>
  <c r="X35" i="25" a="1"/>
  <c r="X35" i="25" s="1"/>
  <c r="Z35" i="25" a="1"/>
  <c r="Z35" i="25" s="1"/>
  <c r="AA35" i="25" a="1"/>
  <c r="AA35" i="25" s="1"/>
  <c r="Y35" i="25" a="1"/>
  <c r="Y35" i="25" s="1"/>
  <c r="AB35" i="25" a="1"/>
  <c r="AB35" i="25" s="1"/>
  <c r="AD35" i="25" a="1"/>
  <c r="AD35" i="25" s="1"/>
  <c r="AC35" i="25" a="1"/>
  <c r="AC35" i="25" s="1"/>
  <c r="AE35" i="25" a="1"/>
  <c r="AE35" i="25" s="1"/>
  <c r="AH35" i="25" a="1"/>
  <c r="AH35" i="25" s="1"/>
  <c r="AF35" i="25" a="1"/>
  <c r="AF35" i="25" s="1"/>
  <c r="AG35" i="25" a="1"/>
  <c r="AG35" i="25" s="1"/>
  <c r="AI35" i="25" a="1"/>
  <c r="AI35" i="25" s="1"/>
  <c r="AK35" i="25" a="1"/>
  <c r="AK35" i="25" s="1"/>
  <c r="AJ35" i="25" a="1"/>
  <c r="AJ35" i="25" s="1"/>
  <c r="AL35" i="25" a="1"/>
  <c r="AL35" i="25" s="1"/>
  <c r="AN35" i="25" a="1"/>
  <c r="AN35" i="25" s="1"/>
  <c r="AP35" i="25" a="1"/>
  <c r="AP35" i="25" s="1"/>
  <c r="AM35" i="25" a="1"/>
  <c r="AM35" i="25" s="1"/>
  <c r="AO35" i="25" a="1"/>
  <c r="AO35" i="25" s="1"/>
  <c r="AR35" i="25" a="1"/>
  <c r="AR35" i="25" s="1"/>
  <c r="AQ35" i="25" a="1"/>
  <c r="AQ35" i="25" s="1"/>
  <c r="N36" i="25" a="1"/>
  <c r="N36" i="25" s="1"/>
  <c r="AI36" i="38"/>
  <c r="S36" i="38"/>
  <c r="L36" i="38"/>
  <c r="O36" i="38"/>
  <c r="U36" i="38"/>
  <c r="AE36" i="38"/>
  <c r="Y36" i="38"/>
  <c r="N36" i="38"/>
  <c r="AL36" i="38"/>
  <c r="M36" i="38"/>
  <c r="AG36" i="38"/>
  <c r="AA36" i="38"/>
  <c r="AF36" i="38"/>
  <c r="R36" i="38"/>
  <c r="AC36" i="38"/>
  <c r="Q36" i="38"/>
  <c r="AD36" i="38"/>
  <c r="AJ36" i="38"/>
  <c r="AB36" i="38"/>
  <c r="T36" i="38"/>
  <c r="V36" i="38"/>
  <c r="AK36" i="38"/>
  <c r="Z36" i="38"/>
  <c r="X36" i="38"/>
  <c r="W36" i="38"/>
  <c r="AH36" i="38"/>
  <c r="P36" i="38"/>
  <c r="K37" i="38" a="1"/>
  <c r="K37" i="38" s="1"/>
  <c r="AO60" i="24"/>
  <c r="AO61" i="24"/>
  <c r="AO9" i="24" a="1"/>
  <c r="AO9" i="24" s="1"/>
  <c r="AO10" i="24" a="1"/>
  <c r="AO10" i="24" s="1"/>
  <c r="AO11" i="24" a="1"/>
  <c r="AO11" i="24" s="1"/>
  <c r="AO13" i="24" a="1"/>
  <c r="AO13" i="24" s="1"/>
  <c r="AO12" i="24" a="1"/>
  <c r="AO12" i="24" s="1"/>
  <c r="AO14" i="24" a="1"/>
  <c r="AO14" i="24" s="1"/>
  <c r="AO16" i="24" a="1"/>
  <c r="AO16" i="24" s="1"/>
  <c r="AO17" i="24" a="1"/>
  <c r="AO17" i="24" s="1"/>
  <c r="AO15" i="24" a="1"/>
  <c r="AO15" i="24" s="1"/>
  <c r="AO18" i="24" a="1"/>
  <c r="AO18" i="24" s="1"/>
  <c r="AO19" i="24" a="1"/>
  <c r="AO19" i="24" s="1"/>
  <c r="AP8" i="24" a="1"/>
  <c r="AP8" i="24" s="1"/>
  <c r="AO21" i="24" a="1"/>
  <c r="AO21" i="24" s="1"/>
  <c r="AO20" i="24" a="1"/>
  <c r="AO20" i="24" s="1"/>
  <c r="AO22" i="24" a="1"/>
  <c r="AO22" i="24" s="1"/>
  <c r="AO23" i="24" a="1"/>
  <c r="AO23" i="24" s="1"/>
  <c r="AO24" i="24" a="1"/>
  <c r="AO24" i="24" s="1"/>
  <c r="AO25" i="24" a="1"/>
  <c r="AO25" i="24" s="1"/>
  <c r="AO26" i="24" a="1"/>
  <c r="AO26" i="24" s="1"/>
  <c r="AO27" i="24" a="1"/>
  <c r="AO27" i="24" s="1"/>
  <c r="AO28" i="24" a="1"/>
  <c r="AO28" i="24" s="1"/>
  <c r="AO29" i="24" a="1"/>
  <c r="AO29" i="24" s="1"/>
  <c r="AO30" i="24" a="1"/>
  <c r="AO30" i="24" s="1"/>
  <c r="AO31" i="24" a="1"/>
  <c r="AO31" i="24" s="1"/>
  <c r="AO32" i="24" a="1"/>
  <c r="AO32" i="24" s="1"/>
  <c r="AO33" i="24" a="1"/>
  <c r="AO33" i="24" s="1"/>
  <c r="AO34" i="24" a="1"/>
  <c r="AO34" i="24" s="1"/>
  <c r="AO35" i="24" a="1"/>
  <c r="AO35" i="24" s="1"/>
  <c r="AO36" i="24" a="1"/>
  <c r="AO36" i="24" s="1"/>
  <c r="AO37" i="24" a="1"/>
  <c r="AO37" i="24" s="1"/>
  <c r="AO39" i="26" a="1"/>
  <c r="AO39" i="26" s="1"/>
  <c r="AN39" i="26" a="1"/>
  <c r="AN39" i="26" s="1"/>
  <c r="N39" i="26" a="1"/>
  <c r="N39" i="26" s="1"/>
  <c r="AJ39" i="26" a="1"/>
  <c r="AJ39" i="26" s="1"/>
  <c r="AH39" i="26" a="1"/>
  <c r="AH39" i="26" s="1"/>
  <c r="T39" i="26" a="1"/>
  <c r="T39" i="26" s="1"/>
  <c r="V39" i="26" a="1"/>
  <c r="V39" i="26" s="1"/>
  <c r="Q39" i="26" a="1"/>
  <c r="Q39" i="26" s="1"/>
  <c r="AG39" i="26" a="1"/>
  <c r="AG39" i="26" s="1"/>
  <c r="S39" i="26" a="1"/>
  <c r="S39" i="26" s="1"/>
  <c r="AI39" i="26" a="1"/>
  <c r="AI39" i="26" s="1"/>
  <c r="O39" i="26" a="1"/>
  <c r="O39" i="26" s="1"/>
  <c r="Z39" i="26" a="1"/>
  <c r="Z39" i="26" s="1"/>
  <c r="AK39" i="26" a="1"/>
  <c r="AK39" i="26" s="1"/>
  <c r="AC39" i="26" a="1"/>
  <c r="AC39" i="26" s="1"/>
  <c r="M39" i="26" a="1"/>
  <c r="M39" i="26" s="1"/>
  <c r="AM39" i="26" a="1"/>
  <c r="AM39" i="26" s="1"/>
  <c r="AF39" i="26" a="1"/>
  <c r="AF39" i="26" s="1"/>
  <c r="AD39" i="26" a="1"/>
  <c r="AD39" i="26" s="1"/>
  <c r="W39" i="26" a="1"/>
  <c r="W39" i="26" s="1"/>
  <c r="AA39" i="26" a="1"/>
  <c r="AA39" i="26" s="1"/>
  <c r="AE39" i="26" a="1"/>
  <c r="AE39" i="26" s="1"/>
  <c r="R39" i="26" a="1"/>
  <c r="R39" i="26" s="1"/>
  <c r="Y39" i="26" a="1"/>
  <c r="Y39" i="26" s="1"/>
  <c r="AP39" i="26" a="1"/>
  <c r="AP39" i="26" s="1"/>
  <c r="X39" i="26" a="1"/>
  <c r="X39" i="26" s="1"/>
  <c r="P39" i="26" a="1"/>
  <c r="P39" i="26" s="1"/>
  <c r="AB39" i="26" a="1"/>
  <c r="AB39" i="26" s="1"/>
  <c r="U39" i="26" a="1"/>
  <c r="U39" i="26" s="1"/>
  <c r="AL39" i="26" a="1"/>
  <c r="AL39" i="26" s="1"/>
  <c r="L40" i="26" a="1"/>
  <c r="L40" i="26" s="1"/>
  <c r="AS28" i="25" l="1" a="1"/>
  <c r="AS28" i="25" s="1"/>
  <c r="AS12" i="25" a="1"/>
  <c r="AS12" i="25" s="1"/>
  <c r="AS33" i="25" a="1"/>
  <c r="AS33" i="25" s="1"/>
  <c r="AS21" i="25" a="1"/>
  <c r="AS21" i="25" s="1"/>
  <c r="AS10" i="25" a="1"/>
  <c r="AS10" i="25" s="1"/>
  <c r="AS32" i="25" a="1"/>
  <c r="AS32" i="25" s="1"/>
  <c r="AS15" i="25" a="1"/>
  <c r="AS15" i="25" s="1"/>
  <c r="AS31" i="25" a="1"/>
  <c r="AS31" i="25" s="1"/>
  <c r="AS25" i="25" a="1"/>
  <c r="AS25" i="25" s="1"/>
  <c r="AS14" i="25" a="1"/>
  <c r="AS14" i="25" s="1"/>
  <c r="AS61" i="25"/>
  <c r="AS30" i="25" a="1"/>
  <c r="AS30" i="25" s="1"/>
  <c r="AS24" i="25" a="1"/>
  <c r="AS24" i="25" s="1"/>
  <c r="AS18" i="25" a="1"/>
  <c r="AS18" i="25" s="1"/>
  <c r="AS13" i="25" a="1"/>
  <c r="AS13" i="25" s="1"/>
  <c r="AS60" i="25"/>
  <c r="AT8" i="25" a="1"/>
  <c r="AT8" i="25" s="1"/>
  <c r="AT60" i="25" s="1"/>
  <c r="AS27" i="25" a="1"/>
  <c r="AS27" i="25" s="1"/>
  <c r="AS16" i="25" a="1"/>
  <c r="AS16" i="25" s="1"/>
  <c r="AS35" i="25" a="1"/>
  <c r="AS35" i="25" s="1"/>
  <c r="AS26" i="25" a="1"/>
  <c r="AS26" i="25" s="1"/>
  <c r="AS20" i="25" a="1"/>
  <c r="AS20" i="25" s="1"/>
  <c r="AS9" i="25" a="1"/>
  <c r="AS9" i="25" s="1"/>
  <c r="AS19" i="25" a="1"/>
  <c r="AS19" i="25" s="1"/>
  <c r="AS29" i="25" a="1"/>
  <c r="AS29" i="25" s="1"/>
  <c r="AS23" i="25" a="1"/>
  <c r="AS23" i="25" s="1"/>
  <c r="AS17" i="25" a="1"/>
  <c r="AS17" i="25" s="1"/>
  <c r="AS11" i="25" a="1"/>
  <c r="AS11" i="25" s="1"/>
  <c r="AS22" i="25" a="1"/>
  <c r="AS22" i="25" s="1"/>
  <c r="AJ38" i="24" a="1"/>
  <c r="AJ38" i="24" s="1"/>
  <c r="AC38" i="24" a="1"/>
  <c r="AC38" i="24" s="1"/>
  <c r="Z38" i="24" a="1"/>
  <c r="Z38" i="24" s="1"/>
  <c r="R38" i="24" a="1"/>
  <c r="R38" i="24" s="1"/>
  <c r="AE38" i="24" a="1"/>
  <c r="AE38" i="24" s="1"/>
  <c r="AB38" i="24" a="1"/>
  <c r="AB38" i="24" s="1"/>
  <c r="Y38" i="24" a="1"/>
  <c r="Y38" i="24" s="1"/>
  <c r="AF38" i="24" a="1"/>
  <c r="AF38" i="24" s="1"/>
  <c r="U38" i="24" a="1"/>
  <c r="U38" i="24" s="1"/>
  <c r="AI38" i="24" a="1"/>
  <c r="AI38" i="24" s="1"/>
  <c r="AL38" i="24" a="1"/>
  <c r="AL38" i="24" s="1"/>
  <c r="AA38" i="24" a="1"/>
  <c r="AA38" i="24" s="1"/>
  <c r="P38" i="24" a="1"/>
  <c r="P38" i="24" s="1"/>
  <c r="Q38" i="24" a="1"/>
  <c r="Q38" i="24" s="1"/>
  <c r="AO38" i="24" a="1"/>
  <c r="AO38" i="24" s="1"/>
  <c r="X38" i="24" a="1"/>
  <c r="X38" i="24" s="1"/>
  <c r="AG38" i="24" a="1"/>
  <c r="AG38" i="24" s="1"/>
  <c r="T38" i="24" a="1"/>
  <c r="T38" i="24" s="1"/>
  <c r="S38" i="24" a="1"/>
  <c r="S38" i="24" s="1"/>
  <c r="V38" i="24" a="1"/>
  <c r="V38" i="24" s="1"/>
  <c r="AK38" i="24" a="1"/>
  <c r="AK38" i="24" s="1"/>
  <c r="AN38" i="24" a="1"/>
  <c r="AN38" i="24" s="1"/>
  <c r="W38" i="24" a="1"/>
  <c r="W38" i="24" s="1"/>
  <c r="O38" i="24" a="1"/>
  <c r="O38" i="24" s="1"/>
  <c r="M38" i="24" a="1"/>
  <c r="M38" i="24" s="1"/>
  <c r="L39" i="24" a="1"/>
  <c r="L39" i="24" s="1"/>
  <c r="N39" i="24" s="1" a="1"/>
  <c r="N39" i="24" s="1"/>
  <c r="AH38" i="24" a="1"/>
  <c r="AH38" i="24" s="1"/>
  <c r="AM38" i="24" a="1"/>
  <c r="AM38" i="24" s="1"/>
  <c r="AD38" i="24" a="1"/>
  <c r="AD38" i="24" s="1"/>
  <c r="AP60" i="24"/>
  <c r="AP61" i="24"/>
  <c r="AP9" i="24" a="1"/>
  <c r="AP9" i="24" s="1"/>
  <c r="AP10" i="24" a="1"/>
  <c r="AP10" i="24" s="1"/>
  <c r="AP11" i="24" a="1"/>
  <c r="AP11" i="24" s="1"/>
  <c r="AP13" i="24" a="1"/>
  <c r="AP13" i="24" s="1"/>
  <c r="AP12" i="24" a="1"/>
  <c r="AP12" i="24" s="1"/>
  <c r="AP14" i="24" a="1"/>
  <c r="AP14" i="24" s="1"/>
  <c r="AP16" i="24" a="1"/>
  <c r="AP16" i="24" s="1"/>
  <c r="AP17" i="24" a="1"/>
  <c r="AP17" i="24" s="1"/>
  <c r="AP15" i="24" a="1"/>
  <c r="AP15" i="24" s="1"/>
  <c r="AP18" i="24" a="1"/>
  <c r="AP18" i="24" s="1"/>
  <c r="AP19" i="24" a="1"/>
  <c r="AP19" i="24" s="1"/>
  <c r="AQ8" i="24" a="1"/>
  <c r="AQ8" i="24" s="1"/>
  <c r="AP21" i="24" a="1"/>
  <c r="AP21" i="24" s="1"/>
  <c r="AP20" i="24" a="1"/>
  <c r="AP20" i="24" s="1"/>
  <c r="AP22" i="24" a="1"/>
  <c r="AP22" i="24" s="1"/>
  <c r="AP23" i="24" a="1"/>
  <c r="AP23" i="24" s="1"/>
  <c r="AP24" i="24" a="1"/>
  <c r="AP24" i="24" s="1"/>
  <c r="AP25" i="24" a="1"/>
  <c r="AP25" i="24" s="1"/>
  <c r="AP26" i="24" a="1"/>
  <c r="AP26" i="24" s="1"/>
  <c r="AP27" i="24" a="1"/>
  <c r="AP27" i="24" s="1"/>
  <c r="AP28" i="24" a="1"/>
  <c r="AP28" i="24" s="1"/>
  <c r="AP29" i="24" a="1"/>
  <c r="AP29" i="24" s="1"/>
  <c r="AP30" i="24" a="1"/>
  <c r="AP30" i="24" s="1"/>
  <c r="AP31" i="24" a="1"/>
  <c r="AP31" i="24" s="1"/>
  <c r="AP32" i="24" a="1"/>
  <c r="AP32" i="24" s="1"/>
  <c r="AP33" i="24" a="1"/>
  <c r="AP33" i="24" s="1"/>
  <c r="AP34" i="24" a="1"/>
  <c r="AP34" i="24" s="1"/>
  <c r="AP35" i="24" a="1"/>
  <c r="AP35" i="24" s="1"/>
  <c r="AP36" i="24" a="1"/>
  <c r="AP36" i="24" s="1"/>
  <c r="AP37" i="24" a="1"/>
  <c r="AP37" i="24" s="1"/>
  <c r="AP38" i="24" a="1"/>
  <c r="AP38" i="24" s="1"/>
  <c r="AG40" i="26" a="1"/>
  <c r="AG40" i="26" s="1"/>
  <c r="AQ40" i="26" a="1"/>
  <c r="AQ40" i="26" s="1"/>
  <c r="AO40" i="26" a="1"/>
  <c r="AO40" i="26" s="1"/>
  <c r="AN40" i="26" a="1"/>
  <c r="AN40" i="26" s="1"/>
  <c r="AA40" i="26" a="1"/>
  <c r="AA40" i="26" s="1"/>
  <c r="AJ40" i="26" a="1"/>
  <c r="AJ40" i="26" s="1"/>
  <c r="Q40" i="26" a="1"/>
  <c r="Q40" i="26" s="1"/>
  <c r="P40" i="26" a="1"/>
  <c r="P40" i="26" s="1"/>
  <c r="M40" i="26" a="1"/>
  <c r="M40" i="26" s="1"/>
  <c r="Y40" i="26" a="1"/>
  <c r="Y40" i="26" s="1"/>
  <c r="X40" i="26" a="1"/>
  <c r="X40" i="26" s="1"/>
  <c r="AB40" i="26" a="1"/>
  <c r="AB40" i="26" s="1"/>
  <c r="AC40" i="26" a="1"/>
  <c r="AC40" i="26" s="1"/>
  <c r="AL40" i="26" a="1"/>
  <c r="AL40" i="26" s="1"/>
  <c r="N40" i="26" a="1"/>
  <c r="N40" i="26" s="1"/>
  <c r="V40" i="26" a="1"/>
  <c r="V40" i="26" s="1"/>
  <c r="Z40" i="26" a="1"/>
  <c r="Z40" i="26" s="1"/>
  <c r="AP40" i="26" a="1"/>
  <c r="AP40" i="26" s="1"/>
  <c r="W40" i="26" a="1"/>
  <c r="W40" i="26" s="1"/>
  <c r="AE40" i="26" a="1"/>
  <c r="AE40" i="26" s="1"/>
  <c r="U40" i="26" a="1"/>
  <c r="U40" i="26" s="1"/>
  <c r="AI40" i="26" a="1"/>
  <c r="AI40" i="26" s="1"/>
  <c r="O40" i="26" a="1"/>
  <c r="O40" i="26" s="1"/>
  <c r="AK40" i="26" a="1"/>
  <c r="AK40" i="26" s="1"/>
  <c r="AF40" i="26" a="1"/>
  <c r="AF40" i="26" s="1"/>
  <c r="T40" i="26" a="1"/>
  <c r="T40" i="26" s="1"/>
  <c r="AD40" i="26" a="1"/>
  <c r="AD40" i="26" s="1"/>
  <c r="AH40" i="26" a="1"/>
  <c r="AH40" i="26" s="1"/>
  <c r="S40" i="26" a="1"/>
  <c r="S40" i="26" s="1"/>
  <c r="AM40" i="26" a="1"/>
  <c r="AM40" i="26" s="1"/>
  <c r="R40" i="26" a="1"/>
  <c r="R40" i="26" s="1"/>
  <c r="L41" i="26" a="1"/>
  <c r="L41" i="26" s="1"/>
  <c r="AO63" i="24"/>
  <c r="AO62" i="24"/>
  <c r="U37" i="38"/>
  <c r="N37" i="38"/>
  <c r="P37" i="38"/>
  <c r="V37" i="38"/>
  <c r="AH37" i="38"/>
  <c r="AE37" i="38"/>
  <c r="O37" i="38"/>
  <c r="AB37" i="38"/>
  <c r="AD37" i="38"/>
  <c r="Z37" i="38"/>
  <c r="AC37" i="38"/>
  <c r="M37" i="38"/>
  <c r="T37" i="38"/>
  <c r="AK37" i="38"/>
  <c r="AJ37" i="38"/>
  <c r="AI37" i="38"/>
  <c r="AF37" i="38"/>
  <c r="AG37" i="38"/>
  <c r="AA37" i="38"/>
  <c r="AM37" i="38"/>
  <c r="L37" i="38"/>
  <c r="AL37" i="38"/>
  <c r="R37" i="38"/>
  <c r="Q37" i="38"/>
  <c r="W37" i="38"/>
  <c r="S37" i="38"/>
  <c r="X37" i="38"/>
  <c r="Y37" i="38"/>
  <c r="K38" i="38" a="1"/>
  <c r="K38" i="38" s="1"/>
  <c r="AM9" i="38"/>
  <c r="AM10" i="38"/>
  <c r="AM60" i="38"/>
  <c r="AM61" i="38"/>
  <c r="AM12" i="38"/>
  <c r="AM11" i="38"/>
  <c r="AM13" i="38"/>
  <c r="AM14" i="38"/>
  <c r="AM15" i="38"/>
  <c r="AM16" i="38"/>
  <c r="AM17" i="38"/>
  <c r="AM18" i="38"/>
  <c r="AN8" i="38" a="1"/>
  <c r="AN8" i="38" s="1"/>
  <c r="AM19" i="38"/>
  <c r="AM20" i="38"/>
  <c r="AM21" i="38"/>
  <c r="AM22" i="38"/>
  <c r="AM23" i="38"/>
  <c r="AM24" i="38"/>
  <c r="AM25" i="38"/>
  <c r="AM26" i="38"/>
  <c r="AM27" i="38"/>
  <c r="AM28" i="38"/>
  <c r="AM29" i="38"/>
  <c r="AM30" i="38"/>
  <c r="AM31" i="38"/>
  <c r="AM32" i="38"/>
  <c r="AM33" i="38"/>
  <c r="AM34" i="38"/>
  <c r="AM35" i="38"/>
  <c r="AQ61" i="26"/>
  <c r="AQ60" i="26"/>
  <c r="AQ9" i="26" a="1"/>
  <c r="AQ9" i="26" s="1"/>
  <c r="AQ10" i="26" a="1"/>
  <c r="AQ10" i="26" s="1"/>
  <c r="AQ12" i="26" a="1"/>
  <c r="AQ12" i="26" s="1"/>
  <c r="AQ11" i="26" a="1"/>
  <c r="AQ11" i="26" s="1"/>
  <c r="AQ13" i="26" a="1"/>
  <c r="AQ13" i="26" s="1"/>
  <c r="AQ15" i="26" a="1"/>
  <c r="AQ15" i="26" s="1"/>
  <c r="AQ14" i="26" a="1"/>
  <c r="AQ14" i="26" s="1"/>
  <c r="AQ16" i="26" a="1"/>
  <c r="AQ16" i="26" s="1"/>
  <c r="AQ17" i="26" a="1"/>
  <c r="AQ17" i="26" s="1"/>
  <c r="AQ19" i="26" a="1"/>
  <c r="AQ19" i="26" s="1"/>
  <c r="AQ18" i="26" a="1"/>
  <c r="AQ18" i="26" s="1"/>
  <c r="AQ20" i="26" a="1"/>
  <c r="AQ20" i="26" s="1"/>
  <c r="AR8" i="26" a="1"/>
  <c r="AR8" i="26" s="1"/>
  <c r="AQ21" i="26" a="1"/>
  <c r="AQ21" i="26" s="1"/>
  <c r="AQ22" i="26" a="1"/>
  <c r="AQ22" i="26" s="1"/>
  <c r="AQ23" i="26" a="1"/>
  <c r="AQ23" i="26" s="1"/>
  <c r="AQ24" i="26" a="1"/>
  <c r="AQ24" i="26" s="1"/>
  <c r="AQ25" i="26" a="1"/>
  <c r="AQ25" i="26" s="1"/>
  <c r="AQ26" i="26" a="1"/>
  <c r="AQ26" i="26" s="1"/>
  <c r="AQ27" i="26" a="1"/>
  <c r="AQ27" i="26" s="1"/>
  <c r="AQ28" i="26" a="1"/>
  <c r="AQ28" i="26" s="1"/>
  <c r="AQ29" i="26" a="1"/>
  <c r="AQ29" i="26" s="1"/>
  <c r="AQ30" i="26" a="1"/>
  <c r="AQ30" i="26" s="1"/>
  <c r="AQ31" i="26" a="1"/>
  <c r="AQ31" i="26" s="1"/>
  <c r="AQ32" i="26" a="1"/>
  <c r="AQ32" i="26" s="1"/>
  <c r="AQ33" i="26" a="1"/>
  <c r="AQ33" i="26" s="1"/>
  <c r="AQ34" i="26" a="1"/>
  <c r="AQ34" i="26" s="1"/>
  <c r="AQ35" i="26" a="1"/>
  <c r="AQ35" i="26" s="1"/>
  <c r="AQ36" i="26" a="1"/>
  <c r="AQ36" i="26" s="1"/>
  <c r="AQ37" i="26" a="1"/>
  <c r="AQ37" i="26" s="1"/>
  <c r="AQ38" i="26" a="1"/>
  <c r="AQ38" i="26" s="1"/>
  <c r="C25" i="39"/>
  <c r="A25" i="39" s="1"/>
  <c r="F363" i="22"/>
  <c r="O36" i="25" a="1"/>
  <c r="O36" i="25" s="1"/>
  <c r="P36" i="25" a="1"/>
  <c r="P36" i="25" s="1"/>
  <c r="Q36" i="25" a="1"/>
  <c r="Q36" i="25" s="1"/>
  <c r="S36" i="25" a="1"/>
  <c r="S36" i="25" s="1"/>
  <c r="U36" i="25" a="1"/>
  <c r="U36" i="25" s="1"/>
  <c r="T36" i="25" a="1"/>
  <c r="T36" i="25" s="1"/>
  <c r="R36" i="25" a="1"/>
  <c r="R36" i="25" s="1"/>
  <c r="W36" i="25" a="1"/>
  <c r="W36" i="25" s="1"/>
  <c r="V36" i="25" a="1"/>
  <c r="V36" i="25" s="1"/>
  <c r="X36" i="25" a="1"/>
  <c r="X36" i="25" s="1"/>
  <c r="AC36" i="25" a="1"/>
  <c r="AC36" i="25" s="1"/>
  <c r="AA36" i="25" a="1"/>
  <c r="AA36" i="25" s="1"/>
  <c r="Y36" i="25" a="1"/>
  <c r="Y36" i="25" s="1"/>
  <c r="AB36" i="25" a="1"/>
  <c r="AB36" i="25" s="1"/>
  <c r="AD36" i="25" a="1"/>
  <c r="AD36" i="25" s="1"/>
  <c r="AH36" i="25" a="1"/>
  <c r="AH36" i="25" s="1"/>
  <c r="Z36" i="25" a="1"/>
  <c r="Z36" i="25" s="1"/>
  <c r="AF36" i="25" a="1"/>
  <c r="AF36" i="25" s="1"/>
  <c r="AE36" i="25" a="1"/>
  <c r="AE36" i="25" s="1"/>
  <c r="AI36" i="25" a="1"/>
  <c r="AI36" i="25" s="1"/>
  <c r="AK36" i="25" a="1"/>
  <c r="AK36" i="25" s="1"/>
  <c r="AG36" i="25" a="1"/>
  <c r="AG36" i="25" s="1"/>
  <c r="AM36" i="25" a="1"/>
  <c r="AM36" i="25" s="1"/>
  <c r="AP36" i="25" a="1"/>
  <c r="AP36" i="25" s="1"/>
  <c r="AJ36" i="25" a="1"/>
  <c r="AJ36" i="25" s="1"/>
  <c r="AN36" i="25" a="1"/>
  <c r="AN36" i="25" s="1"/>
  <c r="AL36" i="25" a="1"/>
  <c r="AL36" i="25" s="1"/>
  <c r="AO36" i="25" a="1"/>
  <c r="AO36" i="25" s="1"/>
  <c r="AQ36" i="25" a="1"/>
  <c r="AQ36" i="25" s="1"/>
  <c r="AR36" i="25" a="1"/>
  <c r="AR36" i="25" s="1"/>
  <c r="AS36" i="25" a="1"/>
  <c r="AS36" i="25" s="1"/>
  <c r="N37" i="25" a="1"/>
  <c r="N37" i="25" s="1"/>
  <c r="AT26" i="25" l="1" a="1"/>
  <c r="AT26" i="25" s="1"/>
  <c r="AT29" i="25" a="1"/>
  <c r="AT29" i="25" s="1"/>
  <c r="AT23" i="25" a="1"/>
  <c r="AT23" i="25" s="1"/>
  <c r="AT17" i="25" a="1"/>
  <c r="AT17" i="25" s="1"/>
  <c r="AT11" i="25" a="1"/>
  <c r="AT11" i="25" s="1"/>
  <c r="AT31" i="25" a="1"/>
  <c r="AT31" i="25" s="1"/>
  <c r="AT25" i="25" a="1"/>
  <c r="AT25" i="25" s="1"/>
  <c r="AT20" i="25" a="1"/>
  <c r="AT20" i="25" s="1"/>
  <c r="AT14" i="25" a="1"/>
  <c r="AT14" i="25" s="1"/>
  <c r="AT9" i="25" a="1"/>
  <c r="AT9" i="25" s="1"/>
  <c r="AT35" i="25" a="1"/>
  <c r="AT35" i="25" s="1"/>
  <c r="AT30" i="25" a="1"/>
  <c r="AT30" i="25" s="1"/>
  <c r="AT24" i="25" a="1"/>
  <c r="AT24" i="25" s="1"/>
  <c r="AT19" i="25" a="1"/>
  <c r="AT19" i="25" s="1"/>
  <c r="AT13" i="25" a="1"/>
  <c r="AT13" i="25" s="1"/>
  <c r="AT61" i="25"/>
  <c r="AT34" i="25" a="1"/>
  <c r="AT34" i="25" s="1"/>
  <c r="AT28" i="25" a="1"/>
  <c r="AT28" i="25" s="1"/>
  <c r="AT22" i="25" a="1"/>
  <c r="AT22" i="25" s="1"/>
  <c r="AT18" i="25" a="1"/>
  <c r="AT18" i="25" s="1"/>
  <c r="AT12" i="25" a="1"/>
  <c r="AT12" i="25" s="1"/>
  <c r="AT32" i="25" a="1"/>
  <c r="AT32" i="25" s="1"/>
  <c r="AT36" i="25" a="1"/>
  <c r="AT36" i="25" s="1"/>
  <c r="AT33" i="25" a="1"/>
  <c r="AT33" i="25" s="1"/>
  <c r="AT27" i="25" a="1"/>
  <c r="AT27" i="25" s="1"/>
  <c r="AT21" i="25" a="1"/>
  <c r="AT21" i="25" s="1"/>
  <c r="AT16" i="25" a="1"/>
  <c r="AT16" i="25" s="1"/>
  <c r="AT10" i="25" a="1"/>
  <c r="AT10" i="25" s="1"/>
  <c r="AU8" i="25" a="1"/>
  <c r="AU8" i="25" s="1"/>
  <c r="AU61" i="25" s="1"/>
  <c r="AT15" i="25" a="1"/>
  <c r="AT15" i="25" s="1"/>
  <c r="L40" i="24" a="1"/>
  <c r="L40" i="24" s="1"/>
  <c r="R40" i="24" s="1" a="1"/>
  <c r="R40" i="24" s="1"/>
  <c r="AG39" i="24" a="1"/>
  <c r="AG39" i="24" s="1"/>
  <c r="AD39" i="24" a="1"/>
  <c r="AD39" i="24" s="1"/>
  <c r="AP39" i="24" a="1"/>
  <c r="AP39" i="24" s="1"/>
  <c r="R39" i="24" a="1"/>
  <c r="R39" i="24" s="1"/>
  <c r="M39" i="24" a="1"/>
  <c r="M39" i="24" s="1"/>
  <c r="AH39" i="24" a="1"/>
  <c r="AH39" i="24" s="1"/>
  <c r="AC39" i="24" a="1"/>
  <c r="AC39" i="24" s="1"/>
  <c r="AA39" i="24" a="1"/>
  <c r="AA39" i="24" s="1"/>
  <c r="AI39" i="24" a="1"/>
  <c r="AI39" i="24" s="1"/>
  <c r="AF39" i="24" a="1"/>
  <c r="AF39" i="24" s="1"/>
  <c r="AN39" i="24" a="1"/>
  <c r="AN39" i="24" s="1"/>
  <c r="AB39" i="24" a="1"/>
  <c r="AB39" i="24" s="1"/>
  <c r="T39" i="24" a="1"/>
  <c r="T39" i="24" s="1"/>
  <c r="AE39" i="24" a="1"/>
  <c r="AE39" i="24" s="1"/>
  <c r="U39" i="24" a="1"/>
  <c r="U39" i="24" s="1"/>
  <c r="AO39" i="24" a="1"/>
  <c r="AO39" i="24" s="1"/>
  <c r="Y39" i="24" a="1"/>
  <c r="Y39" i="24" s="1"/>
  <c r="V39" i="24" a="1"/>
  <c r="V39" i="24" s="1"/>
  <c r="W39" i="24" a="1"/>
  <c r="W39" i="24" s="1"/>
  <c r="S39" i="24" a="1"/>
  <c r="S39" i="24" s="1"/>
  <c r="AM39" i="24" a="1"/>
  <c r="AM39" i="24" s="1"/>
  <c r="P39" i="24" a="1"/>
  <c r="P39" i="24" s="1"/>
  <c r="AK39" i="24" a="1"/>
  <c r="AK39" i="24" s="1"/>
  <c r="X39" i="24" a="1"/>
  <c r="X39" i="24" s="1"/>
  <c r="O39" i="24" a="1"/>
  <c r="O39" i="24" s="1"/>
  <c r="AQ39" i="24" a="1"/>
  <c r="AQ39" i="24" s="1"/>
  <c r="AL39" i="24" a="1"/>
  <c r="AL39" i="24" s="1"/>
  <c r="Z39" i="24" a="1"/>
  <c r="Z39" i="24" s="1"/>
  <c r="AJ39" i="24" a="1"/>
  <c r="AJ39" i="24" s="1"/>
  <c r="Q39" i="24" a="1"/>
  <c r="Q39" i="24" s="1"/>
  <c r="AN10" i="38"/>
  <c r="AN9" i="38"/>
  <c r="AN61" i="38"/>
  <c r="AN60" i="38"/>
  <c r="AN12" i="38"/>
  <c r="AN11" i="38"/>
  <c r="AN13" i="38"/>
  <c r="AN14" i="38"/>
  <c r="AN15" i="38"/>
  <c r="AN16" i="38"/>
  <c r="AN17" i="38"/>
  <c r="AO8" i="38" a="1"/>
  <c r="AO8" i="38" s="1"/>
  <c r="AN18" i="38"/>
  <c r="AN19" i="38"/>
  <c r="AN20" i="38"/>
  <c r="AN21" i="38"/>
  <c r="AN22" i="38"/>
  <c r="AN23" i="38"/>
  <c r="AN24" i="38"/>
  <c r="AN25" i="38"/>
  <c r="AN26" i="38"/>
  <c r="AN27" i="38"/>
  <c r="AN28" i="38"/>
  <c r="AN29" i="38"/>
  <c r="AN30" i="38"/>
  <c r="AN31" i="38"/>
  <c r="AN32" i="38"/>
  <c r="AN33" i="38"/>
  <c r="AN34" i="38"/>
  <c r="AN35" i="38"/>
  <c r="AN36" i="38"/>
  <c r="AP62" i="24"/>
  <c r="AP63" i="24"/>
  <c r="AR60" i="26"/>
  <c r="AR61" i="26"/>
  <c r="AR10" i="26" a="1"/>
  <c r="AR10" i="26" s="1"/>
  <c r="AR9" i="26" a="1"/>
  <c r="AR9" i="26" s="1"/>
  <c r="AR13" i="26" a="1"/>
  <c r="AR13" i="26" s="1"/>
  <c r="AR11" i="26" a="1"/>
  <c r="AR11" i="26" s="1"/>
  <c r="AR12" i="26" a="1"/>
  <c r="AR12" i="26" s="1"/>
  <c r="AR15" i="26" a="1"/>
  <c r="AR15" i="26" s="1"/>
  <c r="AR14" i="26" a="1"/>
  <c r="AR14" i="26" s="1"/>
  <c r="AR16" i="26" a="1"/>
  <c r="AR16" i="26" s="1"/>
  <c r="AR17" i="26" a="1"/>
  <c r="AR17" i="26" s="1"/>
  <c r="AR18" i="26" a="1"/>
  <c r="AR18" i="26" s="1"/>
  <c r="AR19" i="26" a="1"/>
  <c r="AR19" i="26" s="1"/>
  <c r="AS8" i="26" a="1"/>
  <c r="AS8" i="26" s="1"/>
  <c r="AS41" i="26" s="1" a="1"/>
  <c r="AS41" i="26" s="1"/>
  <c r="AR20" i="26" a="1"/>
  <c r="AR20" i="26" s="1"/>
  <c r="AR22" i="26" a="1"/>
  <c r="AR22" i="26" s="1"/>
  <c r="AR21" i="26" a="1"/>
  <c r="AR21" i="26" s="1"/>
  <c r="AR23" i="26" a="1"/>
  <c r="AR23" i="26" s="1"/>
  <c r="AR24" i="26" a="1"/>
  <c r="AR24" i="26" s="1"/>
  <c r="AR25" i="26" a="1"/>
  <c r="AR25" i="26" s="1"/>
  <c r="AR26" i="26" a="1"/>
  <c r="AR26" i="26" s="1"/>
  <c r="AR27" i="26" a="1"/>
  <c r="AR27" i="26" s="1"/>
  <c r="AR28" i="26" a="1"/>
  <c r="AR28" i="26" s="1"/>
  <c r="AR29" i="26" a="1"/>
  <c r="AR29" i="26" s="1"/>
  <c r="AR30" i="26" a="1"/>
  <c r="AR30" i="26" s="1"/>
  <c r="AR31" i="26" a="1"/>
  <c r="AR31" i="26" s="1"/>
  <c r="AR32" i="26" a="1"/>
  <c r="AR32" i="26" s="1"/>
  <c r="AR33" i="26" a="1"/>
  <c r="AR33" i="26" s="1"/>
  <c r="AR34" i="26" a="1"/>
  <c r="AR34" i="26" s="1"/>
  <c r="AR35" i="26" a="1"/>
  <c r="AR35" i="26" s="1"/>
  <c r="AR36" i="26" a="1"/>
  <c r="AR36" i="26" s="1"/>
  <c r="AR37" i="26" a="1"/>
  <c r="AR37" i="26" s="1"/>
  <c r="AR38" i="26" a="1"/>
  <c r="AR38" i="26" s="1"/>
  <c r="AR39" i="26" a="1"/>
  <c r="AR39" i="26" s="1"/>
  <c r="P37" i="25" a="1"/>
  <c r="P37" i="25" s="1"/>
  <c r="O37" i="25" a="1"/>
  <c r="O37" i="25" s="1"/>
  <c r="Q37" i="25" a="1"/>
  <c r="Q37" i="25" s="1"/>
  <c r="U37" i="25" a="1"/>
  <c r="U37" i="25" s="1"/>
  <c r="T37" i="25" a="1"/>
  <c r="T37" i="25" s="1"/>
  <c r="S37" i="25" a="1"/>
  <c r="S37" i="25" s="1"/>
  <c r="V37" i="25" a="1"/>
  <c r="V37" i="25" s="1"/>
  <c r="W37" i="25" a="1"/>
  <c r="W37" i="25" s="1"/>
  <c r="R37" i="25" a="1"/>
  <c r="R37" i="25" s="1"/>
  <c r="Y37" i="25" a="1"/>
  <c r="Y37" i="25" s="1"/>
  <c r="X37" i="25" a="1"/>
  <c r="X37" i="25" s="1"/>
  <c r="AD37" i="25" a="1"/>
  <c r="AD37" i="25" s="1"/>
  <c r="AC37" i="25" a="1"/>
  <c r="AC37" i="25" s="1"/>
  <c r="AA37" i="25" a="1"/>
  <c r="AA37" i="25" s="1"/>
  <c r="Z37" i="25" a="1"/>
  <c r="Z37" i="25" s="1"/>
  <c r="AB37" i="25" a="1"/>
  <c r="AB37" i="25" s="1"/>
  <c r="AF37" i="25" a="1"/>
  <c r="AF37" i="25" s="1"/>
  <c r="AE37" i="25" a="1"/>
  <c r="AE37" i="25" s="1"/>
  <c r="AI37" i="25" a="1"/>
  <c r="AI37" i="25" s="1"/>
  <c r="AG37" i="25" a="1"/>
  <c r="AG37" i="25" s="1"/>
  <c r="AK37" i="25" a="1"/>
  <c r="AK37" i="25" s="1"/>
  <c r="AM37" i="25" a="1"/>
  <c r="AM37" i="25" s="1"/>
  <c r="AH37" i="25" a="1"/>
  <c r="AH37" i="25" s="1"/>
  <c r="AO37" i="25" a="1"/>
  <c r="AO37" i="25" s="1"/>
  <c r="AP37" i="25" a="1"/>
  <c r="AP37" i="25" s="1"/>
  <c r="AL37" i="25" a="1"/>
  <c r="AL37" i="25" s="1"/>
  <c r="AJ37" i="25" a="1"/>
  <c r="AJ37" i="25" s="1"/>
  <c r="AN37" i="25" a="1"/>
  <c r="AN37" i="25" s="1"/>
  <c r="AQ37" i="25" a="1"/>
  <c r="AQ37" i="25" s="1"/>
  <c r="AT37" i="25" a="1"/>
  <c r="AT37" i="25" s="1"/>
  <c r="AR37" i="25" a="1"/>
  <c r="AR37" i="25" s="1"/>
  <c r="AS37" i="25" a="1"/>
  <c r="AS37" i="25" s="1"/>
  <c r="N38" i="25" a="1"/>
  <c r="N38" i="25" s="1"/>
  <c r="AN37" i="38"/>
  <c r="AJ38" i="38"/>
  <c r="AF38" i="38"/>
  <c r="AE38" i="38"/>
  <c r="AK38" i="38"/>
  <c r="AC38" i="38"/>
  <c r="AD38" i="38"/>
  <c r="R38" i="38"/>
  <c r="AM38" i="38"/>
  <c r="S38" i="38"/>
  <c r="W38" i="38"/>
  <c r="Z38" i="38"/>
  <c r="N38" i="38"/>
  <c r="P38" i="38"/>
  <c r="AB38" i="38"/>
  <c r="M38" i="38"/>
  <c r="T38" i="38"/>
  <c r="Y38" i="38"/>
  <c r="L38" i="38"/>
  <c r="AL38" i="38"/>
  <c r="AA38" i="38"/>
  <c r="V38" i="38"/>
  <c r="AI38" i="38"/>
  <c r="AG38" i="38"/>
  <c r="U38" i="38"/>
  <c r="X38" i="38"/>
  <c r="Q38" i="38"/>
  <c r="O38" i="38"/>
  <c r="AN38" i="38"/>
  <c r="AH38" i="38"/>
  <c r="K39" i="38" a="1"/>
  <c r="K39" i="38" s="1"/>
  <c r="C26" i="39"/>
  <c r="A26" i="39" s="1"/>
  <c r="F364" i="22"/>
  <c r="AR40" i="26" a="1"/>
  <c r="AR40" i="26" s="1"/>
  <c r="AK41" i="26" a="1"/>
  <c r="AK41" i="26" s="1"/>
  <c r="X41" i="26" a="1"/>
  <c r="X41" i="26" s="1"/>
  <c r="AI41" i="26" a="1"/>
  <c r="AI41" i="26" s="1"/>
  <c r="Q41" i="26" a="1"/>
  <c r="Q41" i="26" s="1"/>
  <c r="AA41" i="26" a="1"/>
  <c r="AA41" i="26" s="1"/>
  <c r="O41" i="26" a="1"/>
  <c r="O41" i="26" s="1"/>
  <c r="Y41" i="26" a="1"/>
  <c r="Y41" i="26" s="1"/>
  <c r="S41" i="26" a="1"/>
  <c r="S41" i="26" s="1"/>
  <c r="AC41" i="26" a="1"/>
  <c r="AC41" i="26" s="1"/>
  <c r="AR41" i="26" a="1"/>
  <c r="AR41" i="26" s="1"/>
  <c r="Z41" i="26" a="1"/>
  <c r="Z41" i="26" s="1"/>
  <c r="AG41" i="26" a="1"/>
  <c r="AG41" i="26" s="1"/>
  <c r="AP41" i="26" a="1"/>
  <c r="AP41" i="26" s="1"/>
  <c r="AD41" i="26" a="1"/>
  <c r="AD41" i="26" s="1"/>
  <c r="R41" i="26" a="1"/>
  <c r="R41" i="26" s="1"/>
  <c r="AH41" i="26" a="1"/>
  <c r="AH41" i="26" s="1"/>
  <c r="AQ41" i="26" a="1"/>
  <c r="AQ41" i="26" s="1"/>
  <c r="M41" i="26" a="1"/>
  <c r="M41" i="26" s="1"/>
  <c r="AJ41" i="26" a="1"/>
  <c r="AJ41" i="26" s="1"/>
  <c r="V41" i="26" a="1"/>
  <c r="V41" i="26" s="1"/>
  <c r="T41" i="26" a="1"/>
  <c r="T41" i="26" s="1"/>
  <c r="AM41" i="26" a="1"/>
  <c r="AM41" i="26" s="1"/>
  <c r="AL41" i="26" a="1"/>
  <c r="AL41" i="26" s="1"/>
  <c r="AN41" i="26" a="1"/>
  <c r="AN41" i="26" s="1"/>
  <c r="N41" i="26" a="1"/>
  <c r="N41" i="26" s="1"/>
  <c r="P41" i="26" a="1"/>
  <c r="P41" i="26" s="1"/>
  <c r="AF41" i="26" a="1"/>
  <c r="AF41" i="26" s="1"/>
  <c r="W41" i="26" a="1"/>
  <c r="W41" i="26" s="1"/>
  <c r="AE41" i="26" a="1"/>
  <c r="AE41" i="26" s="1"/>
  <c r="AB41" i="26" a="1"/>
  <c r="AB41" i="26" s="1"/>
  <c r="U41" i="26" a="1"/>
  <c r="U41" i="26" s="1"/>
  <c r="AO41" i="26" a="1"/>
  <c r="AO41" i="26" s="1"/>
  <c r="L42" i="26" a="1"/>
  <c r="L42" i="26" s="1"/>
  <c r="AQ61" i="24"/>
  <c r="AQ9" i="24" a="1"/>
  <c r="AQ9" i="24" s="1"/>
  <c r="AQ60" i="24"/>
  <c r="AQ10" i="24" a="1"/>
  <c r="AQ10" i="24" s="1"/>
  <c r="AQ11" i="24" a="1"/>
  <c r="AQ11" i="24" s="1"/>
  <c r="AQ12" i="24" a="1"/>
  <c r="AQ12" i="24" s="1"/>
  <c r="AQ13" i="24" a="1"/>
  <c r="AQ13" i="24" s="1"/>
  <c r="AQ14" i="24" a="1"/>
  <c r="AQ14" i="24" s="1"/>
  <c r="AQ17" i="24" a="1"/>
  <c r="AQ17" i="24" s="1"/>
  <c r="AQ16" i="24" a="1"/>
  <c r="AQ16" i="24" s="1"/>
  <c r="AQ15" i="24" a="1"/>
  <c r="AQ15" i="24" s="1"/>
  <c r="AQ19" i="24" a="1"/>
  <c r="AQ19" i="24" s="1"/>
  <c r="AQ18" i="24" a="1"/>
  <c r="AQ18" i="24" s="1"/>
  <c r="AQ20" i="24" a="1"/>
  <c r="AQ20" i="24" s="1"/>
  <c r="AR8" i="24" a="1"/>
  <c r="AR8" i="24" s="1"/>
  <c r="AQ21" i="24" a="1"/>
  <c r="AQ21" i="24" s="1"/>
  <c r="AQ22" i="24" a="1"/>
  <c r="AQ22" i="24" s="1"/>
  <c r="AQ23" i="24" a="1"/>
  <c r="AQ23" i="24" s="1"/>
  <c r="AQ24" i="24" a="1"/>
  <c r="AQ24" i="24" s="1"/>
  <c r="AQ25" i="24" a="1"/>
  <c r="AQ25" i="24" s="1"/>
  <c r="AQ26" i="24" a="1"/>
  <c r="AQ26" i="24" s="1"/>
  <c r="AQ27" i="24" a="1"/>
  <c r="AQ27" i="24" s="1"/>
  <c r="AQ28" i="24" a="1"/>
  <c r="AQ28" i="24" s="1"/>
  <c r="AQ29" i="24" a="1"/>
  <c r="AQ29" i="24" s="1"/>
  <c r="AQ30" i="24" a="1"/>
  <c r="AQ30" i="24" s="1"/>
  <c r="AQ31" i="24" a="1"/>
  <c r="AQ31" i="24" s="1"/>
  <c r="AQ32" i="24" a="1"/>
  <c r="AQ32" i="24" s="1"/>
  <c r="AQ33" i="24" a="1"/>
  <c r="AQ33" i="24" s="1"/>
  <c r="AQ34" i="24" a="1"/>
  <c r="AQ34" i="24" s="1"/>
  <c r="AQ35" i="24" a="1"/>
  <c r="AQ35" i="24" s="1"/>
  <c r="AQ36" i="24" a="1"/>
  <c r="AQ36" i="24" s="1"/>
  <c r="AQ37" i="24" a="1"/>
  <c r="AQ37" i="24" s="1"/>
  <c r="AQ38" i="24" a="1"/>
  <c r="AQ38" i="24" s="1"/>
  <c r="AV8" i="25" l="1" a="1"/>
  <c r="AV8" i="25" s="1"/>
  <c r="AV37" i="25" s="1" a="1"/>
  <c r="AV37" i="25" s="1"/>
  <c r="AU12" i="25" a="1"/>
  <c r="AU12" i="25" s="1"/>
  <c r="AU37" i="25" a="1"/>
  <c r="AU37" i="25" s="1"/>
  <c r="AU25" i="25" a="1"/>
  <c r="AU25" i="25" s="1"/>
  <c r="AU14" i="25" a="1"/>
  <c r="AU14" i="25" s="1"/>
  <c r="AU30" i="25" a="1"/>
  <c r="AU30" i="25" s="1"/>
  <c r="AU17" i="25" a="1"/>
  <c r="AU17" i="25" s="1"/>
  <c r="AU9" i="25" a="1"/>
  <c r="AU9" i="25" s="1"/>
  <c r="AU35" i="25" a="1"/>
  <c r="AU35" i="25" s="1"/>
  <c r="AU23" i="25" a="1"/>
  <c r="AU23" i="25" s="1"/>
  <c r="AU34" i="25" a="1"/>
  <c r="AU34" i="25" s="1"/>
  <c r="AU28" i="25" a="1"/>
  <c r="AU28" i="25" s="1"/>
  <c r="AU22" i="25" a="1"/>
  <c r="AU22" i="25" s="1"/>
  <c r="AU18" i="25" a="1"/>
  <c r="AU18" i="25" s="1"/>
  <c r="AU11" i="25" a="1"/>
  <c r="AU11" i="25" s="1"/>
  <c r="AU31" i="25" a="1"/>
  <c r="AU31" i="25" s="1"/>
  <c r="AU19" i="25" a="1"/>
  <c r="AU19" i="25" s="1"/>
  <c r="AU60" i="25"/>
  <c r="AU36" i="25" a="1"/>
  <c r="AU36" i="25" s="1"/>
  <c r="AU24" i="25" a="1"/>
  <c r="AU24" i="25" s="1"/>
  <c r="AU13" i="25" a="1"/>
  <c r="AU13" i="25" s="1"/>
  <c r="AU29" i="25" a="1"/>
  <c r="AU29" i="25" s="1"/>
  <c r="AU33" i="25" a="1"/>
  <c r="AU33" i="25" s="1"/>
  <c r="AU27" i="25" a="1"/>
  <c r="AU27" i="25" s="1"/>
  <c r="AU21" i="25" a="1"/>
  <c r="AU21" i="25" s="1"/>
  <c r="AU16" i="25" a="1"/>
  <c r="AU16" i="25" s="1"/>
  <c r="AU10" i="25" a="1"/>
  <c r="AU10" i="25" s="1"/>
  <c r="AU32" i="25" a="1"/>
  <c r="AU32" i="25" s="1"/>
  <c r="AU26" i="25" a="1"/>
  <c r="AU26" i="25" s="1"/>
  <c r="AU20" i="25" a="1"/>
  <c r="AU20" i="25" s="1"/>
  <c r="AU15" i="25" a="1"/>
  <c r="AU15" i="25" s="1"/>
  <c r="L41" i="24" a="1"/>
  <c r="L41" i="24" s="1"/>
  <c r="U41" i="24" s="1" a="1"/>
  <c r="U41" i="24" s="1"/>
  <c r="Z40" i="24" a="1"/>
  <c r="Z40" i="24" s="1"/>
  <c r="AQ40" i="24" a="1"/>
  <c r="AQ40" i="24" s="1"/>
  <c r="AC40" i="24" a="1"/>
  <c r="AC40" i="24" s="1"/>
  <c r="AF40" i="24" a="1"/>
  <c r="AF40" i="24" s="1"/>
  <c r="Y40" i="24" a="1"/>
  <c r="Y40" i="24" s="1"/>
  <c r="T40" i="24" a="1"/>
  <c r="T40" i="24" s="1"/>
  <c r="M40" i="24" a="1"/>
  <c r="M40" i="24" s="1"/>
  <c r="AR40" i="24" a="1"/>
  <c r="AR40" i="24" s="1"/>
  <c r="AI40" i="24" a="1"/>
  <c r="AI40" i="24" s="1"/>
  <c r="AE40" i="24" a="1"/>
  <c r="AE40" i="24" s="1"/>
  <c r="X40" i="24" a="1"/>
  <c r="X40" i="24" s="1"/>
  <c r="AP40" i="24" a="1"/>
  <c r="AP40" i="24" s="1"/>
  <c r="AD40" i="24" a="1"/>
  <c r="AD40" i="24" s="1"/>
  <c r="AH40" i="24" a="1"/>
  <c r="AH40" i="24" s="1"/>
  <c r="AA40" i="24" a="1"/>
  <c r="AA40" i="24" s="1"/>
  <c r="U40" i="24" a="1"/>
  <c r="U40" i="24" s="1"/>
  <c r="V40" i="24" a="1"/>
  <c r="V40" i="24" s="1"/>
  <c r="O40" i="24" a="1"/>
  <c r="O40" i="24" s="1"/>
  <c r="AL40" i="24" a="1"/>
  <c r="AL40" i="24" s="1"/>
  <c r="Q40" i="24" a="1"/>
  <c r="Q40" i="24" s="1"/>
  <c r="AG40" i="24" a="1"/>
  <c r="AG40" i="24" s="1"/>
  <c r="AN40" i="24" a="1"/>
  <c r="AN40" i="24" s="1"/>
  <c r="AB40" i="24" a="1"/>
  <c r="AB40" i="24" s="1"/>
  <c r="AO40" i="24" a="1"/>
  <c r="AO40" i="24" s="1"/>
  <c r="S40" i="24" a="1"/>
  <c r="S40" i="24" s="1"/>
  <c r="N40" i="24" a="1"/>
  <c r="N40" i="24" s="1"/>
  <c r="W40" i="24" a="1"/>
  <c r="W40" i="24" s="1"/>
  <c r="AK40" i="24" a="1"/>
  <c r="AK40" i="24" s="1"/>
  <c r="AM40" i="24" a="1"/>
  <c r="AM40" i="24" s="1"/>
  <c r="P40" i="24" a="1"/>
  <c r="P40" i="24" s="1"/>
  <c r="AJ40" i="24" a="1"/>
  <c r="AJ40" i="24" s="1"/>
  <c r="T42" i="26" a="1"/>
  <c r="T42" i="26" s="1"/>
  <c r="S42" i="26" a="1"/>
  <c r="S42" i="26" s="1"/>
  <c r="AH42" i="26" a="1"/>
  <c r="AH42" i="26" s="1"/>
  <c r="AQ42" i="26" a="1"/>
  <c r="AQ42" i="26" s="1"/>
  <c r="AP42" i="26" a="1"/>
  <c r="AP42" i="26" s="1"/>
  <c r="AE42" i="26" a="1"/>
  <c r="AE42" i="26" s="1"/>
  <c r="AO42" i="26" a="1"/>
  <c r="AO42" i="26" s="1"/>
  <c r="AN42" i="26" a="1"/>
  <c r="AN42" i="26" s="1"/>
  <c r="W42" i="26" a="1"/>
  <c r="W42" i="26" s="1"/>
  <c r="AG42" i="26" a="1"/>
  <c r="AG42" i="26" s="1"/>
  <c r="P42" i="26" a="1"/>
  <c r="P42" i="26" s="1"/>
  <c r="Z42" i="26" a="1"/>
  <c r="Z42" i="26" s="1"/>
  <c r="AI42" i="26" a="1"/>
  <c r="AI42" i="26" s="1"/>
  <c r="X42" i="26" a="1"/>
  <c r="X42" i="26" s="1"/>
  <c r="R42" i="26" a="1"/>
  <c r="R42" i="26" s="1"/>
  <c r="AA42" i="26" a="1"/>
  <c r="AA42" i="26" s="1"/>
  <c r="AK42" i="26" a="1"/>
  <c r="AK42" i="26" s="1"/>
  <c r="M42" i="26" a="1"/>
  <c r="M42" i="26" s="1"/>
  <c r="AJ42" i="26" a="1"/>
  <c r="AJ42" i="26" s="1"/>
  <c r="N42" i="26" a="1"/>
  <c r="N42" i="26" s="1"/>
  <c r="Q42" i="26" a="1"/>
  <c r="Q42" i="26" s="1"/>
  <c r="AR42" i="26" a="1"/>
  <c r="AR42" i="26" s="1"/>
  <c r="AB42" i="26" a="1"/>
  <c r="AB42" i="26" s="1"/>
  <c r="U42" i="26" a="1"/>
  <c r="U42" i="26" s="1"/>
  <c r="AS42" i="26" a="1"/>
  <c r="AS42" i="26" s="1"/>
  <c r="AM42" i="26" a="1"/>
  <c r="AM42" i="26" s="1"/>
  <c r="AL42" i="26" a="1"/>
  <c r="AL42" i="26" s="1"/>
  <c r="AD42" i="26" a="1"/>
  <c r="AD42" i="26" s="1"/>
  <c r="O42" i="26" a="1"/>
  <c r="O42" i="26" s="1"/>
  <c r="Y42" i="26" a="1"/>
  <c r="Y42" i="26" s="1"/>
  <c r="AC42" i="26" a="1"/>
  <c r="AC42" i="26" s="1"/>
  <c r="AF42" i="26" a="1"/>
  <c r="AF42" i="26" s="1"/>
  <c r="V42" i="26" a="1"/>
  <c r="V42" i="26" s="1"/>
  <c r="L43" i="26" a="1"/>
  <c r="L43" i="26" s="1"/>
  <c r="AM39" i="38"/>
  <c r="T39" i="38"/>
  <c r="AA39" i="38"/>
  <c r="N39" i="38"/>
  <c r="X39" i="38"/>
  <c r="AJ39" i="38"/>
  <c r="AG39" i="38"/>
  <c r="P39" i="38"/>
  <c r="W39" i="38"/>
  <c r="AO39" i="38"/>
  <c r="AN39" i="38"/>
  <c r="AE39" i="38"/>
  <c r="AI39" i="38"/>
  <c r="U39" i="38"/>
  <c r="O39" i="38"/>
  <c r="L39" i="38"/>
  <c r="AH39" i="38"/>
  <c r="AB39" i="38"/>
  <c r="AD39" i="38"/>
  <c r="S39" i="38"/>
  <c r="AF39" i="38"/>
  <c r="AL39" i="38"/>
  <c r="Y39" i="38"/>
  <c r="AK39" i="38"/>
  <c r="Z39" i="38"/>
  <c r="M39" i="38"/>
  <c r="AC39" i="38"/>
  <c r="R39" i="38"/>
  <c r="Q39" i="38"/>
  <c r="V39" i="38"/>
  <c r="K40" i="38" a="1"/>
  <c r="K40" i="38" s="1"/>
  <c r="AR61" i="24"/>
  <c r="AR9" i="24" a="1"/>
  <c r="AR9" i="24" s="1"/>
  <c r="AR60" i="24"/>
  <c r="AR10" i="24" a="1"/>
  <c r="AR10" i="24" s="1"/>
  <c r="AR11" i="24" a="1"/>
  <c r="AR11" i="24" s="1"/>
  <c r="AR12" i="24" a="1"/>
  <c r="AR12" i="24" s="1"/>
  <c r="AR13" i="24" a="1"/>
  <c r="AR13" i="24" s="1"/>
  <c r="AR14" i="24" a="1"/>
  <c r="AR14" i="24" s="1"/>
  <c r="AS8" i="24" a="1"/>
  <c r="AS8" i="24" s="1"/>
  <c r="AR15" i="24" a="1"/>
  <c r="AR15" i="24" s="1"/>
  <c r="AR17" i="24" a="1"/>
  <c r="AR17" i="24" s="1"/>
  <c r="AR16" i="24" a="1"/>
  <c r="AR16" i="24" s="1"/>
  <c r="AR19" i="24" a="1"/>
  <c r="AR19" i="24" s="1"/>
  <c r="AR18" i="24" a="1"/>
  <c r="AR18" i="24" s="1"/>
  <c r="AR20" i="24" a="1"/>
  <c r="AR20" i="24" s="1"/>
  <c r="AR21" i="24" a="1"/>
  <c r="AR21" i="24" s="1"/>
  <c r="AR22" i="24" a="1"/>
  <c r="AR22" i="24" s="1"/>
  <c r="AR23" i="24" a="1"/>
  <c r="AR23" i="24" s="1"/>
  <c r="AR24" i="24" a="1"/>
  <c r="AR24" i="24" s="1"/>
  <c r="AR25" i="24" a="1"/>
  <c r="AR25" i="24" s="1"/>
  <c r="AR26" i="24" a="1"/>
  <c r="AR26" i="24" s="1"/>
  <c r="AR27" i="24" a="1"/>
  <c r="AR27" i="24" s="1"/>
  <c r="AR28" i="24" a="1"/>
  <c r="AR28" i="24" s="1"/>
  <c r="AR29" i="24" a="1"/>
  <c r="AR29" i="24" s="1"/>
  <c r="AR30" i="24" a="1"/>
  <c r="AR30" i="24" s="1"/>
  <c r="AR31" i="24" a="1"/>
  <c r="AR31" i="24" s="1"/>
  <c r="AR32" i="24" a="1"/>
  <c r="AR32" i="24" s="1"/>
  <c r="AR33" i="24" a="1"/>
  <c r="AR33" i="24" s="1"/>
  <c r="AR34" i="24" a="1"/>
  <c r="AR34" i="24" s="1"/>
  <c r="AR35" i="24" a="1"/>
  <c r="AR35" i="24" s="1"/>
  <c r="AR36" i="24" a="1"/>
  <c r="AR36" i="24" s="1"/>
  <c r="AR37" i="24" a="1"/>
  <c r="AR37" i="24" s="1"/>
  <c r="AR38" i="24" a="1"/>
  <c r="AR38" i="24" s="1"/>
  <c r="AR39" i="24" a="1"/>
  <c r="AR39" i="24" s="1"/>
  <c r="AQ62" i="24"/>
  <c r="AQ63" i="24"/>
  <c r="AO9" i="38"/>
  <c r="AO10" i="38"/>
  <c r="AO60" i="38"/>
  <c r="AO61" i="38"/>
  <c r="AO11" i="38"/>
  <c r="AO12" i="38"/>
  <c r="AO13" i="38"/>
  <c r="AO15" i="38"/>
  <c r="AO14" i="38"/>
  <c r="AO16" i="38"/>
  <c r="AO17" i="38"/>
  <c r="AO18" i="38"/>
  <c r="AO19" i="38"/>
  <c r="AP8" i="38" a="1"/>
  <c r="AP8" i="38" s="1"/>
  <c r="AP39" i="38" s="1"/>
  <c r="AO20" i="38"/>
  <c r="AO21" i="38"/>
  <c r="AO22" i="38"/>
  <c r="AO23" i="38"/>
  <c r="AO24" i="38"/>
  <c r="AO25" i="38"/>
  <c r="AO26" i="38"/>
  <c r="AO27" i="38"/>
  <c r="AO28" i="38"/>
  <c r="AO29" i="38"/>
  <c r="AO30" i="38"/>
  <c r="AO31" i="38"/>
  <c r="AO32" i="38"/>
  <c r="AO33" i="38"/>
  <c r="AO34" i="38"/>
  <c r="AO35" i="38"/>
  <c r="AO36" i="38"/>
  <c r="AO37" i="38"/>
  <c r="AO38" i="38"/>
  <c r="AS61" i="26"/>
  <c r="AS9" i="26" a="1"/>
  <c r="AS9" i="26" s="1"/>
  <c r="AS10" i="26" a="1"/>
  <c r="AS10" i="26" s="1"/>
  <c r="AS60" i="26"/>
  <c r="AS12" i="26" a="1"/>
  <c r="AS12" i="26" s="1"/>
  <c r="AS11" i="26" a="1"/>
  <c r="AS11" i="26" s="1"/>
  <c r="AS13" i="26" a="1"/>
  <c r="AS13" i="26" s="1"/>
  <c r="AS14" i="26" a="1"/>
  <c r="AS14" i="26" s="1"/>
  <c r="AS15" i="26" a="1"/>
  <c r="AS15" i="26" s="1"/>
  <c r="AS16" i="26" a="1"/>
  <c r="AS16" i="26" s="1"/>
  <c r="AS17" i="26" a="1"/>
  <c r="AS17" i="26" s="1"/>
  <c r="AS19" i="26" a="1"/>
  <c r="AS19" i="26" s="1"/>
  <c r="AS18" i="26" a="1"/>
  <c r="AS18" i="26" s="1"/>
  <c r="AS20" i="26" a="1"/>
  <c r="AS20" i="26" s="1"/>
  <c r="AS21" i="26" a="1"/>
  <c r="AS21" i="26" s="1"/>
  <c r="AS22" i="26" a="1"/>
  <c r="AS22" i="26" s="1"/>
  <c r="AT8" i="26" a="1"/>
  <c r="AT8" i="26" s="1"/>
  <c r="AS23" i="26" a="1"/>
  <c r="AS23" i="26" s="1"/>
  <c r="AS24" i="26" a="1"/>
  <c r="AS24" i="26" s="1"/>
  <c r="AS25" i="26" a="1"/>
  <c r="AS25" i="26" s="1"/>
  <c r="AS26" i="26" a="1"/>
  <c r="AS26" i="26" s="1"/>
  <c r="AS27" i="26" a="1"/>
  <c r="AS27" i="26" s="1"/>
  <c r="AS28" i="26" a="1"/>
  <c r="AS28" i="26" s="1"/>
  <c r="AS29" i="26" a="1"/>
  <c r="AS29" i="26" s="1"/>
  <c r="AS30" i="26" a="1"/>
  <c r="AS30" i="26" s="1"/>
  <c r="AS31" i="26" a="1"/>
  <c r="AS31" i="26" s="1"/>
  <c r="AS32" i="26" a="1"/>
  <c r="AS32" i="26" s="1"/>
  <c r="AS33" i="26" a="1"/>
  <c r="AS33" i="26" s="1"/>
  <c r="AS34" i="26" a="1"/>
  <c r="AS34" i="26" s="1"/>
  <c r="AS35" i="26" a="1"/>
  <c r="AS35" i="26" s="1"/>
  <c r="AS36" i="26" a="1"/>
  <c r="AS36" i="26" s="1"/>
  <c r="AS37" i="26" a="1"/>
  <c r="AS37" i="26" s="1"/>
  <c r="AS38" i="26" a="1"/>
  <c r="AS38" i="26" s="1"/>
  <c r="AS39" i="26" a="1"/>
  <c r="AS39" i="26" s="1"/>
  <c r="AS40" i="26" a="1"/>
  <c r="AS40" i="26" s="1"/>
  <c r="P38" i="25" a="1"/>
  <c r="P38" i="25" s="1"/>
  <c r="Q38" i="25" a="1"/>
  <c r="Q38" i="25" s="1"/>
  <c r="S38" i="25" a="1"/>
  <c r="S38" i="25" s="1"/>
  <c r="O38" i="25" a="1"/>
  <c r="O38" i="25" s="1"/>
  <c r="R38" i="25" a="1"/>
  <c r="R38" i="25" s="1"/>
  <c r="U38" i="25" a="1"/>
  <c r="U38" i="25" s="1"/>
  <c r="T38" i="25" a="1"/>
  <c r="T38" i="25" s="1"/>
  <c r="W38" i="25" a="1"/>
  <c r="W38" i="25" s="1"/>
  <c r="V38" i="25" a="1"/>
  <c r="V38" i="25" s="1"/>
  <c r="Z38" i="25" a="1"/>
  <c r="Z38" i="25" s="1"/>
  <c r="Y38" i="25" a="1"/>
  <c r="Y38" i="25" s="1"/>
  <c r="AB38" i="25" a="1"/>
  <c r="AB38" i="25" s="1"/>
  <c r="X38" i="25" a="1"/>
  <c r="X38" i="25" s="1"/>
  <c r="AD38" i="25" a="1"/>
  <c r="AD38" i="25" s="1"/>
  <c r="AC38" i="25" a="1"/>
  <c r="AC38" i="25" s="1"/>
  <c r="AA38" i="25" a="1"/>
  <c r="AA38" i="25" s="1"/>
  <c r="AE38" i="25" a="1"/>
  <c r="AE38" i="25" s="1"/>
  <c r="AF38" i="25" a="1"/>
  <c r="AF38" i="25" s="1"/>
  <c r="AH38" i="25" a="1"/>
  <c r="AH38" i="25" s="1"/>
  <c r="AI38" i="25" a="1"/>
  <c r="AI38" i="25" s="1"/>
  <c r="AK38" i="25" a="1"/>
  <c r="AK38" i="25" s="1"/>
  <c r="AJ38" i="25" a="1"/>
  <c r="AJ38" i="25" s="1"/>
  <c r="AL38" i="25" a="1"/>
  <c r="AL38" i="25" s="1"/>
  <c r="AM38" i="25" a="1"/>
  <c r="AM38" i="25" s="1"/>
  <c r="AG38" i="25" a="1"/>
  <c r="AG38" i="25" s="1"/>
  <c r="AP38" i="25" a="1"/>
  <c r="AP38" i="25" s="1"/>
  <c r="AN38" i="25" a="1"/>
  <c r="AN38" i="25" s="1"/>
  <c r="AO38" i="25" a="1"/>
  <c r="AO38" i="25" s="1"/>
  <c r="AQ38" i="25" a="1"/>
  <c r="AQ38" i="25" s="1"/>
  <c r="AS38" i="25" a="1"/>
  <c r="AS38" i="25" s="1"/>
  <c r="AT38" i="25" a="1"/>
  <c r="AT38" i="25" s="1"/>
  <c r="AU38" i="25" a="1"/>
  <c r="AU38" i="25" s="1"/>
  <c r="AR38" i="25" a="1"/>
  <c r="AR38" i="25" s="1"/>
  <c r="N39" i="25" a="1"/>
  <c r="N39" i="25" s="1"/>
  <c r="C27" i="39"/>
  <c r="A27" i="39" s="1"/>
  <c r="F365" i="22"/>
  <c r="AV38" i="25" l="1" a="1"/>
  <c r="AV38" i="25" s="1"/>
  <c r="AV32" i="25" a="1"/>
  <c r="AV32" i="25" s="1"/>
  <c r="AV20" i="25" a="1"/>
  <c r="AV20" i="25" s="1"/>
  <c r="AV61" i="25"/>
  <c r="AV14" i="25" a="1"/>
  <c r="AV14" i="25" s="1"/>
  <c r="AV36" i="25" a="1"/>
  <c r="AV36" i="25" s="1"/>
  <c r="AV30" i="25" a="1"/>
  <c r="AV30" i="25" s="1"/>
  <c r="AV24" i="25" a="1"/>
  <c r="AV24" i="25" s="1"/>
  <c r="AV17" i="25" a="1"/>
  <c r="AV17" i="25" s="1"/>
  <c r="AV13" i="25" a="1"/>
  <c r="AV13" i="25" s="1"/>
  <c r="AV60" i="25"/>
  <c r="AV35" i="25" a="1"/>
  <c r="AV35" i="25" s="1"/>
  <c r="AV29" i="25" a="1"/>
  <c r="AV29" i="25" s="1"/>
  <c r="AV23" i="25" a="1"/>
  <c r="AV23" i="25" s="1"/>
  <c r="AV18" i="25" a="1"/>
  <c r="AV18" i="25" s="1"/>
  <c r="AV11" i="25" a="1"/>
  <c r="AV11" i="25" s="1"/>
  <c r="AV26" i="25" a="1"/>
  <c r="AV26" i="25" s="1"/>
  <c r="AV15" i="25" a="1"/>
  <c r="AV15" i="25" s="1"/>
  <c r="AV31" i="25" a="1"/>
  <c r="AV31" i="25" s="1"/>
  <c r="AV25" i="25" a="1"/>
  <c r="AV25" i="25" s="1"/>
  <c r="AV19" i="25" a="1"/>
  <c r="AV19" i="25" s="1"/>
  <c r="AV9" i="25" a="1"/>
  <c r="AV9" i="25" s="1"/>
  <c r="AV34" i="25" a="1"/>
  <c r="AV34" i="25" s="1"/>
  <c r="AV28" i="25" a="1"/>
  <c r="AV28" i="25" s="1"/>
  <c r="AV22" i="25" a="1"/>
  <c r="AV22" i="25" s="1"/>
  <c r="AW8" i="25" a="1"/>
  <c r="AW8" i="25" s="1"/>
  <c r="AW12" i="25" s="1" a="1"/>
  <c r="AW12" i="25" s="1"/>
  <c r="AV12" i="25" a="1"/>
  <c r="AV12" i="25" s="1"/>
  <c r="AV33" i="25" a="1"/>
  <c r="AV33" i="25" s="1"/>
  <c r="AV27" i="25" a="1"/>
  <c r="AV27" i="25" s="1"/>
  <c r="AV21" i="25" a="1"/>
  <c r="AV21" i="25" s="1"/>
  <c r="AV16" i="25" a="1"/>
  <c r="AV16" i="25" s="1"/>
  <c r="AV10" i="25" a="1"/>
  <c r="AV10" i="25" s="1"/>
  <c r="S41" i="24" a="1"/>
  <c r="S41" i="24" s="1"/>
  <c r="Z41" i="24" a="1"/>
  <c r="Z41" i="24" s="1"/>
  <c r="AA41" i="24" a="1"/>
  <c r="AA41" i="24" s="1"/>
  <c r="X41" i="24" a="1"/>
  <c r="X41" i="24" s="1"/>
  <c r="O41" i="24" a="1"/>
  <c r="O41" i="24" s="1"/>
  <c r="L42" i="24" a="1"/>
  <c r="L42" i="24" s="1"/>
  <c r="T42" i="24" s="1" a="1"/>
  <c r="T42" i="24" s="1"/>
  <c r="N41" i="24" a="1"/>
  <c r="N41" i="24" s="1"/>
  <c r="AL41" i="24" a="1"/>
  <c r="AL41" i="24" s="1"/>
  <c r="AR41" i="24" a="1"/>
  <c r="AR41" i="24" s="1"/>
  <c r="AN41" i="24" a="1"/>
  <c r="AN41" i="24" s="1"/>
  <c r="AI41" i="24" a="1"/>
  <c r="AI41" i="24" s="1"/>
  <c r="AG41" i="24" a="1"/>
  <c r="AG41" i="24" s="1"/>
  <c r="W41" i="24" a="1"/>
  <c r="W41" i="24" s="1"/>
  <c r="M41" i="24" a="1"/>
  <c r="M41" i="24" s="1"/>
  <c r="AS41" i="24" a="1"/>
  <c r="AS41" i="24" s="1"/>
  <c r="AO41" i="24" a="1"/>
  <c r="AO41" i="24" s="1"/>
  <c r="P41" i="24" a="1"/>
  <c r="P41" i="24" s="1"/>
  <c r="AB41" i="24" a="1"/>
  <c r="AB41" i="24" s="1"/>
  <c r="AE41" i="24" a="1"/>
  <c r="AE41" i="24" s="1"/>
  <c r="AP41" i="24" a="1"/>
  <c r="AP41" i="24" s="1"/>
  <c r="AJ41" i="24" a="1"/>
  <c r="AJ41" i="24" s="1"/>
  <c r="AD41" i="24" a="1"/>
  <c r="AD41" i="24" s="1"/>
  <c r="Y41" i="24" a="1"/>
  <c r="Y41" i="24" s="1"/>
  <c r="R41" i="24" a="1"/>
  <c r="R41" i="24" s="1"/>
  <c r="AC41" i="24" a="1"/>
  <c r="AC41" i="24" s="1"/>
  <c r="Q41" i="24" a="1"/>
  <c r="Q41" i="24" s="1"/>
  <c r="AM41" i="24" a="1"/>
  <c r="AM41" i="24" s="1"/>
  <c r="T41" i="24" a="1"/>
  <c r="T41" i="24" s="1"/>
  <c r="AQ41" i="24" a="1"/>
  <c r="AQ41" i="24" s="1"/>
  <c r="AK41" i="24" a="1"/>
  <c r="AK41" i="24" s="1"/>
  <c r="AF41" i="24" a="1"/>
  <c r="AF41" i="24" s="1"/>
  <c r="AH41" i="24" a="1"/>
  <c r="AH41" i="24" s="1"/>
  <c r="V41" i="24" a="1"/>
  <c r="V41" i="24" s="1"/>
  <c r="AR62" i="24"/>
  <c r="AR63" i="24"/>
  <c r="Y43" i="26" a="1"/>
  <c r="Y43" i="26" s="1"/>
  <c r="AS43" i="26" a="1"/>
  <c r="AS43" i="26" s="1"/>
  <c r="AD43" i="26" a="1"/>
  <c r="AD43" i="26" s="1"/>
  <c r="V43" i="26" a="1"/>
  <c r="V43" i="26" s="1"/>
  <c r="N43" i="26" a="1"/>
  <c r="N43" i="26" s="1"/>
  <c r="AN43" i="26" a="1"/>
  <c r="AN43" i="26" s="1"/>
  <c r="AM43" i="26" a="1"/>
  <c r="AM43" i="26" s="1"/>
  <c r="AE43" i="26" a="1"/>
  <c r="AE43" i="26" s="1"/>
  <c r="P43" i="26" a="1"/>
  <c r="P43" i="26" s="1"/>
  <c r="AP43" i="26" a="1"/>
  <c r="AP43" i="26" s="1"/>
  <c r="T43" i="26" a="1"/>
  <c r="T43" i="26" s="1"/>
  <c r="AA43" i="26" a="1"/>
  <c r="AA43" i="26" s="1"/>
  <c r="AF43" i="26" a="1"/>
  <c r="AF43" i="26" s="1"/>
  <c r="Q43" i="26" a="1"/>
  <c r="Q43" i="26" s="1"/>
  <c r="AQ43" i="26" a="1"/>
  <c r="AQ43" i="26" s="1"/>
  <c r="AI43" i="26" a="1"/>
  <c r="AI43" i="26" s="1"/>
  <c r="Z43" i="26" a="1"/>
  <c r="Z43" i="26" s="1"/>
  <c r="AT43" i="26" a="1"/>
  <c r="AT43" i="26" s="1"/>
  <c r="AC43" i="26" a="1"/>
  <c r="AC43" i="26" s="1"/>
  <c r="AR43" i="26" a="1"/>
  <c r="AR43" i="26" s="1"/>
  <c r="M43" i="26" a="1"/>
  <c r="M43" i="26" s="1"/>
  <c r="AK43" i="26" a="1"/>
  <c r="AK43" i="26" s="1"/>
  <c r="O43" i="26" a="1"/>
  <c r="O43" i="26" s="1"/>
  <c r="X43" i="26" a="1"/>
  <c r="X43" i="26" s="1"/>
  <c r="S43" i="26" a="1"/>
  <c r="S43" i="26" s="1"/>
  <c r="R43" i="26" a="1"/>
  <c r="R43" i="26" s="1"/>
  <c r="W43" i="26" a="1"/>
  <c r="W43" i="26" s="1"/>
  <c r="AO43" i="26" a="1"/>
  <c r="AO43" i="26" s="1"/>
  <c r="AG43" i="26" a="1"/>
  <c r="AG43" i="26" s="1"/>
  <c r="AL43" i="26" a="1"/>
  <c r="AL43" i="26" s="1"/>
  <c r="U43" i="26" a="1"/>
  <c r="U43" i="26" s="1"/>
  <c r="AH43" i="26" a="1"/>
  <c r="AH43" i="26" s="1"/>
  <c r="AJ43" i="26" a="1"/>
  <c r="AJ43" i="26" s="1"/>
  <c r="AB43" i="26" a="1"/>
  <c r="AB43" i="26" s="1"/>
  <c r="L44" i="26" a="1"/>
  <c r="L44" i="26" s="1"/>
  <c r="AT9" i="26" a="1"/>
  <c r="AT9" i="26" s="1"/>
  <c r="AT60" i="26"/>
  <c r="AT61" i="26"/>
  <c r="AT10" i="26" a="1"/>
  <c r="AT10" i="26" s="1"/>
  <c r="AT12" i="26" a="1"/>
  <c r="AT12" i="26" s="1"/>
  <c r="AT11" i="26" a="1"/>
  <c r="AT11" i="26" s="1"/>
  <c r="AT13" i="26" a="1"/>
  <c r="AT13" i="26" s="1"/>
  <c r="AT15" i="26" a="1"/>
  <c r="AT15" i="26" s="1"/>
  <c r="AT14" i="26" a="1"/>
  <c r="AT14" i="26" s="1"/>
  <c r="AT16" i="26" a="1"/>
  <c r="AT16" i="26" s="1"/>
  <c r="AT17" i="26" a="1"/>
  <c r="AT17" i="26" s="1"/>
  <c r="AT19" i="26" a="1"/>
  <c r="AT19" i="26" s="1"/>
  <c r="AT18" i="26" a="1"/>
  <c r="AT18" i="26" s="1"/>
  <c r="AT20" i="26" a="1"/>
  <c r="AT20" i="26" s="1"/>
  <c r="AU8" i="26" a="1"/>
  <c r="AU8" i="26" s="1"/>
  <c r="AT21" i="26" a="1"/>
  <c r="AT21" i="26" s="1"/>
  <c r="AT22" i="26" a="1"/>
  <c r="AT22" i="26" s="1"/>
  <c r="AT23" i="26" a="1"/>
  <c r="AT23" i="26" s="1"/>
  <c r="AT24" i="26" a="1"/>
  <c r="AT24" i="26" s="1"/>
  <c r="AT25" i="26" a="1"/>
  <c r="AT25" i="26" s="1"/>
  <c r="AT26" i="26" a="1"/>
  <c r="AT26" i="26" s="1"/>
  <c r="AT27" i="26" a="1"/>
  <c r="AT27" i="26" s="1"/>
  <c r="AT28" i="26" a="1"/>
  <c r="AT28" i="26" s="1"/>
  <c r="AT29" i="26" a="1"/>
  <c r="AT29" i="26" s="1"/>
  <c r="AT30" i="26" a="1"/>
  <c r="AT30" i="26" s="1"/>
  <c r="AT31" i="26" a="1"/>
  <c r="AT31" i="26" s="1"/>
  <c r="AT32" i="26" a="1"/>
  <c r="AT32" i="26" s="1"/>
  <c r="AT33" i="26" a="1"/>
  <c r="AT33" i="26" s="1"/>
  <c r="AT34" i="26" a="1"/>
  <c r="AT34" i="26" s="1"/>
  <c r="AT35" i="26" a="1"/>
  <c r="AT35" i="26" s="1"/>
  <c r="AT36" i="26" a="1"/>
  <c r="AT36" i="26" s="1"/>
  <c r="AT37" i="26" a="1"/>
  <c r="AT37" i="26" s="1"/>
  <c r="AT38" i="26" a="1"/>
  <c r="AT38" i="26" s="1"/>
  <c r="AT39" i="26" a="1"/>
  <c r="AT39" i="26" s="1"/>
  <c r="AT40" i="26" a="1"/>
  <c r="AT40" i="26" s="1"/>
  <c r="AT41" i="26" a="1"/>
  <c r="AT41" i="26" s="1"/>
  <c r="P39" i="25" a="1"/>
  <c r="P39" i="25" s="1"/>
  <c r="R39" i="25" a="1"/>
  <c r="R39" i="25" s="1"/>
  <c r="Q39" i="25" a="1"/>
  <c r="Q39" i="25" s="1"/>
  <c r="S39" i="25" a="1"/>
  <c r="S39" i="25" s="1"/>
  <c r="O39" i="25" a="1"/>
  <c r="O39" i="25" s="1"/>
  <c r="U39" i="25" a="1"/>
  <c r="U39" i="25" s="1"/>
  <c r="T39" i="25" a="1"/>
  <c r="T39" i="25" s="1"/>
  <c r="X39" i="25" a="1"/>
  <c r="X39" i="25" s="1"/>
  <c r="Z39" i="25" a="1"/>
  <c r="Z39" i="25" s="1"/>
  <c r="AC39" i="25" a="1"/>
  <c r="AC39" i="25" s="1"/>
  <c r="Y39" i="25" a="1"/>
  <c r="Y39" i="25" s="1"/>
  <c r="V39" i="25" a="1"/>
  <c r="V39" i="25" s="1"/>
  <c r="W39" i="25" a="1"/>
  <c r="W39" i="25" s="1"/>
  <c r="AB39" i="25" a="1"/>
  <c r="AB39" i="25" s="1"/>
  <c r="AD39" i="25" a="1"/>
  <c r="AD39" i="25" s="1"/>
  <c r="AE39" i="25" a="1"/>
  <c r="AE39" i="25" s="1"/>
  <c r="AA39" i="25" a="1"/>
  <c r="AA39" i="25" s="1"/>
  <c r="AF39" i="25" a="1"/>
  <c r="AF39" i="25" s="1"/>
  <c r="AG39" i="25" a="1"/>
  <c r="AG39" i="25" s="1"/>
  <c r="AH39" i="25" a="1"/>
  <c r="AH39" i="25" s="1"/>
  <c r="AI39" i="25" a="1"/>
  <c r="AI39" i="25" s="1"/>
  <c r="AJ39" i="25" a="1"/>
  <c r="AJ39" i="25" s="1"/>
  <c r="AL39" i="25" a="1"/>
  <c r="AL39" i="25" s="1"/>
  <c r="AN39" i="25" a="1"/>
  <c r="AN39" i="25" s="1"/>
  <c r="AK39" i="25" a="1"/>
  <c r="AK39" i="25" s="1"/>
  <c r="AM39" i="25" a="1"/>
  <c r="AM39" i="25" s="1"/>
  <c r="AS39" i="25" a="1"/>
  <c r="AS39" i="25" s="1"/>
  <c r="AP39" i="25" a="1"/>
  <c r="AP39" i="25" s="1"/>
  <c r="AO39" i="25" a="1"/>
  <c r="AO39" i="25" s="1"/>
  <c r="AQ39" i="25" a="1"/>
  <c r="AQ39" i="25" s="1"/>
  <c r="AR39" i="25" a="1"/>
  <c r="AR39" i="25" s="1"/>
  <c r="AT39" i="25" a="1"/>
  <c r="AT39" i="25" s="1"/>
  <c r="AV39" i="25" a="1"/>
  <c r="AV39" i="25" s="1"/>
  <c r="AU39" i="25" a="1"/>
  <c r="AU39" i="25" s="1"/>
  <c r="N40" i="25" a="1"/>
  <c r="N40" i="25" s="1"/>
  <c r="AT42" i="26" a="1"/>
  <c r="AT42" i="26" s="1"/>
  <c r="AS9" i="24" a="1"/>
  <c r="AS9" i="24" s="1"/>
  <c r="AS61" i="24"/>
  <c r="AS60" i="24"/>
  <c r="AS10" i="24" a="1"/>
  <c r="AS10" i="24" s="1"/>
  <c r="AS11" i="24" a="1"/>
  <c r="AS11" i="24" s="1"/>
  <c r="AS12" i="24" a="1"/>
  <c r="AS12" i="24" s="1"/>
  <c r="AS13" i="24" a="1"/>
  <c r="AS13" i="24" s="1"/>
  <c r="AS14" i="24" a="1"/>
  <c r="AS14" i="24" s="1"/>
  <c r="AS16" i="24" a="1"/>
  <c r="AS16" i="24" s="1"/>
  <c r="AS15" i="24" a="1"/>
  <c r="AS15" i="24" s="1"/>
  <c r="AS17" i="24" a="1"/>
  <c r="AS17" i="24" s="1"/>
  <c r="AS19" i="24" a="1"/>
  <c r="AS19" i="24" s="1"/>
  <c r="AS18" i="24" a="1"/>
  <c r="AS18" i="24" s="1"/>
  <c r="AT8" i="24" a="1"/>
  <c r="AT8" i="24" s="1"/>
  <c r="AS21" i="24" a="1"/>
  <c r="AS21" i="24" s="1"/>
  <c r="AS20" i="24" a="1"/>
  <c r="AS20" i="24" s="1"/>
  <c r="AS22" i="24" a="1"/>
  <c r="AS22" i="24" s="1"/>
  <c r="AS23" i="24" a="1"/>
  <c r="AS23" i="24" s="1"/>
  <c r="AS24" i="24" a="1"/>
  <c r="AS24" i="24" s="1"/>
  <c r="AS25" i="24" a="1"/>
  <c r="AS25" i="24" s="1"/>
  <c r="AS26" i="24" a="1"/>
  <c r="AS26" i="24" s="1"/>
  <c r="AS27" i="24" a="1"/>
  <c r="AS27" i="24" s="1"/>
  <c r="AS28" i="24" a="1"/>
  <c r="AS28" i="24" s="1"/>
  <c r="AS29" i="24" a="1"/>
  <c r="AS29" i="24" s="1"/>
  <c r="AS30" i="24" a="1"/>
  <c r="AS30" i="24" s="1"/>
  <c r="AS31" i="24" a="1"/>
  <c r="AS31" i="24" s="1"/>
  <c r="AS32" i="24" a="1"/>
  <c r="AS32" i="24" s="1"/>
  <c r="AS33" i="24" a="1"/>
  <c r="AS33" i="24" s="1"/>
  <c r="AS34" i="24" a="1"/>
  <c r="AS34" i="24" s="1"/>
  <c r="AS35" i="24" a="1"/>
  <c r="AS35" i="24" s="1"/>
  <c r="AS36" i="24" a="1"/>
  <c r="AS36" i="24" s="1"/>
  <c r="AS37" i="24" a="1"/>
  <c r="AS37" i="24" s="1"/>
  <c r="AS38" i="24" a="1"/>
  <c r="AS38" i="24" s="1"/>
  <c r="AS39" i="24" a="1"/>
  <c r="AS39" i="24" s="1"/>
  <c r="AS40" i="24" a="1"/>
  <c r="AS40" i="24" s="1"/>
  <c r="Y40" i="38"/>
  <c r="AN40" i="38"/>
  <c r="AE40" i="38"/>
  <c r="AB40" i="38"/>
  <c r="T40" i="38"/>
  <c r="O40" i="38"/>
  <c r="AA40" i="38"/>
  <c r="AC40" i="38"/>
  <c r="R40" i="38"/>
  <c r="W40" i="38"/>
  <c r="AO40" i="38"/>
  <c r="X40" i="38"/>
  <c r="AG40" i="38"/>
  <c r="L40" i="38"/>
  <c r="AP40" i="38"/>
  <c r="Q40" i="38"/>
  <c r="AI40" i="38"/>
  <c r="Z40" i="38"/>
  <c r="AM40" i="38"/>
  <c r="V40" i="38"/>
  <c r="M40" i="38"/>
  <c r="AD40" i="38"/>
  <c r="AH40" i="38"/>
  <c r="U40" i="38"/>
  <c r="AF40" i="38"/>
  <c r="N40" i="38"/>
  <c r="AK40" i="38"/>
  <c r="S40" i="38"/>
  <c r="AJ40" i="38"/>
  <c r="P40" i="38"/>
  <c r="AL40" i="38"/>
  <c r="K41" i="38" a="1"/>
  <c r="K41" i="38" s="1"/>
  <c r="C28" i="39"/>
  <c r="A28" i="39" s="1"/>
  <c r="F366" i="22"/>
  <c r="AP10" i="38"/>
  <c r="AP9" i="38"/>
  <c r="AP61" i="38"/>
  <c r="AP60" i="38"/>
  <c r="AP12" i="38"/>
  <c r="AP11" i="38"/>
  <c r="AP13" i="38"/>
  <c r="AP14" i="38"/>
  <c r="AP15" i="38"/>
  <c r="AP16" i="38"/>
  <c r="AQ8" i="38" a="1"/>
  <c r="AQ8" i="38" s="1"/>
  <c r="AP17" i="38"/>
  <c r="AP18" i="38"/>
  <c r="AP19" i="38"/>
  <c r="AP20" i="38"/>
  <c r="AP21" i="38"/>
  <c r="AP22" i="38"/>
  <c r="AP23" i="38"/>
  <c r="AP24" i="38"/>
  <c r="AP25" i="38"/>
  <c r="AP26" i="38"/>
  <c r="AP27" i="38"/>
  <c r="AP28" i="38"/>
  <c r="AP29" i="38"/>
  <c r="AP30" i="38"/>
  <c r="AP31" i="38"/>
  <c r="AP32" i="38"/>
  <c r="AP33" i="38"/>
  <c r="AP34" i="38"/>
  <c r="AP35" i="38"/>
  <c r="AP36" i="38"/>
  <c r="AP37" i="38"/>
  <c r="AP38" i="38"/>
  <c r="AW34" i="25" l="1" a="1"/>
  <c r="AW34" i="25" s="1"/>
  <c r="AW28" i="25" a="1"/>
  <c r="AW28" i="25" s="1"/>
  <c r="AW22" i="25" a="1"/>
  <c r="AW22" i="25" s="1"/>
  <c r="AW18" i="25" a="1"/>
  <c r="AW18" i="25" s="1"/>
  <c r="AW11" i="25" a="1"/>
  <c r="AW11" i="25" s="1"/>
  <c r="AW33" i="25" a="1"/>
  <c r="AW33" i="25" s="1"/>
  <c r="AW21" i="25" a="1"/>
  <c r="AW21" i="25" s="1"/>
  <c r="AW10" i="25" a="1"/>
  <c r="AW10" i="25" s="1"/>
  <c r="AW39" i="25" a="1"/>
  <c r="AW39" i="25" s="1"/>
  <c r="AW38" i="25" a="1"/>
  <c r="AW38" i="25" s="1"/>
  <c r="AW32" i="25" a="1"/>
  <c r="AW32" i="25" s="1"/>
  <c r="AW26" i="25" a="1"/>
  <c r="AW26" i="25" s="1"/>
  <c r="AW20" i="25" a="1"/>
  <c r="AW20" i="25" s="1"/>
  <c r="AW15" i="25" a="1"/>
  <c r="AW15" i="25" s="1"/>
  <c r="AW61" i="25"/>
  <c r="AX8" i="25" a="1"/>
  <c r="AX8" i="25" s="1"/>
  <c r="AX9" i="25" s="1" a="1"/>
  <c r="AX9" i="25" s="1"/>
  <c r="AW14" i="25" a="1"/>
  <c r="AW14" i="25" s="1"/>
  <c r="AW60" i="25"/>
  <c r="AW27" i="25" a="1"/>
  <c r="AW27" i="25" s="1"/>
  <c r="AW16" i="25" a="1"/>
  <c r="AW16" i="25" s="1"/>
  <c r="AW37" i="25" a="1"/>
  <c r="AW37" i="25" s="1"/>
  <c r="AW31" i="25" a="1"/>
  <c r="AW31" i="25" s="1"/>
  <c r="AW25" i="25" a="1"/>
  <c r="AW25" i="25" s="1"/>
  <c r="AW36" i="25" a="1"/>
  <c r="AW36" i="25" s="1"/>
  <c r="AW30" i="25" a="1"/>
  <c r="AW30" i="25" s="1"/>
  <c r="AW24" i="25" a="1"/>
  <c r="AW24" i="25" s="1"/>
  <c r="AW19" i="25" a="1"/>
  <c r="AW19" i="25" s="1"/>
  <c r="AW13" i="25" a="1"/>
  <c r="AW13" i="25" s="1"/>
  <c r="AW9" i="25" a="1"/>
  <c r="AW9" i="25" s="1"/>
  <c r="AW35" i="25" a="1"/>
  <c r="AW35" i="25" s="1"/>
  <c r="AW29" i="25" a="1"/>
  <c r="AW29" i="25" s="1"/>
  <c r="AW23" i="25" a="1"/>
  <c r="AW23" i="25" s="1"/>
  <c r="AW17" i="25" a="1"/>
  <c r="AW17" i="25" s="1"/>
  <c r="AJ42" i="24" a="1"/>
  <c r="AJ42" i="24" s="1"/>
  <c r="AQ42" i="24" a="1"/>
  <c r="AQ42" i="24" s="1"/>
  <c r="Y42" i="24" a="1"/>
  <c r="Y42" i="24" s="1"/>
  <c r="V42" i="24" a="1"/>
  <c r="V42" i="24" s="1"/>
  <c r="U42" i="24" a="1"/>
  <c r="U42" i="24" s="1"/>
  <c r="N42" i="24" a="1"/>
  <c r="N42" i="24" s="1"/>
  <c r="AS42" i="24" a="1"/>
  <c r="AS42" i="24" s="1"/>
  <c r="AL42" i="24" a="1"/>
  <c r="AL42" i="24" s="1"/>
  <c r="AE42" i="24" a="1"/>
  <c r="AE42" i="24" s="1"/>
  <c r="S42" i="24" a="1"/>
  <c r="S42" i="24" s="1"/>
  <c r="W42" i="24" a="1"/>
  <c r="W42" i="24" s="1"/>
  <c r="Q42" i="24" a="1"/>
  <c r="Q42" i="24" s="1"/>
  <c r="M42" i="24" a="1"/>
  <c r="M42" i="24" s="1"/>
  <c r="AG42" i="24" a="1"/>
  <c r="AG42" i="24" s="1"/>
  <c r="AB42" i="24" a="1"/>
  <c r="AB42" i="24" s="1"/>
  <c r="AF42" i="24" a="1"/>
  <c r="AF42" i="24" s="1"/>
  <c r="AP42" i="24" a="1"/>
  <c r="AP42" i="24" s="1"/>
  <c r="Z42" i="24" a="1"/>
  <c r="Z42" i="24" s="1"/>
  <c r="X42" i="24" a="1"/>
  <c r="X42" i="24" s="1"/>
  <c r="P42" i="24" a="1"/>
  <c r="P42" i="24" s="1"/>
  <c r="AR42" i="24" a="1"/>
  <c r="AR42" i="24" s="1"/>
  <c r="AI42" i="24" a="1"/>
  <c r="AI42" i="24" s="1"/>
  <c r="R42" i="24" a="1"/>
  <c r="R42" i="24" s="1"/>
  <c r="AO42" i="24" a="1"/>
  <c r="AO42" i="24" s="1"/>
  <c r="AC42" i="24" a="1"/>
  <c r="AC42" i="24" s="1"/>
  <c r="AK42" i="24" a="1"/>
  <c r="AK42" i="24" s="1"/>
  <c r="AA42" i="24" a="1"/>
  <c r="AA42" i="24" s="1"/>
  <c r="O42" i="24" a="1"/>
  <c r="O42" i="24" s="1"/>
  <c r="L43" i="24" a="1"/>
  <c r="L43" i="24" s="1"/>
  <c r="W43" i="24" s="1" a="1"/>
  <c r="W43" i="24" s="1"/>
  <c r="AM42" i="24" a="1"/>
  <c r="AM42" i="24" s="1"/>
  <c r="AN42" i="24" a="1"/>
  <c r="AN42" i="24" s="1"/>
  <c r="AH42" i="24" a="1"/>
  <c r="AH42" i="24" s="1"/>
  <c r="AD42" i="24" a="1"/>
  <c r="AD42" i="24" s="1"/>
  <c r="AT61" i="24"/>
  <c r="AT9" i="24" a="1"/>
  <c r="AT9" i="24" s="1"/>
  <c r="AT60" i="24"/>
  <c r="AT10" i="24" a="1"/>
  <c r="AT10" i="24" s="1"/>
  <c r="AT11" i="24" a="1"/>
  <c r="AT11" i="24" s="1"/>
  <c r="AT13" i="24" a="1"/>
  <c r="AT13" i="24" s="1"/>
  <c r="AT12" i="24" a="1"/>
  <c r="AT12" i="24" s="1"/>
  <c r="AT14" i="24" a="1"/>
  <c r="AT14" i="24" s="1"/>
  <c r="AT15" i="24" a="1"/>
  <c r="AT15" i="24" s="1"/>
  <c r="AT16" i="24" a="1"/>
  <c r="AT16" i="24" s="1"/>
  <c r="AT17" i="24" a="1"/>
  <c r="AT17" i="24" s="1"/>
  <c r="AT18" i="24" a="1"/>
  <c r="AT18" i="24" s="1"/>
  <c r="AT19" i="24" a="1"/>
  <c r="AT19" i="24" s="1"/>
  <c r="AU8" i="24" a="1"/>
  <c r="AU8" i="24" s="1"/>
  <c r="AT20" i="24" a="1"/>
  <c r="AT20" i="24" s="1"/>
  <c r="AT21" i="24" a="1"/>
  <c r="AT21" i="24" s="1"/>
  <c r="AT22" i="24" a="1"/>
  <c r="AT22" i="24" s="1"/>
  <c r="AT23" i="24" a="1"/>
  <c r="AT23" i="24" s="1"/>
  <c r="AT24" i="24" a="1"/>
  <c r="AT24" i="24" s="1"/>
  <c r="AT25" i="24" a="1"/>
  <c r="AT25" i="24" s="1"/>
  <c r="AT26" i="24" a="1"/>
  <c r="AT26" i="24" s="1"/>
  <c r="AT27" i="24" a="1"/>
  <c r="AT27" i="24" s="1"/>
  <c r="AT28" i="24" a="1"/>
  <c r="AT28" i="24" s="1"/>
  <c r="AT29" i="24" a="1"/>
  <c r="AT29" i="24" s="1"/>
  <c r="AT30" i="24" a="1"/>
  <c r="AT30" i="24" s="1"/>
  <c r="AT31" i="24" a="1"/>
  <c r="AT31" i="24" s="1"/>
  <c r="AT32" i="24" a="1"/>
  <c r="AT32" i="24" s="1"/>
  <c r="AT33" i="24" a="1"/>
  <c r="AT33" i="24" s="1"/>
  <c r="AT34" i="24" a="1"/>
  <c r="AT34" i="24" s="1"/>
  <c r="AT35" i="24" a="1"/>
  <c r="AT35" i="24" s="1"/>
  <c r="AT36" i="24" a="1"/>
  <c r="AT36" i="24" s="1"/>
  <c r="AT37" i="24" a="1"/>
  <c r="AT37" i="24" s="1"/>
  <c r="AT38" i="24" a="1"/>
  <c r="AT38" i="24" s="1"/>
  <c r="AT39" i="24" a="1"/>
  <c r="AT39" i="24" s="1"/>
  <c r="AT40" i="24" a="1"/>
  <c r="AT40" i="24" s="1"/>
  <c r="AT41" i="24" a="1"/>
  <c r="AT41" i="24" s="1"/>
  <c r="C29" i="39"/>
  <c r="A29" i="39" s="1"/>
  <c r="F367" i="22"/>
  <c r="AU9" i="26" a="1"/>
  <c r="AU9" i="26" s="1"/>
  <c r="AU10" i="26" a="1"/>
  <c r="AU10" i="26" s="1"/>
  <c r="AU61" i="26"/>
  <c r="AU60" i="26"/>
  <c r="AU13" i="26" a="1"/>
  <c r="AU13" i="26" s="1"/>
  <c r="AU12" i="26" a="1"/>
  <c r="AU12" i="26" s="1"/>
  <c r="AU11" i="26" a="1"/>
  <c r="AU11" i="26" s="1"/>
  <c r="AU15" i="26" a="1"/>
  <c r="AU15" i="26" s="1"/>
  <c r="AU14" i="26" a="1"/>
  <c r="AU14" i="26" s="1"/>
  <c r="AU16" i="26" a="1"/>
  <c r="AU16" i="26" s="1"/>
  <c r="AV8" i="26" a="1"/>
  <c r="AV8" i="26" s="1"/>
  <c r="AV44" i="26" s="1" a="1"/>
  <c r="AV44" i="26" s="1"/>
  <c r="AU17" i="26" a="1"/>
  <c r="AU17" i="26" s="1"/>
  <c r="AU18" i="26" a="1"/>
  <c r="AU18" i="26" s="1"/>
  <c r="AU19" i="26" a="1"/>
  <c r="AU19" i="26" s="1"/>
  <c r="AU20" i="26" a="1"/>
  <c r="AU20" i="26" s="1"/>
  <c r="AU21" i="26" a="1"/>
  <c r="AU21" i="26" s="1"/>
  <c r="AU22" i="26" a="1"/>
  <c r="AU22" i="26" s="1"/>
  <c r="AU23" i="26" a="1"/>
  <c r="AU23" i="26" s="1"/>
  <c r="AU24" i="26" a="1"/>
  <c r="AU24" i="26" s="1"/>
  <c r="AU25" i="26" a="1"/>
  <c r="AU25" i="26" s="1"/>
  <c r="AU26" i="26" a="1"/>
  <c r="AU26" i="26" s="1"/>
  <c r="AU27" i="26" a="1"/>
  <c r="AU27" i="26" s="1"/>
  <c r="AU28" i="26" a="1"/>
  <c r="AU28" i="26" s="1"/>
  <c r="AU29" i="26" a="1"/>
  <c r="AU29" i="26" s="1"/>
  <c r="AU30" i="26" a="1"/>
  <c r="AU30" i="26" s="1"/>
  <c r="AU31" i="26" a="1"/>
  <c r="AU31" i="26" s="1"/>
  <c r="AU32" i="26" a="1"/>
  <c r="AU32" i="26" s="1"/>
  <c r="AU33" i="26" a="1"/>
  <c r="AU33" i="26" s="1"/>
  <c r="AU34" i="26" a="1"/>
  <c r="AU34" i="26" s="1"/>
  <c r="AU35" i="26" a="1"/>
  <c r="AU35" i="26" s="1"/>
  <c r="AU36" i="26" a="1"/>
  <c r="AU36" i="26" s="1"/>
  <c r="AU37" i="26" a="1"/>
  <c r="AU37" i="26" s="1"/>
  <c r="AU38" i="26" a="1"/>
  <c r="AU38" i="26" s="1"/>
  <c r="AU39" i="26" a="1"/>
  <c r="AU39" i="26" s="1"/>
  <c r="AU40" i="26" a="1"/>
  <c r="AU40" i="26" s="1"/>
  <c r="AU41" i="26" a="1"/>
  <c r="AU41" i="26" s="1"/>
  <c r="AU42" i="26" a="1"/>
  <c r="AU42" i="26" s="1"/>
  <c r="AU43" i="26" a="1"/>
  <c r="AU43" i="26" s="1"/>
  <c r="AT42" i="24" a="1"/>
  <c r="AT42" i="24" s="1"/>
  <c r="AS62" i="24"/>
  <c r="AS63" i="24"/>
  <c r="AC44" i="26" a="1"/>
  <c r="AC44" i="26" s="1"/>
  <c r="AB44" i="26" a="1"/>
  <c r="AB44" i="26" s="1"/>
  <c r="T44" i="26" a="1"/>
  <c r="T44" i="26" s="1"/>
  <c r="AL44" i="26" a="1"/>
  <c r="AL44" i="26" s="1"/>
  <c r="R44" i="26" a="1"/>
  <c r="R44" i="26" s="1"/>
  <c r="M44" i="26" a="1"/>
  <c r="M44" i="26" s="1"/>
  <c r="AP44" i="26" a="1"/>
  <c r="AP44" i="26" s="1"/>
  <c r="V44" i="26" a="1"/>
  <c r="V44" i="26" s="1"/>
  <c r="U44" i="26" a="1"/>
  <c r="U44" i="26" s="1"/>
  <c r="N44" i="26" a="1"/>
  <c r="N44" i="26" s="1"/>
  <c r="AF44" i="26" a="1"/>
  <c r="AF44" i="26" s="1"/>
  <c r="AQ44" i="26" a="1"/>
  <c r="AQ44" i="26" s="1"/>
  <c r="AN44" i="26" a="1"/>
  <c r="AN44" i="26" s="1"/>
  <c r="AM44" i="26" a="1"/>
  <c r="AM44" i="26" s="1"/>
  <c r="S44" i="26" a="1"/>
  <c r="S44" i="26" s="1"/>
  <c r="W44" i="26" a="1"/>
  <c r="W44" i="26" s="1"/>
  <c r="AE44" i="26" a="1"/>
  <c r="AE44" i="26" s="1"/>
  <c r="AG44" i="26" a="1"/>
  <c r="AG44" i="26" s="1"/>
  <c r="AO44" i="26" a="1"/>
  <c r="AO44" i="26" s="1"/>
  <c r="Z44" i="26" a="1"/>
  <c r="Z44" i="26" s="1"/>
  <c r="P44" i="26" a="1"/>
  <c r="P44" i="26" s="1"/>
  <c r="AD44" i="26" a="1"/>
  <c r="AD44" i="26" s="1"/>
  <c r="AU44" i="26" a="1"/>
  <c r="AU44" i="26" s="1"/>
  <c r="AS44" i="26" a="1"/>
  <c r="AS44" i="26" s="1"/>
  <c r="Y44" i="26" a="1"/>
  <c r="Y44" i="26" s="1"/>
  <c r="AH44" i="26" a="1"/>
  <c r="AH44" i="26" s="1"/>
  <c r="X44" i="26" a="1"/>
  <c r="X44" i="26" s="1"/>
  <c r="O44" i="26" a="1"/>
  <c r="O44" i="26" s="1"/>
  <c r="AT44" i="26" a="1"/>
  <c r="AT44" i="26" s="1"/>
  <c r="AI44" i="26" a="1"/>
  <c r="AI44" i="26" s="1"/>
  <c r="AR44" i="26" a="1"/>
  <c r="AR44" i="26" s="1"/>
  <c r="Q44" i="26" a="1"/>
  <c r="Q44" i="26" s="1"/>
  <c r="AK44" i="26" a="1"/>
  <c r="AK44" i="26" s="1"/>
  <c r="AA44" i="26" a="1"/>
  <c r="AA44" i="26" s="1"/>
  <c r="AJ44" i="26" a="1"/>
  <c r="AJ44" i="26" s="1"/>
  <c r="L45" i="26" a="1"/>
  <c r="L45" i="26" s="1"/>
  <c r="AQ9" i="38"/>
  <c r="AQ10" i="38"/>
  <c r="AQ60" i="38"/>
  <c r="AQ61" i="38"/>
  <c r="AQ11" i="38"/>
  <c r="AQ12" i="38"/>
  <c r="AQ13" i="38"/>
  <c r="AQ14" i="38"/>
  <c r="AQ15" i="38"/>
  <c r="AQ16" i="38"/>
  <c r="AQ17" i="38"/>
  <c r="AR8" i="38" a="1"/>
  <c r="AR8" i="38" s="1"/>
  <c r="AR41" i="38" s="1"/>
  <c r="AQ18" i="38"/>
  <c r="AQ19" i="38"/>
  <c r="AQ20" i="38"/>
  <c r="AQ21" i="38"/>
  <c r="AQ22" i="38"/>
  <c r="AQ23" i="38"/>
  <c r="AQ24" i="38"/>
  <c r="AQ25" i="38"/>
  <c r="AQ26" i="38"/>
  <c r="AQ27" i="38"/>
  <c r="AQ28" i="38"/>
  <c r="AQ29" i="38"/>
  <c r="AQ30" i="38"/>
  <c r="AQ31" i="38"/>
  <c r="AQ32" i="38"/>
  <c r="AQ33" i="38"/>
  <c r="AQ34" i="38"/>
  <c r="AQ35" i="38"/>
  <c r="AQ36" i="38"/>
  <c r="AQ37" i="38"/>
  <c r="AQ38" i="38"/>
  <c r="AQ39" i="38"/>
  <c r="R40" i="25" a="1"/>
  <c r="R40" i="25" s="1"/>
  <c r="T40" i="25" a="1"/>
  <c r="T40" i="25" s="1"/>
  <c r="O40" i="25" a="1"/>
  <c r="O40" i="25" s="1"/>
  <c r="Q40" i="25" a="1"/>
  <c r="Q40" i="25" s="1"/>
  <c r="P40" i="25" a="1"/>
  <c r="P40" i="25" s="1"/>
  <c r="S40" i="25" a="1"/>
  <c r="S40" i="25" s="1"/>
  <c r="W40" i="25" a="1"/>
  <c r="W40" i="25" s="1"/>
  <c r="U40" i="25" a="1"/>
  <c r="U40" i="25" s="1"/>
  <c r="V40" i="25" a="1"/>
  <c r="V40" i="25" s="1"/>
  <c r="X40" i="25" a="1"/>
  <c r="X40" i="25" s="1"/>
  <c r="Z40" i="25" a="1"/>
  <c r="Z40" i="25" s="1"/>
  <c r="Y40" i="25" a="1"/>
  <c r="Y40" i="25" s="1"/>
  <c r="AB40" i="25" a="1"/>
  <c r="AB40" i="25" s="1"/>
  <c r="AD40" i="25" a="1"/>
  <c r="AD40" i="25" s="1"/>
  <c r="AC40" i="25" a="1"/>
  <c r="AC40" i="25" s="1"/>
  <c r="AA40" i="25" a="1"/>
  <c r="AA40" i="25" s="1"/>
  <c r="AF40" i="25" a="1"/>
  <c r="AF40" i="25" s="1"/>
  <c r="AE40" i="25" a="1"/>
  <c r="AE40" i="25" s="1"/>
  <c r="AG40" i="25" a="1"/>
  <c r="AG40" i="25" s="1"/>
  <c r="AH40" i="25" a="1"/>
  <c r="AH40" i="25" s="1"/>
  <c r="AI40" i="25" a="1"/>
  <c r="AI40" i="25" s="1"/>
  <c r="AK40" i="25" a="1"/>
  <c r="AK40" i="25" s="1"/>
  <c r="AJ40" i="25" a="1"/>
  <c r="AJ40" i="25" s="1"/>
  <c r="AQ40" i="25" a="1"/>
  <c r="AQ40" i="25" s="1"/>
  <c r="AL40" i="25" a="1"/>
  <c r="AL40" i="25" s="1"/>
  <c r="AN40" i="25" a="1"/>
  <c r="AN40" i="25" s="1"/>
  <c r="AO40" i="25" a="1"/>
  <c r="AO40" i="25" s="1"/>
  <c r="AM40" i="25" a="1"/>
  <c r="AM40" i="25" s="1"/>
  <c r="AS40" i="25" a="1"/>
  <c r="AS40" i="25" s="1"/>
  <c r="AR40" i="25" a="1"/>
  <c r="AR40" i="25" s="1"/>
  <c r="AT40" i="25" a="1"/>
  <c r="AT40" i="25" s="1"/>
  <c r="AP40" i="25" a="1"/>
  <c r="AP40" i="25" s="1"/>
  <c r="AU40" i="25" a="1"/>
  <c r="AU40" i="25" s="1"/>
  <c r="AV40" i="25" a="1"/>
  <c r="AV40" i="25" s="1"/>
  <c r="AW40" i="25" a="1"/>
  <c r="AW40" i="25" s="1"/>
  <c r="N41" i="25" a="1"/>
  <c r="N41" i="25" s="1"/>
  <c r="U41" i="38"/>
  <c r="T41" i="38"/>
  <c r="Y41" i="38"/>
  <c r="M41" i="38"/>
  <c r="AL41" i="38"/>
  <c r="Q41" i="38"/>
  <c r="AG41" i="38"/>
  <c r="S41" i="38"/>
  <c r="AQ41" i="38"/>
  <c r="X41" i="38"/>
  <c r="AJ41" i="38"/>
  <c r="AI41" i="38"/>
  <c r="AN41" i="38"/>
  <c r="L41" i="38"/>
  <c r="N41" i="38"/>
  <c r="V41" i="38"/>
  <c r="AO41" i="38"/>
  <c r="AM41" i="38"/>
  <c r="Z41" i="38"/>
  <c r="AD41" i="38"/>
  <c r="AB41" i="38"/>
  <c r="R41" i="38"/>
  <c r="P41" i="38"/>
  <c r="AK41" i="38"/>
  <c r="AF41" i="38"/>
  <c r="AC41" i="38"/>
  <c r="AP41" i="38"/>
  <c r="AA41" i="38"/>
  <c r="O41" i="38"/>
  <c r="AE41" i="38"/>
  <c r="AH41" i="38"/>
  <c r="W41" i="38"/>
  <c r="K42" i="38" a="1"/>
  <c r="K42" i="38" s="1"/>
  <c r="AQ40" i="38"/>
  <c r="AX31" i="25" l="1" a="1"/>
  <c r="AX31" i="25" s="1"/>
  <c r="AX14" i="25" a="1"/>
  <c r="AX14" i="25" s="1"/>
  <c r="AX24" i="25" a="1"/>
  <c r="AX24" i="25" s="1"/>
  <c r="AX13" i="25" a="1"/>
  <c r="AX13" i="25" s="1"/>
  <c r="AX35" i="25" a="1"/>
  <c r="AX35" i="25" s="1"/>
  <c r="AX29" i="25" a="1"/>
  <c r="AX29" i="25" s="1"/>
  <c r="AX23" i="25" a="1"/>
  <c r="AX23" i="25" s="1"/>
  <c r="AX18" i="25" a="1"/>
  <c r="AX18" i="25" s="1"/>
  <c r="AX11" i="25" a="1"/>
  <c r="AX11" i="25" s="1"/>
  <c r="AX37" i="25" a="1"/>
  <c r="AX37" i="25" s="1"/>
  <c r="AX19" i="25" a="1"/>
  <c r="AX19" i="25" s="1"/>
  <c r="AX36" i="25" a="1"/>
  <c r="AX36" i="25" s="1"/>
  <c r="AX60" i="25"/>
  <c r="AX34" i="25" a="1"/>
  <c r="AX34" i="25" s="1"/>
  <c r="AX28" i="25" a="1"/>
  <c r="AX28" i="25" s="1"/>
  <c r="AX22" i="25" a="1"/>
  <c r="AX22" i="25" s="1"/>
  <c r="AX12" i="25" a="1"/>
  <c r="AX12" i="25" s="1"/>
  <c r="AY8" i="25" a="1"/>
  <c r="AY8" i="25" s="1"/>
  <c r="AY40" i="25" s="1" a="1"/>
  <c r="AY40" i="25" s="1"/>
  <c r="AX33" i="25" a="1"/>
  <c r="AX33" i="25" s="1"/>
  <c r="AX27" i="25" a="1"/>
  <c r="AX27" i="25" s="1"/>
  <c r="AX21" i="25" a="1"/>
  <c r="AX21" i="25" s="1"/>
  <c r="AX16" i="25" a="1"/>
  <c r="AX16" i="25" s="1"/>
  <c r="AX10" i="25" a="1"/>
  <c r="AX10" i="25" s="1"/>
  <c r="AX25" i="25" a="1"/>
  <c r="AX25" i="25" s="1"/>
  <c r="AX61" i="25"/>
  <c r="AX39" i="25" a="1"/>
  <c r="AX39" i="25" s="1"/>
  <c r="AX30" i="25" a="1"/>
  <c r="AX30" i="25" s="1"/>
  <c r="AX17" i="25" a="1"/>
  <c r="AX17" i="25" s="1"/>
  <c r="AX40" i="25" a="1"/>
  <c r="AX40" i="25" s="1"/>
  <c r="AX38" i="25" a="1"/>
  <c r="AX38" i="25" s="1"/>
  <c r="AX32" i="25" a="1"/>
  <c r="AX32" i="25" s="1"/>
  <c r="AX26" i="25" a="1"/>
  <c r="AX26" i="25" s="1"/>
  <c r="AX20" i="25" a="1"/>
  <c r="AX20" i="25" s="1"/>
  <c r="AX15" i="25" a="1"/>
  <c r="AX15" i="25" s="1"/>
  <c r="AP43" i="24" a="1"/>
  <c r="AP43" i="24" s="1"/>
  <c r="AT43" i="24" a="1"/>
  <c r="AT43" i="24" s="1"/>
  <c r="AD43" i="24" a="1"/>
  <c r="AD43" i="24" s="1"/>
  <c r="N43" i="24" a="1"/>
  <c r="N43" i="24" s="1"/>
  <c r="AA43" i="24" a="1"/>
  <c r="AA43" i="24" s="1"/>
  <c r="S43" i="24" a="1"/>
  <c r="S43" i="24" s="1"/>
  <c r="AB43" i="24" a="1"/>
  <c r="AB43" i="24" s="1"/>
  <c r="AJ43" i="24" a="1"/>
  <c r="AJ43" i="24" s="1"/>
  <c r="U43" i="24" a="1"/>
  <c r="U43" i="24" s="1"/>
  <c r="M43" i="24" a="1"/>
  <c r="M43" i="24" s="1"/>
  <c r="AN43" i="24" a="1"/>
  <c r="AN43" i="24" s="1"/>
  <c r="AC43" i="24" a="1"/>
  <c r="AC43" i="24" s="1"/>
  <c r="O43" i="24" a="1"/>
  <c r="O43" i="24" s="1"/>
  <c r="AE43" i="24" a="1"/>
  <c r="AE43" i="24" s="1"/>
  <c r="R43" i="24" a="1"/>
  <c r="R43" i="24" s="1"/>
  <c r="AS43" i="24" a="1"/>
  <c r="AS43" i="24" s="1"/>
  <c r="AL43" i="24" a="1"/>
  <c r="AL43" i="24" s="1"/>
  <c r="Y43" i="24" a="1"/>
  <c r="Y43" i="24" s="1"/>
  <c r="AF43" i="24" a="1"/>
  <c r="AF43" i="24" s="1"/>
  <c r="Q43" i="24" a="1"/>
  <c r="Q43" i="24" s="1"/>
  <c r="L44" i="24" a="1"/>
  <c r="L44" i="24" s="1"/>
  <c r="S44" i="24" s="1" a="1"/>
  <c r="S44" i="24" s="1"/>
  <c r="AR43" i="24" a="1"/>
  <c r="AR43" i="24" s="1"/>
  <c r="AI43" i="24" a="1"/>
  <c r="AI43" i="24" s="1"/>
  <c r="P43" i="24" a="1"/>
  <c r="P43" i="24" s="1"/>
  <c r="X43" i="24" a="1"/>
  <c r="X43" i="24" s="1"/>
  <c r="V43" i="24" a="1"/>
  <c r="V43" i="24" s="1"/>
  <c r="AO43" i="24" a="1"/>
  <c r="AO43" i="24" s="1"/>
  <c r="T43" i="24" a="1"/>
  <c r="T43" i="24" s="1"/>
  <c r="Z43" i="24" a="1"/>
  <c r="Z43" i="24" s="1"/>
  <c r="AK43" i="24" a="1"/>
  <c r="AK43" i="24" s="1"/>
  <c r="AQ43" i="24" a="1"/>
  <c r="AQ43" i="24" s="1"/>
  <c r="AH43" i="24" a="1"/>
  <c r="AH43" i="24" s="1"/>
  <c r="AM43" i="24" a="1"/>
  <c r="AM43" i="24" s="1"/>
  <c r="AG43" i="24" a="1"/>
  <c r="AG43" i="24" s="1"/>
  <c r="R45" i="26" a="1"/>
  <c r="R45" i="26" s="1"/>
  <c r="AQ45" i="26" a="1"/>
  <c r="AQ45" i="26" s="1"/>
  <c r="AI45" i="26" a="1"/>
  <c r="AI45" i="26" s="1"/>
  <c r="P45" i="26" a="1"/>
  <c r="P45" i="26" s="1"/>
  <c r="AA45" i="26" a="1"/>
  <c r="AA45" i="26" s="1"/>
  <c r="AM45" i="26" a="1"/>
  <c r="AM45" i="26" s="1"/>
  <c r="AE45" i="26" a="1"/>
  <c r="AE45" i="26" s="1"/>
  <c r="W45" i="26" a="1"/>
  <c r="W45" i="26" s="1"/>
  <c r="AV45" i="26" a="1"/>
  <c r="AV45" i="26" s="1"/>
  <c r="AB45" i="26" a="1"/>
  <c r="AB45" i="26" s="1"/>
  <c r="T45" i="26" a="1"/>
  <c r="T45" i="26" s="1"/>
  <c r="AG45" i="26" a="1"/>
  <c r="AG45" i="26" s="1"/>
  <c r="AD45" i="26" a="1"/>
  <c r="AD45" i="26" s="1"/>
  <c r="AO45" i="26" a="1"/>
  <c r="AO45" i="26" s="1"/>
  <c r="AL45" i="26" a="1"/>
  <c r="AL45" i="26" s="1"/>
  <c r="AR45" i="26" a="1"/>
  <c r="AR45" i="26" s="1"/>
  <c r="AH45" i="26" a="1"/>
  <c r="AH45" i="26" s="1"/>
  <c r="Z45" i="26" a="1"/>
  <c r="Z45" i="26" s="1"/>
  <c r="AK45" i="26" a="1"/>
  <c r="AK45" i="26" s="1"/>
  <c r="Q45" i="26" a="1"/>
  <c r="Q45" i="26" s="1"/>
  <c r="AT45" i="26" a="1"/>
  <c r="AT45" i="26" s="1"/>
  <c r="M45" i="26" a="1"/>
  <c r="M45" i="26" s="1"/>
  <c r="AP45" i="26" a="1"/>
  <c r="AP45" i="26" s="1"/>
  <c r="AU45" i="26" a="1"/>
  <c r="AU45" i="26" s="1"/>
  <c r="X45" i="26" a="1"/>
  <c r="X45" i="26" s="1"/>
  <c r="AN45" i="26" a="1"/>
  <c r="AN45" i="26" s="1"/>
  <c r="AS45" i="26" a="1"/>
  <c r="AS45" i="26" s="1"/>
  <c r="AC45" i="26" a="1"/>
  <c r="AC45" i="26" s="1"/>
  <c r="S45" i="26" a="1"/>
  <c r="S45" i="26" s="1"/>
  <c r="AF45" i="26" a="1"/>
  <c r="AF45" i="26" s="1"/>
  <c r="V45" i="26" a="1"/>
  <c r="V45" i="26" s="1"/>
  <c r="U45" i="26" a="1"/>
  <c r="U45" i="26" s="1"/>
  <c r="Y45" i="26" a="1"/>
  <c r="Y45" i="26" s="1"/>
  <c r="AJ45" i="26" a="1"/>
  <c r="AJ45" i="26" s="1"/>
  <c r="O45" i="26" a="1"/>
  <c r="O45" i="26" s="1"/>
  <c r="N45" i="26" a="1"/>
  <c r="N45" i="26" s="1"/>
  <c r="L46" i="26" a="1"/>
  <c r="L46" i="26" s="1"/>
  <c r="AT62" i="24"/>
  <c r="AT63" i="24"/>
  <c r="AU60" i="24"/>
  <c r="AU61" i="24"/>
  <c r="AU9" i="24" a="1"/>
  <c r="AU9" i="24" s="1"/>
  <c r="AU10" i="24" a="1"/>
  <c r="AU10" i="24" s="1"/>
  <c r="AU11" i="24" a="1"/>
  <c r="AU11" i="24" s="1"/>
  <c r="AU13" i="24" a="1"/>
  <c r="AU13" i="24" s="1"/>
  <c r="AU12" i="24" a="1"/>
  <c r="AU12" i="24" s="1"/>
  <c r="AU14" i="24" a="1"/>
  <c r="AU14" i="24" s="1"/>
  <c r="AU15" i="24" a="1"/>
  <c r="AU15" i="24" s="1"/>
  <c r="AU17" i="24" a="1"/>
  <c r="AU17" i="24" s="1"/>
  <c r="AU16" i="24" a="1"/>
  <c r="AU16" i="24" s="1"/>
  <c r="AU19" i="24" a="1"/>
  <c r="AU19" i="24" s="1"/>
  <c r="AU18" i="24" a="1"/>
  <c r="AU18" i="24" s="1"/>
  <c r="AV8" i="24" a="1"/>
  <c r="AV8" i="24" s="1"/>
  <c r="AU20" i="24" a="1"/>
  <c r="AU20" i="24" s="1"/>
  <c r="AU21" i="24" a="1"/>
  <c r="AU21" i="24" s="1"/>
  <c r="AU22" i="24" a="1"/>
  <c r="AU22" i="24" s="1"/>
  <c r="AU23" i="24" a="1"/>
  <c r="AU23" i="24" s="1"/>
  <c r="AU24" i="24" a="1"/>
  <c r="AU24" i="24" s="1"/>
  <c r="AU25" i="24" a="1"/>
  <c r="AU25" i="24" s="1"/>
  <c r="AU26" i="24" a="1"/>
  <c r="AU26" i="24" s="1"/>
  <c r="AU27" i="24" a="1"/>
  <c r="AU27" i="24" s="1"/>
  <c r="AU28" i="24" a="1"/>
  <c r="AU28" i="24" s="1"/>
  <c r="AU29" i="24" a="1"/>
  <c r="AU29" i="24" s="1"/>
  <c r="AU30" i="24" a="1"/>
  <c r="AU30" i="24" s="1"/>
  <c r="AU31" i="24" a="1"/>
  <c r="AU31" i="24" s="1"/>
  <c r="AU32" i="24" a="1"/>
  <c r="AU32" i="24" s="1"/>
  <c r="AU33" i="24" a="1"/>
  <c r="AU33" i="24" s="1"/>
  <c r="AU34" i="24" a="1"/>
  <c r="AU34" i="24" s="1"/>
  <c r="AU35" i="24" a="1"/>
  <c r="AU35" i="24" s="1"/>
  <c r="AU36" i="24" a="1"/>
  <c r="AU36" i="24" s="1"/>
  <c r="AU37" i="24" a="1"/>
  <c r="AU37" i="24" s="1"/>
  <c r="AU38" i="24" a="1"/>
  <c r="AU38" i="24" s="1"/>
  <c r="AU39" i="24" a="1"/>
  <c r="AU39" i="24" s="1"/>
  <c r="AU40" i="24" a="1"/>
  <c r="AU40" i="24" s="1"/>
  <c r="AU41" i="24" a="1"/>
  <c r="AU41" i="24" s="1"/>
  <c r="AU42" i="24" a="1"/>
  <c r="AU42" i="24" s="1"/>
  <c r="R41" i="25" a="1"/>
  <c r="R41" i="25" s="1"/>
  <c r="P41" i="25" a="1"/>
  <c r="P41" i="25" s="1"/>
  <c r="T41" i="25" a="1"/>
  <c r="T41" i="25" s="1"/>
  <c r="Q41" i="25" a="1"/>
  <c r="Q41" i="25" s="1"/>
  <c r="O41" i="25" a="1"/>
  <c r="O41" i="25" s="1"/>
  <c r="S41" i="25" a="1"/>
  <c r="S41" i="25" s="1"/>
  <c r="U41" i="25" a="1"/>
  <c r="U41" i="25" s="1"/>
  <c r="V41" i="25" a="1"/>
  <c r="V41" i="25" s="1"/>
  <c r="W41" i="25" a="1"/>
  <c r="W41" i="25" s="1"/>
  <c r="X41" i="25" a="1"/>
  <c r="X41" i="25" s="1"/>
  <c r="Z41" i="25" a="1"/>
  <c r="Z41" i="25" s="1"/>
  <c r="AA41" i="25" a="1"/>
  <c r="AA41" i="25" s="1"/>
  <c r="Y41" i="25" a="1"/>
  <c r="Y41" i="25" s="1"/>
  <c r="AB41" i="25" a="1"/>
  <c r="AB41" i="25" s="1"/>
  <c r="AD41" i="25" a="1"/>
  <c r="AD41" i="25" s="1"/>
  <c r="AC41" i="25" a="1"/>
  <c r="AC41" i="25" s="1"/>
  <c r="AE41" i="25" a="1"/>
  <c r="AE41" i="25" s="1"/>
  <c r="AH41" i="25" a="1"/>
  <c r="AH41" i="25" s="1"/>
  <c r="AK41" i="25" a="1"/>
  <c r="AK41" i="25" s="1"/>
  <c r="AG41" i="25" a="1"/>
  <c r="AG41" i="25" s="1"/>
  <c r="AJ41" i="25" a="1"/>
  <c r="AJ41" i="25" s="1"/>
  <c r="AF41" i="25" a="1"/>
  <c r="AF41" i="25" s="1"/>
  <c r="AI41" i="25" a="1"/>
  <c r="AI41" i="25" s="1"/>
  <c r="AL41" i="25" a="1"/>
  <c r="AL41" i="25" s="1"/>
  <c r="AN41" i="25" a="1"/>
  <c r="AN41" i="25" s="1"/>
  <c r="AP41" i="25" a="1"/>
  <c r="AP41" i="25" s="1"/>
  <c r="AQ41" i="25" a="1"/>
  <c r="AQ41" i="25" s="1"/>
  <c r="AM41" i="25" a="1"/>
  <c r="AM41" i="25" s="1"/>
  <c r="AO41" i="25" a="1"/>
  <c r="AO41" i="25" s="1"/>
  <c r="AV41" i="25" a="1"/>
  <c r="AV41" i="25" s="1"/>
  <c r="AT41" i="25" a="1"/>
  <c r="AT41" i="25" s="1"/>
  <c r="AR41" i="25" a="1"/>
  <c r="AR41" i="25" s="1"/>
  <c r="AS41" i="25" a="1"/>
  <c r="AS41" i="25" s="1"/>
  <c r="AU41" i="25" a="1"/>
  <c r="AU41" i="25" s="1"/>
  <c r="AX41" i="25" a="1"/>
  <c r="AX41" i="25" s="1"/>
  <c r="AW41" i="25" a="1"/>
  <c r="AW41" i="25" s="1"/>
  <c r="N42" i="25" a="1"/>
  <c r="N42" i="25" s="1"/>
  <c r="AR9" i="38"/>
  <c r="AR10" i="38"/>
  <c r="AR61" i="38"/>
  <c r="AR60" i="38"/>
  <c r="AR11" i="38"/>
  <c r="AR12" i="38"/>
  <c r="AR13" i="38"/>
  <c r="AR15" i="38"/>
  <c r="AR14" i="38"/>
  <c r="AR16" i="38"/>
  <c r="AR17" i="38"/>
  <c r="AR18" i="38"/>
  <c r="AR19" i="38"/>
  <c r="AS8" i="38" a="1"/>
  <c r="AS8" i="38" s="1"/>
  <c r="AS42" i="38" s="1"/>
  <c r="AR20" i="38"/>
  <c r="AR21" i="38"/>
  <c r="AR22" i="38"/>
  <c r="AR23" i="38"/>
  <c r="AR24" i="38"/>
  <c r="AR25" i="38"/>
  <c r="AR26" i="38"/>
  <c r="AR27" i="38"/>
  <c r="AR28" i="38"/>
  <c r="AR29" i="38"/>
  <c r="AR30" i="38"/>
  <c r="AR31" i="38"/>
  <c r="AR32" i="38"/>
  <c r="AR33" i="38"/>
  <c r="AR34" i="38"/>
  <c r="AR35" i="38"/>
  <c r="AR36" i="38"/>
  <c r="AR37" i="38"/>
  <c r="AR38" i="38"/>
  <c r="AR39" i="38"/>
  <c r="AR40" i="38"/>
  <c r="C30" i="39"/>
  <c r="A30" i="39" s="1"/>
  <c r="F368" i="22"/>
  <c r="F369" i="22" s="1"/>
  <c r="F370" i="22" s="1"/>
  <c r="F371" i="22" s="1"/>
  <c r="F372" i="22" s="1"/>
  <c r="F373" i="22" s="1"/>
  <c r="F374" i="22" s="1"/>
  <c r="F375" i="22" s="1"/>
  <c r="F376" i="22" s="1"/>
  <c r="F377" i="22" s="1"/>
  <c r="F378" i="22" s="1"/>
  <c r="F379" i="22" s="1"/>
  <c r="F380" i="22" s="1"/>
  <c r="AV10" i="26" a="1"/>
  <c r="AV10" i="26" s="1"/>
  <c r="AV61" i="26"/>
  <c r="AV9" i="26" a="1"/>
  <c r="AV9" i="26" s="1"/>
  <c r="AV60" i="26"/>
  <c r="AV12" i="26" a="1"/>
  <c r="AV12" i="26" s="1"/>
  <c r="AV13" i="26" a="1"/>
  <c r="AV13" i="26" s="1"/>
  <c r="AV11" i="26" a="1"/>
  <c r="AV11" i="26" s="1"/>
  <c r="AV15" i="26" a="1"/>
  <c r="AV15" i="26" s="1"/>
  <c r="AV14" i="26" a="1"/>
  <c r="AV14" i="26" s="1"/>
  <c r="AV16" i="26" a="1"/>
  <c r="AV16" i="26" s="1"/>
  <c r="AV17" i="26" a="1"/>
  <c r="AV17" i="26" s="1"/>
  <c r="AV18" i="26" a="1"/>
  <c r="AV18" i="26" s="1"/>
  <c r="AV19" i="26" a="1"/>
  <c r="AV19" i="26" s="1"/>
  <c r="AW8" i="26" a="1"/>
  <c r="AW8" i="26" s="1"/>
  <c r="AW45" i="26" s="1" a="1"/>
  <c r="AW45" i="26" s="1"/>
  <c r="AV20" i="26" a="1"/>
  <c r="AV20" i="26" s="1"/>
  <c r="AV22" i="26" a="1"/>
  <c r="AV22" i="26" s="1"/>
  <c r="AV21" i="26" a="1"/>
  <c r="AV21" i="26" s="1"/>
  <c r="AV23" i="26" a="1"/>
  <c r="AV23" i="26" s="1"/>
  <c r="AV24" i="26" a="1"/>
  <c r="AV24" i="26" s="1"/>
  <c r="AV25" i="26" a="1"/>
  <c r="AV25" i="26" s="1"/>
  <c r="AV26" i="26" a="1"/>
  <c r="AV26" i="26" s="1"/>
  <c r="AV27" i="26" a="1"/>
  <c r="AV27" i="26" s="1"/>
  <c r="AV28" i="26" a="1"/>
  <c r="AV28" i="26" s="1"/>
  <c r="AV29" i="26" a="1"/>
  <c r="AV29" i="26" s="1"/>
  <c r="AV30" i="26" a="1"/>
  <c r="AV30" i="26" s="1"/>
  <c r="AV31" i="26" a="1"/>
  <c r="AV31" i="26" s="1"/>
  <c r="AV32" i="26" a="1"/>
  <c r="AV32" i="26" s="1"/>
  <c r="AV33" i="26" a="1"/>
  <c r="AV33" i="26" s="1"/>
  <c r="AV34" i="26" a="1"/>
  <c r="AV34" i="26" s="1"/>
  <c r="AV35" i="26" a="1"/>
  <c r="AV35" i="26" s="1"/>
  <c r="AV36" i="26" a="1"/>
  <c r="AV36" i="26" s="1"/>
  <c r="AV37" i="26" a="1"/>
  <c r="AV37" i="26" s="1"/>
  <c r="AV38" i="26" a="1"/>
  <c r="AV38" i="26" s="1"/>
  <c r="AV39" i="26" a="1"/>
  <c r="AV39" i="26" s="1"/>
  <c r="AV40" i="26" a="1"/>
  <c r="AV40" i="26" s="1"/>
  <c r="AV41" i="26" a="1"/>
  <c r="AV41" i="26" s="1"/>
  <c r="AV42" i="26" a="1"/>
  <c r="AV42" i="26" s="1"/>
  <c r="AV43" i="26" a="1"/>
  <c r="AV43" i="26" s="1"/>
  <c r="AU43" i="24" a="1"/>
  <c r="AU43" i="24" s="1"/>
  <c r="R42" i="38"/>
  <c r="M42" i="38"/>
  <c r="AR42" i="38"/>
  <c r="X42" i="38"/>
  <c r="AK42" i="38"/>
  <c r="AC42" i="38"/>
  <c r="AN42" i="38"/>
  <c r="W42" i="38"/>
  <c r="AO42" i="38"/>
  <c r="N42" i="38"/>
  <c r="AL42" i="38"/>
  <c r="AG42" i="38"/>
  <c r="AE42" i="38"/>
  <c r="Z42" i="38"/>
  <c r="Y42" i="38"/>
  <c r="V42" i="38"/>
  <c r="T42" i="38"/>
  <c r="Q42" i="38"/>
  <c r="AM42" i="38"/>
  <c r="AA42" i="38"/>
  <c r="S42" i="38"/>
  <c r="AQ42" i="38"/>
  <c r="AI42" i="38"/>
  <c r="AH42" i="38"/>
  <c r="P42" i="38"/>
  <c r="O42" i="38"/>
  <c r="AD42" i="38"/>
  <c r="AP42" i="38"/>
  <c r="L42" i="38"/>
  <c r="U42" i="38"/>
  <c r="AB42" i="38"/>
  <c r="AJ42" i="38"/>
  <c r="AF42" i="38"/>
  <c r="K43" i="38" a="1"/>
  <c r="K43" i="38" s="1"/>
  <c r="AY27" i="25" l="1" a="1"/>
  <c r="AY27" i="25" s="1"/>
  <c r="AY15" i="25" a="1"/>
  <c r="AY15" i="25" s="1"/>
  <c r="AY26" i="25" a="1"/>
  <c r="AY26" i="25" s="1"/>
  <c r="AY39" i="25" a="1"/>
  <c r="AY39" i="25" s="1"/>
  <c r="AY21" i="25" a="1"/>
  <c r="AY21" i="25" s="1"/>
  <c r="AY38" i="25" a="1"/>
  <c r="AY38" i="25" s="1"/>
  <c r="AY20" i="25" a="1"/>
  <c r="AY20" i="25" s="1"/>
  <c r="AY32" i="25" a="1"/>
  <c r="AY32" i="25" s="1"/>
  <c r="AY33" i="25" a="1"/>
  <c r="AY33" i="25" s="1"/>
  <c r="AY16" i="25" a="1"/>
  <c r="AY16" i="25" s="1"/>
  <c r="AZ8" i="25" a="1"/>
  <c r="AZ8" i="25" s="1"/>
  <c r="AZ41" i="25" s="1" a="1"/>
  <c r="AZ41" i="25" s="1"/>
  <c r="AY14" i="25" a="1"/>
  <c r="AY14" i="25" s="1"/>
  <c r="AY9" i="25" a="1"/>
  <c r="AY9" i="25" s="1"/>
  <c r="AY36" i="25" a="1"/>
  <c r="AY36" i="25" s="1"/>
  <c r="AY30" i="25" a="1"/>
  <c r="AY30" i="25" s="1"/>
  <c r="AY24" i="25" a="1"/>
  <c r="AY24" i="25" s="1"/>
  <c r="AY19" i="25" a="1"/>
  <c r="AY19" i="25" s="1"/>
  <c r="AY13" i="25" a="1"/>
  <c r="AY13" i="25" s="1"/>
  <c r="AY61" i="25"/>
  <c r="AY35" i="25" a="1"/>
  <c r="AY35" i="25" s="1"/>
  <c r="AY29" i="25" a="1"/>
  <c r="AY29" i="25" s="1"/>
  <c r="AY23" i="25" a="1"/>
  <c r="AY23" i="25" s="1"/>
  <c r="AY17" i="25" a="1"/>
  <c r="AY17" i="25" s="1"/>
  <c r="AY12" i="25" a="1"/>
  <c r="AY12" i="25" s="1"/>
  <c r="AY41" i="25" a="1"/>
  <c r="AY41" i="25" s="1"/>
  <c r="AY34" i="25" a="1"/>
  <c r="AY34" i="25" s="1"/>
  <c r="AY28" i="25" a="1"/>
  <c r="AY28" i="25" s="1"/>
  <c r="AY22" i="25" a="1"/>
  <c r="AY22" i="25" s="1"/>
  <c r="AY18" i="25" a="1"/>
  <c r="AY18" i="25" s="1"/>
  <c r="AY11" i="25" a="1"/>
  <c r="AY11" i="25" s="1"/>
  <c r="AY10" i="25" a="1"/>
  <c r="AY10" i="25" s="1"/>
  <c r="AY60" i="25"/>
  <c r="AY37" i="25" a="1"/>
  <c r="AY37" i="25" s="1"/>
  <c r="AY31" i="25" a="1"/>
  <c r="AY31" i="25" s="1"/>
  <c r="AY25" i="25" a="1"/>
  <c r="AY25" i="25" s="1"/>
  <c r="AT44" i="24" a="1"/>
  <c r="AT44" i="24" s="1"/>
  <c r="AI44" i="24" a="1"/>
  <c r="AI44" i="24" s="1"/>
  <c r="R44" i="24" a="1"/>
  <c r="R44" i="24" s="1"/>
  <c r="AN44" i="24" a="1"/>
  <c r="AN44" i="24" s="1"/>
  <c r="AL44" i="24" a="1"/>
  <c r="AL44" i="24" s="1"/>
  <c r="AU44" i="24" a="1"/>
  <c r="AU44" i="24" s="1"/>
  <c r="AG44" i="24" a="1"/>
  <c r="AG44" i="24" s="1"/>
  <c r="AB44" i="24" a="1"/>
  <c r="AB44" i="24" s="1"/>
  <c r="N44" i="24" a="1"/>
  <c r="N44" i="24" s="1"/>
  <c r="AK44" i="24" a="1"/>
  <c r="AK44" i="24" s="1"/>
  <c r="AD44" i="24" a="1"/>
  <c r="AD44" i="24" s="1"/>
  <c r="AE44" i="24" a="1"/>
  <c r="AE44" i="24" s="1"/>
  <c r="X44" i="24" a="1"/>
  <c r="X44" i="24" s="1"/>
  <c r="AJ44" i="24" a="1"/>
  <c r="AJ44" i="24" s="1"/>
  <c r="AR44" i="24" a="1"/>
  <c r="AR44" i="24" s="1"/>
  <c r="AA44" i="24" a="1"/>
  <c r="AA44" i="24" s="1"/>
  <c r="T44" i="24" a="1"/>
  <c r="T44" i="24" s="1"/>
  <c r="U44" i="24" a="1"/>
  <c r="U44" i="24" s="1"/>
  <c r="AQ44" i="24" a="1"/>
  <c r="AQ44" i="24" s="1"/>
  <c r="AM44" i="24" a="1"/>
  <c r="AM44" i="24" s="1"/>
  <c r="O44" i="24" a="1"/>
  <c r="O44" i="24" s="1"/>
  <c r="V44" i="24" a="1"/>
  <c r="V44" i="24" s="1"/>
  <c r="Y44" i="24" a="1"/>
  <c r="Y44" i="24" s="1"/>
  <c r="Q44" i="24" a="1"/>
  <c r="Q44" i="24" s="1"/>
  <c r="AV44" i="24" a="1"/>
  <c r="AV44" i="24" s="1"/>
  <c r="AO44" i="24" a="1"/>
  <c r="AO44" i="24" s="1"/>
  <c r="AS44" i="24" a="1"/>
  <c r="AS44" i="24" s="1"/>
  <c r="AP44" i="24" a="1"/>
  <c r="AP44" i="24" s="1"/>
  <c r="P44" i="24" a="1"/>
  <c r="P44" i="24" s="1"/>
  <c r="W44" i="24" a="1"/>
  <c r="W44" i="24" s="1"/>
  <c r="M44" i="24" a="1"/>
  <c r="M44" i="24" s="1"/>
  <c r="L45" i="24" a="1"/>
  <c r="L45" i="24" s="1"/>
  <c r="U45" i="24" s="1" a="1"/>
  <c r="U45" i="24" s="1"/>
  <c r="AC44" i="24" a="1"/>
  <c r="AC44" i="24" s="1"/>
  <c r="AH44" i="24" a="1"/>
  <c r="AH44" i="24" s="1"/>
  <c r="Z44" i="24" a="1"/>
  <c r="Z44" i="24" s="1"/>
  <c r="AF44" i="24" a="1"/>
  <c r="AF44" i="24" s="1"/>
  <c r="P42" i="25" a="1"/>
  <c r="P42" i="25" s="1"/>
  <c r="O42" i="25" a="1"/>
  <c r="O42" i="25" s="1"/>
  <c r="Q42" i="25" a="1"/>
  <c r="Q42" i="25" s="1"/>
  <c r="S42" i="25" a="1"/>
  <c r="S42" i="25" s="1"/>
  <c r="R42" i="25" a="1"/>
  <c r="R42" i="25" s="1"/>
  <c r="U42" i="25" a="1"/>
  <c r="U42" i="25" s="1"/>
  <c r="T42" i="25" a="1"/>
  <c r="T42" i="25" s="1"/>
  <c r="V42" i="25" a="1"/>
  <c r="V42" i="25" s="1"/>
  <c r="W42" i="25" a="1"/>
  <c r="W42" i="25" s="1"/>
  <c r="X42" i="25" a="1"/>
  <c r="X42" i="25" s="1"/>
  <c r="AA42" i="25" a="1"/>
  <c r="AA42" i="25" s="1"/>
  <c r="Y42" i="25" a="1"/>
  <c r="Y42" i="25" s="1"/>
  <c r="AB42" i="25" a="1"/>
  <c r="AB42" i="25" s="1"/>
  <c r="AD42" i="25" a="1"/>
  <c r="AD42" i="25" s="1"/>
  <c r="Z42" i="25" a="1"/>
  <c r="Z42" i="25" s="1"/>
  <c r="AC42" i="25" a="1"/>
  <c r="AC42" i="25" s="1"/>
  <c r="AE42" i="25" a="1"/>
  <c r="AE42" i="25" s="1"/>
  <c r="AG42" i="25" a="1"/>
  <c r="AG42" i="25" s="1"/>
  <c r="AF42" i="25" a="1"/>
  <c r="AF42" i="25" s="1"/>
  <c r="AK42" i="25" a="1"/>
  <c r="AK42" i="25" s="1"/>
  <c r="AH42" i="25" a="1"/>
  <c r="AH42" i="25" s="1"/>
  <c r="AI42" i="25" a="1"/>
  <c r="AI42" i="25" s="1"/>
  <c r="AM42" i="25" a="1"/>
  <c r="AM42" i="25" s="1"/>
  <c r="AJ42" i="25" a="1"/>
  <c r="AJ42" i="25" s="1"/>
  <c r="AP42" i="25" a="1"/>
  <c r="AP42" i="25" s="1"/>
  <c r="AN42" i="25" a="1"/>
  <c r="AN42" i="25" s="1"/>
  <c r="AL42" i="25" a="1"/>
  <c r="AL42" i="25" s="1"/>
  <c r="AO42" i="25" a="1"/>
  <c r="AO42" i="25" s="1"/>
  <c r="AU42" i="25" a="1"/>
  <c r="AU42" i="25" s="1"/>
  <c r="AQ42" i="25" a="1"/>
  <c r="AQ42" i="25" s="1"/>
  <c r="AS42" i="25" a="1"/>
  <c r="AS42" i="25" s="1"/>
  <c r="AT42" i="25" a="1"/>
  <c r="AT42" i="25" s="1"/>
  <c r="AR42" i="25" a="1"/>
  <c r="AR42" i="25" s="1"/>
  <c r="AV42" i="25" a="1"/>
  <c r="AV42" i="25" s="1"/>
  <c r="AX42" i="25" a="1"/>
  <c r="AX42" i="25" s="1"/>
  <c r="AW42" i="25" a="1"/>
  <c r="AW42" i="25" s="1"/>
  <c r="AY42" i="25" a="1"/>
  <c r="AY42" i="25" s="1"/>
  <c r="N43" i="25" a="1"/>
  <c r="N43" i="25" s="1"/>
  <c r="AW9" i="26" a="1"/>
  <c r="AW9" i="26" s="1"/>
  <c r="AW60" i="26"/>
  <c r="AW61" i="26"/>
  <c r="AW10" i="26" a="1"/>
  <c r="AW10" i="26" s="1"/>
  <c r="AW12" i="26" a="1"/>
  <c r="AW12" i="26" s="1"/>
  <c r="AW11" i="26" a="1"/>
  <c r="AW11" i="26" s="1"/>
  <c r="AW13" i="26" a="1"/>
  <c r="AW13" i="26" s="1"/>
  <c r="AW15" i="26" a="1"/>
  <c r="AW15" i="26" s="1"/>
  <c r="AW14" i="26" a="1"/>
  <c r="AW14" i="26" s="1"/>
  <c r="AW16" i="26" a="1"/>
  <c r="AW16" i="26" s="1"/>
  <c r="AW17" i="26" a="1"/>
  <c r="AW17" i="26" s="1"/>
  <c r="AW18" i="26" a="1"/>
  <c r="AW18" i="26" s="1"/>
  <c r="AX8" i="26" a="1"/>
  <c r="AX8" i="26" s="1"/>
  <c r="AX46" i="26" s="1" a="1"/>
  <c r="AX46" i="26" s="1"/>
  <c r="AW19" i="26" a="1"/>
  <c r="AW19" i="26" s="1"/>
  <c r="AW20" i="26" a="1"/>
  <c r="AW20" i="26" s="1"/>
  <c r="AW21" i="26" a="1"/>
  <c r="AW21" i="26" s="1"/>
  <c r="AW22" i="26" a="1"/>
  <c r="AW22" i="26" s="1"/>
  <c r="AW23" i="26" a="1"/>
  <c r="AW23" i="26" s="1"/>
  <c r="AW24" i="26" a="1"/>
  <c r="AW24" i="26" s="1"/>
  <c r="AW25" i="26" a="1"/>
  <c r="AW25" i="26" s="1"/>
  <c r="AW26" i="26" a="1"/>
  <c r="AW26" i="26" s="1"/>
  <c r="AW27" i="26" a="1"/>
  <c r="AW27" i="26" s="1"/>
  <c r="AW28" i="26" a="1"/>
  <c r="AW28" i="26" s="1"/>
  <c r="AW29" i="26" a="1"/>
  <c r="AW29" i="26" s="1"/>
  <c r="AW30" i="26" a="1"/>
  <c r="AW30" i="26" s="1"/>
  <c r="AW31" i="26" a="1"/>
  <c r="AW31" i="26" s="1"/>
  <c r="AW32" i="26" a="1"/>
  <c r="AW32" i="26" s="1"/>
  <c r="AW33" i="26" a="1"/>
  <c r="AW33" i="26" s="1"/>
  <c r="AW34" i="26" a="1"/>
  <c r="AW34" i="26" s="1"/>
  <c r="AW35" i="26" a="1"/>
  <c r="AW35" i="26" s="1"/>
  <c r="AW36" i="26" a="1"/>
  <c r="AW36" i="26" s="1"/>
  <c r="AW37" i="26" a="1"/>
  <c r="AW37" i="26" s="1"/>
  <c r="AW38" i="26" a="1"/>
  <c r="AW38" i="26" s="1"/>
  <c r="AW39" i="26" a="1"/>
  <c r="AW39" i="26" s="1"/>
  <c r="AW40" i="26" a="1"/>
  <c r="AW40" i="26" s="1"/>
  <c r="AW41" i="26" a="1"/>
  <c r="AW41" i="26" s="1"/>
  <c r="AW42" i="26" a="1"/>
  <c r="AW42" i="26" s="1"/>
  <c r="AW43" i="26" a="1"/>
  <c r="AW43" i="26" s="1"/>
  <c r="AW44" i="26" a="1"/>
  <c r="AW44" i="26" s="1"/>
  <c r="O46" i="26" a="1"/>
  <c r="O46" i="26" s="1"/>
  <c r="AE46" i="26" a="1"/>
  <c r="AE46" i="26" s="1"/>
  <c r="W46" i="26" a="1"/>
  <c r="W46" i="26" s="1"/>
  <c r="AP46" i="26" a="1"/>
  <c r="AP46" i="26" s="1"/>
  <c r="AU46" i="26" a="1"/>
  <c r="AU46" i="26" s="1"/>
  <c r="AA46" i="26" a="1"/>
  <c r="AA46" i="26" s="1"/>
  <c r="AF46" i="26" a="1"/>
  <c r="AF46" i="26" s="1"/>
  <c r="Y46" i="26" a="1"/>
  <c r="Y46" i="26" s="1"/>
  <c r="AQ46" i="26" a="1"/>
  <c r="AQ46" i="26" s="1"/>
  <c r="AV46" i="26" a="1"/>
  <c r="AV46" i="26" s="1"/>
  <c r="AI46" i="26" a="1"/>
  <c r="AI46" i="26" s="1"/>
  <c r="N46" i="26" a="1"/>
  <c r="N46" i="26" s="1"/>
  <c r="AR46" i="26" a="1"/>
  <c r="AR46" i="26" s="1"/>
  <c r="U46" i="26" a="1"/>
  <c r="U46" i="26" s="1"/>
  <c r="AN46" i="26" a="1"/>
  <c r="AN46" i="26" s="1"/>
  <c r="AK46" i="26" a="1"/>
  <c r="AK46" i="26" s="1"/>
  <c r="AJ46" i="26" a="1"/>
  <c r="AJ46" i="26" s="1"/>
  <c r="AT46" i="26" a="1"/>
  <c r="AT46" i="26" s="1"/>
  <c r="AW46" i="26" a="1"/>
  <c r="AW46" i="26" s="1"/>
  <c r="AC46" i="26" a="1"/>
  <c r="AC46" i="26" s="1"/>
  <c r="AM46" i="26" a="1"/>
  <c r="AM46" i="26" s="1"/>
  <c r="Z46" i="26" a="1"/>
  <c r="Z46" i="26" s="1"/>
  <c r="AB46" i="26" a="1"/>
  <c r="AB46" i="26" s="1"/>
  <c r="AH46" i="26" a="1"/>
  <c r="AH46" i="26" s="1"/>
  <c r="S46" i="26" a="1"/>
  <c r="S46" i="26" s="1"/>
  <c r="X46" i="26" a="1"/>
  <c r="X46" i="26" s="1"/>
  <c r="M46" i="26" a="1"/>
  <c r="M46" i="26" s="1"/>
  <c r="AG46" i="26" a="1"/>
  <c r="AG46" i="26" s="1"/>
  <c r="R46" i="26" a="1"/>
  <c r="R46" i="26" s="1"/>
  <c r="Q46" i="26" a="1"/>
  <c r="Q46" i="26" s="1"/>
  <c r="AD46" i="26" a="1"/>
  <c r="AD46" i="26" s="1"/>
  <c r="T46" i="26" a="1"/>
  <c r="T46" i="26" s="1"/>
  <c r="AS46" i="26" a="1"/>
  <c r="AS46" i="26" s="1"/>
  <c r="AL46" i="26" a="1"/>
  <c r="AL46" i="26" s="1"/>
  <c r="V46" i="26" a="1"/>
  <c r="V46" i="26" s="1"/>
  <c r="P46" i="26" a="1"/>
  <c r="P46" i="26" s="1"/>
  <c r="AO46" i="26" a="1"/>
  <c r="AO46" i="26" s="1"/>
  <c r="L47" i="26" a="1"/>
  <c r="L47" i="26" s="1"/>
  <c r="C31" i="39"/>
  <c r="A31" i="39" s="1"/>
  <c r="F381" i="22"/>
  <c r="U43" i="38"/>
  <c r="Z43" i="38"/>
  <c r="AG43" i="38"/>
  <c r="AM43" i="38"/>
  <c r="AH43" i="38"/>
  <c r="L43" i="38"/>
  <c r="AS43" i="38"/>
  <c r="R43" i="38"/>
  <c r="V43" i="38"/>
  <c r="N43" i="38"/>
  <c r="AR43" i="38"/>
  <c r="AE43" i="38"/>
  <c r="AI43" i="38"/>
  <c r="M43" i="38"/>
  <c r="P43" i="38"/>
  <c r="AB43" i="38"/>
  <c r="AP43" i="38"/>
  <c r="AD43" i="38"/>
  <c r="X43" i="38"/>
  <c r="T43" i="38"/>
  <c r="AN43" i="38"/>
  <c r="S43" i="38"/>
  <c r="O43" i="38"/>
  <c r="AO43" i="38"/>
  <c r="AK43" i="38"/>
  <c r="AF43" i="38"/>
  <c r="AC43" i="38"/>
  <c r="W43" i="38"/>
  <c r="AJ43" i="38"/>
  <c r="AA43" i="38"/>
  <c r="Q43" i="38"/>
  <c r="AQ43" i="38"/>
  <c r="Y43" i="38"/>
  <c r="AL43" i="38"/>
  <c r="K44" i="38" a="1"/>
  <c r="K44" i="38" s="1"/>
  <c r="AS9" i="38"/>
  <c r="AS10" i="38"/>
  <c r="AS61" i="38"/>
  <c r="AS60" i="38"/>
  <c r="AS11" i="38"/>
  <c r="AS12" i="38"/>
  <c r="AS13" i="38"/>
  <c r="AS15" i="38"/>
  <c r="AS14" i="38"/>
  <c r="AS16" i="38"/>
  <c r="AS17" i="38"/>
  <c r="AS18" i="38"/>
  <c r="AS19" i="38"/>
  <c r="AT8" i="38" a="1"/>
  <c r="AT8" i="38" s="1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36" i="38"/>
  <c r="AS37" i="38"/>
  <c r="AS38" i="38"/>
  <c r="AS39" i="38"/>
  <c r="AS40" i="38"/>
  <c r="AS41" i="38"/>
  <c r="AV9" i="24" a="1"/>
  <c r="AV9" i="24" s="1"/>
  <c r="AV61" i="24"/>
  <c r="AV60" i="24"/>
  <c r="AV10" i="24" a="1"/>
  <c r="AV10" i="24" s="1"/>
  <c r="AV11" i="24" a="1"/>
  <c r="AV11" i="24" s="1"/>
  <c r="AV13" i="24" a="1"/>
  <c r="AV13" i="24" s="1"/>
  <c r="AV12" i="24" a="1"/>
  <c r="AV12" i="24" s="1"/>
  <c r="AV14" i="24" a="1"/>
  <c r="AV14" i="24" s="1"/>
  <c r="AV15" i="24" a="1"/>
  <c r="AV15" i="24" s="1"/>
  <c r="AV16" i="24" a="1"/>
  <c r="AV16" i="24" s="1"/>
  <c r="AV17" i="24" a="1"/>
  <c r="AV17" i="24" s="1"/>
  <c r="AW8" i="24" a="1"/>
  <c r="AW8" i="24" s="1"/>
  <c r="AV18" i="24" a="1"/>
  <c r="AV18" i="24" s="1"/>
  <c r="AV19" i="24" a="1"/>
  <c r="AV19" i="24" s="1"/>
  <c r="AV21" i="24" a="1"/>
  <c r="AV21" i="24" s="1"/>
  <c r="AV20" i="24" a="1"/>
  <c r="AV20" i="24" s="1"/>
  <c r="AV22" i="24" a="1"/>
  <c r="AV22" i="24" s="1"/>
  <c r="AV23" i="24" a="1"/>
  <c r="AV23" i="24" s="1"/>
  <c r="AV24" i="24" a="1"/>
  <c r="AV24" i="24" s="1"/>
  <c r="AV25" i="24" a="1"/>
  <c r="AV25" i="24" s="1"/>
  <c r="AV26" i="24" a="1"/>
  <c r="AV26" i="24" s="1"/>
  <c r="AV27" i="24" a="1"/>
  <c r="AV27" i="24" s="1"/>
  <c r="AV28" i="24" a="1"/>
  <c r="AV28" i="24" s="1"/>
  <c r="AV29" i="24" a="1"/>
  <c r="AV29" i="24" s="1"/>
  <c r="AV30" i="24" a="1"/>
  <c r="AV30" i="24" s="1"/>
  <c r="AV31" i="24" a="1"/>
  <c r="AV31" i="24" s="1"/>
  <c r="AV32" i="24" a="1"/>
  <c r="AV32" i="24" s="1"/>
  <c r="AV33" i="24" a="1"/>
  <c r="AV33" i="24" s="1"/>
  <c r="AV34" i="24" a="1"/>
  <c r="AV34" i="24" s="1"/>
  <c r="AV35" i="24" a="1"/>
  <c r="AV35" i="24" s="1"/>
  <c r="AV36" i="24" a="1"/>
  <c r="AV36" i="24" s="1"/>
  <c r="AV37" i="24" a="1"/>
  <c r="AV37" i="24" s="1"/>
  <c r="AV38" i="24" a="1"/>
  <c r="AV38" i="24" s="1"/>
  <c r="AV39" i="24" a="1"/>
  <c r="AV39" i="24" s="1"/>
  <c r="AV40" i="24" a="1"/>
  <c r="AV40" i="24" s="1"/>
  <c r="AV41" i="24" a="1"/>
  <c r="AV41" i="24" s="1"/>
  <c r="AV42" i="24" a="1"/>
  <c r="AV42" i="24" s="1"/>
  <c r="AV43" i="24" a="1"/>
  <c r="AV43" i="24" s="1"/>
  <c r="AU63" i="24"/>
  <c r="AU62" i="24"/>
  <c r="BA8" i="25" l="1" a="1"/>
  <c r="BA8" i="25" s="1"/>
  <c r="BA42" i="25" s="1" a="1"/>
  <c r="BA42" i="25" s="1"/>
  <c r="AZ13" i="25" a="1"/>
  <c r="AZ13" i="25" s="1"/>
  <c r="AZ61" i="25"/>
  <c r="AZ34" i="25" a="1"/>
  <c r="AZ34" i="25" s="1"/>
  <c r="AZ12" i="25" a="1"/>
  <c r="AZ12" i="25" s="1"/>
  <c r="AZ33" i="25" a="1"/>
  <c r="AZ33" i="25" s="1"/>
  <c r="AZ27" i="25" a="1"/>
  <c r="AZ27" i="25" s="1"/>
  <c r="AZ21" i="25" a="1"/>
  <c r="AZ21" i="25" s="1"/>
  <c r="AZ16" i="25" a="1"/>
  <c r="AZ16" i="25" s="1"/>
  <c r="AZ42" i="25" a="1"/>
  <c r="AZ42" i="25" s="1"/>
  <c r="AZ38" i="25" a="1"/>
  <c r="AZ38" i="25" s="1"/>
  <c r="AZ32" i="25" a="1"/>
  <c r="AZ32" i="25" s="1"/>
  <c r="AZ26" i="25" a="1"/>
  <c r="AZ26" i="25" s="1"/>
  <c r="AZ15" i="25" a="1"/>
  <c r="AZ15" i="25" s="1"/>
  <c r="AZ9" i="25" a="1"/>
  <c r="AZ9" i="25" s="1"/>
  <c r="AZ37" i="25" a="1"/>
  <c r="AZ37" i="25" s="1"/>
  <c r="AZ31" i="25" a="1"/>
  <c r="AZ31" i="25" s="1"/>
  <c r="AZ25" i="25" a="1"/>
  <c r="AZ25" i="25" s="1"/>
  <c r="AZ19" i="25" a="1"/>
  <c r="AZ19" i="25" s="1"/>
  <c r="AZ14" i="25" a="1"/>
  <c r="AZ14" i="25" s="1"/>
  <c r="AZ60" i="25"/>
  <c r="AZ36" i="25" a="1"/>
  <c r="AZ36" i="25" s="1"/>
  <c r="AZ30" i="25" a="1"/>
  <c r="AZ30" i="25" s="1"/>
  <c r="AZ24" i="25" a="1"/>
  <c r="AZ24" i="25" s="1"/>
  <c r="AZ35" i="25" a="1"/>
  <c r="AZ35" i="25" s="1"/>
  <c r="AZ29" i="25" a="1"/>
  <c r="AZ29" i="25" s="1"/>
  <c r="AZ23" i="25" a="1"/>
  <c r="AZ23" i="25" s="1"/>
  <c r="AZ17" i="25" a="1"/>
  <c r="AZ17" i="25" s="1"/>
  <c r="AZ11" i="25" a="1"/>
  <c r="AZ11" i="25" s="1"/>
  <c r="AZ22" i="25" a="1"/>
  <c r="AZ22" i="25" s="1"/>
  <c r="AZ40" i="25" a="1"/>
  <c r="AZ40" i="25" s="1"/>
  <c r="AZ10" i="25" a="1"/>
  <c r="AZ10" i="25" s="1"/>
  <c r="AZ28" i="25" a="1"/>
  <c r="AZ28" i="25" s="1"/>
  <c r="AZ18" i="25" a="1"/>
  <c r="AZ18" i="25" s="1"/>
  <c r="AZ39" i="25" a="1"/>
  <c r="AZ39" i="25" s="1"/>
  <c r="AZ20" i="25" a="1"/>
  <c r="AZ20" i="25" s="1"/>
  <c r="AS45" i="24" a="1"/>
  <c r="AS45" i="24" s="1"/>
  <c r="AO45" i="24" a="1"/>
  <c r="AO45" i="24" s="1"/>
  <c r="N45" i="24" a="1"/>
  <c r="N45" i="24" s="1"/>
  <c r="AQ45" i="24" a="1"/>
  <c r="AQ45" i="24" s="1"/>
  <c r="Y45" i="24" a="1"/>
  <c r="Y45" i="24" s="1"/>
  <c r="AG45" i="24" a="1"/>
  <c r="AG45" i="24" s="1"/>
  <c r="O45" i="24" a="1"/>
  <c r="O45" i="24" s="1"/>
  <c r="M45" i="24" a="1"/>
  <c r="M45" i="24" s="1"/>
  <c r="AT45" i="24" a="1"/>
  <c r="AT45" i="24" s="1"/>
  <c r="S45" i="24" a="1"/>
  <c r="S45" i="24" s="1"/>
  <c r="AM45" i="24" a="1"/>
  <c r="AM45" i="24" s="1"/>
  <c r="AL45" i="24" a="1"/>
  <c r="AL45" i="24" s="1"/>
  <c r="AJ45" i="24" a="1"/>
  <c r="AJ45" i="24" s="1"/>
  <c r="X45" i="24" a="1"/>
  <c r="X45" i="24" s="1"/>
  <c r="Q45" i="24" a="1"/>
  <c r="Q45" i="24" s="1"/>
  <c r="R45" i="24" a="1"/>
  <c r="R45" i="24" s="1"/>
  <c r="L46" i="24" a="1"/>
  <c r="L46" i="24" s="1"/>
  <c r="Q46" i="24" s="1" a="1"/>
  <c r="Q46" i="24" s="1"/>
  <c r="AP45" i="24" a="1"/>
  <c r="AP45" i="24" s="1"/>
  <c r="AV45" i="24" a="1"/>
  <c r="AV45" i="24" s="1"/>
  <c r="AH45" i="24" a="1"/>
  <c r="AH45" i="24" s="1"/>
  <c r="AD45" i="24" a="1"/>
  <c r="AD45" i="24" s="1"/>
  <c r="AC45" i="24" a="1"/>
  <c r="AC45" i="24" s="1"/>
  <c r="AK45" i="24" a="1"/>
  <c r="AK45" i="24" s="1"/>
  <c r="P45" i="24" a="1"/>
  <c r="P45" i="24" s="1"/>
  <c r="AE45" i="24" a="1"/>
  <c r="AE45" i="24" s="1"/>
  <c r="AU45" i="24" a="1"/>
  <c r="AU45" i="24" s="1"/>
  <c r="AR45" i="24" a="1"/>
  <c r="AR45" i="24" s="1"/>
  <c r="AA45" i="24" a="1"/>
  <c r="AA45" i="24" s="1"/>
  <c r="AB45" i="24" a="1"/>
  <c r="AB45" i="24" s="1"/>
  <c r="AF45" i="24" a="1"/>
  <c r="AF45" i="24" s="1"/>
  <c r="T45" i="24" a="1"/>
  <c r="T45" i="24" s="1"/>
  <c r="AI45" i="24" a="1"/>
  <c r="AI45" i="24" s="1"/>
  <c r="AN45" i="24" a="1"/>
  <c r="AN45" i="24" s="1"/>
  <c r="Z45" i="24" a="1"/>
  <c r="Z45" i="24" s="1"/>
  <c r="V45" i="24" a="1"/>
  <c r="V45" i="24" s="1"/>
  <c r="W45" i="24" a="1"/>
  <c r="W45" i="24" s="1"/>
  <c r="AT10" i="38"/>
  <c r="AT9" i="38"/>
  <c r="AT60" i="38"/>
  <c r="AT61" i="38"/>
  <c r="AT11" i="38"/>
  <c r="AT12" i="38"/>
  <c r="AT13" i="38"/>
  <c r="AT15" i="38"/>
  <c r="AT14" i="38"/>
  <c r="AT16" i="38"/>
  <c r="AT17" i="38"/>
  <c r="AT18" i="38"/>
  <c r="AT19" i="38"/>
  <c r="AU8" i="38" a="1"/>
  <c r="AU8" i="38" s="1"/>
  <c r="AT20" i="38"/>
  <c r="AT21" i="38"/>
  <c r="AT22" i="38"/>
  <c r="AT23" i="38"/>
  <c r="AT24" i="38"/>
  <c r="AT25" i="38"/>
  <c r="AT26" i="38"/>
  <c r="AT27" i="38"/>
  <c r="AT28" i="38"/>
  <c r="AT29" i="38"/>
  <c r="AT30" i="38"/>
  <c r="AT31" i="38"/>
  <c r="AT32" i="38"/>
  <c r="AT33" i="38"/>
  <c r="AT34" i="38"/>
  <c r="AT35" i="38"/>
  <c r="AT36" i="38"/>
  <c r="AT37" i="38"/>
  <c r="AT38" i="38"/>
  <c r="AT39" i="38"/>
  <c r="AT40" i="38"/>
  <c r="AT41" i="38"/>
  <c r="AT42" i="38"/>
  <c r="AW60" i="24"/>
  <c r="AW9" i="24" a="1"/>
  <c r="AW9" i="24" s="1"/>
  <c r="AW61" i="24"/>
  <c r="AW10" i="24" a="1"/>
  <c r="AW10" i="24" s="1"/>
  <c r="AW11" i="24" a="1"/>
  <c r="AW11" i="24" s="1"/>
  <c r="AW13" i="24" a="1"/>
  <c r="AW13" i="24" s="1"/>
  <c r="AW12" i="24" a="1"/>
  <c r="AW12" i="24" s="1"/>
  <c r="AW14" i="24" a="1"/>
  <c r="AW14" i="24" s="1"/>
  <c r="AW15" i="24" a="1"/>
  <c r="AW15" i="24" s="1"/>
  <c r="AW16" i="24" a="1"/>
  <c r="AW16" i="24" s="1"/>
  <c r="AW17" i="24" a="1"/>
  <c r="AW17" i="24" s="1"/>
  <c r="AW19" i="24" a="1"/>
  <c r="AW19" i="24" s="1"/>
  <c r="AW18" i="24" a="1"/>
  <c r="AW18" i="24" s="1"/>
  <c r="AX8" i="24" a="1"/>
  <c r="AX8" i="24" s="1"/>
  <c r="AW21" i="24" a="1"/>
  <c r="AW21" i="24" s="1"/>
  <c r="AW20" i="24" a="1"/>
  <c r="AW20" i="24" s="1"/>
  <c r="AW22" i="24" a="1"/>
  <c r="AW22" i="24" s="1"/>
  <c r="AW23" i="24" a="1"/>
  <c r="AW23" i="24" s="1"/>
  <c r="AW24" i="24" a="1"/>
  <c r="AW24" i="24" s="1"/>
  <c r="AW25" i="24" a="1"/>
  <c r="AW25" i="24" s="1"/>
  <c r="AW26" i="24" a="1"/>
  <c r="AW26" i="24" s="1"/>
  <c r="AW27" i="24" a="1"/>
  <c r="AW27" i="24" s="1"/>
  <c r="AW28" i="24" a="1"/>
  <c r="AW28" i="24" s="1"/>
  <c r="AW29" i="24" a="1"/>
  <c r="AW29" i="24" s="1"/>
  <c r="AW30" i="24" a="1"/>
  <c r="AW30" i="24" s="1"/>
  <c r="AW31" i="24" a="1"/>
  <c r="AW31" i="24" s="1"/>
  <c r="AW32" i="24" a="1"/>
  <c r="AW32" i="24" s="1"/>
  <c r="AW33" i="24" a="1"/>
  <c r="AW33" i="24" s="1"/>
  <c r="AW34" i="24" a="1"/>
  <c r="AW34" i="24" s="1"/>
  <c r="AW35" i="24" a="1"/>
  <c r="AW35" i="24" s="1"/>
  <c r="AW36" i="24" a="1"/>
  <c r="AW36" i="24" s="1"/>
  <c r="AW37" i="24" a="1"/>
  <c r="AW37" i="24" s="1"/>
  <c r="AW38" i="24" a="1"/>
  <c r="AW38" i="24" s="1"/>
  <c r="AW39" i="24" a="1"/>
  <c r="AW39" i="24" s="1"/>
  <c r="AW40" i="24" a="1"/>
  <c r="AW40" i="24" s="1"/>
  <c r="AW41" i="24" a="1"/>
  <c r="AW41" i="24" s="1"/>
  <c r="AW42" i="24" a="1"/>
  <c r="AW42" i="24" s="1"/>
  <c r="AW43" i="24" a="1"/>
  <c r="AW43" i="24" s="1"/>
  <c r="AW44" i="24" a="1"/>
  <c r="AW44" i="24" s="1"/>
  <c r="C32" i="39"/>
  <c r="A32" i="39" s="1"/>
  <c r="F382" i="22"/>
  <c r="P43" i="25" a="1"/>
  <c r="P43" i="25" s="1"/>
  <c r="O43" i="25" a="1"/>
  <c r="O43" i="25" s="1"/>
  <c r="Q43" i="25" a="1"/>
  <c r="Q43" i="25" s="1"/>
  <c r="R43" i="25" a="1"/>
  <c r="R43" i="25" s="1"/>
  <c r="T43" i="25" a="1"/>
  <c r="T43" i="25" s="1"/>
  <c r="U43" i="25" a="1"/>
  <c r="U43" i="25" s="1"/>
  <c r="S43" i="25" a="1"/>
  <c r="S43" i="25" s="1"/>
  <c r="V43" i="25" a="1"/>
  <c r="V43" i="25" s="1"/>
  <c r="W43" i="25" a="1"/>
  <c r="W43" i="25" s="1"/>
  <c r="Y43" i="25" a="1"/>
  <c r="Y43" i="25" s="1"/>
  <c r="Z43" i="25" a="1"/>
  <c r="Z43" i="25" s="1"/>
  <c r="AD43" i="25" a="1"/>
  <c r="AD43" i="25" s="1"/>
  <c r="AC43" i="25" a="1"/>
  <c r="AC43" i="25" s="1"/>
  <c r="X43" i="25" a="1"/>
  <c r="X43" i="25" s="1"/>
  <c r="AA43" i="25" a="1"/>
  <c r="AA43" i="25" s="1"/>
  <c r="AB43" i="25" a="1"/>
  <c r="AB43" i="25" s="1"/>
  <c r="AF43" i="25" a="1"/>
  <c r="AF43" i="25" s="1"/>
  <c r="AE43" i="25" a="1"/>
  <c r="AE43" i="25" s="1"/>
  <c r="AG43" i="25" a="1"/>
  <c r="AG43" i="25" s="1"/>
  <c r="AI43" i="25" a="1"/>
  <c r="AI43" i="25" s="1"/>
  <c r="AK43" i="25" a="1"/>
  <c r="AK43" i="25" s="1"/>
  <c r="AH43" i="25" a="1"/>
  <c r="AH43" i="25" s="1"/>
  <c r="AM43" i="25" a="1"/>
  <c r="AM43" i="25" s="1"/>
  <c r="AQ43" i="25" a="1"/>
  <c r="AQ43" i="25" s="1"/>
  <c r="AJ43" i="25" a="1"/>
  <c r="AJ43" i="25" s="1"/>
  <c r="AP43" i="25" a="1"/>
  <c r="AP43" i="25" s="1"/>
  <c r="AO43" i="25" a="1"/>
  <c r="AO43" i="25" s="1"/>
  <c r="AL43" i="25" a="1"/>
  <c r="AL43" i="25" s="1"/>
  <c r="AN43" i="25" a="1"/>
  <c r="AN43" i="25" s="1"/>
  <c r="AS43" i="25" a="1"/>
  <c r="AS43" i="25" s="1"/>
  <c r="AW43" i="25" a="1"/>
  <c r="AW43" i="25" s="1"/>
  <c r="AR43" i="25" a="1"/>
  <c r="AR43" i="25" s="1"/>
  <c r="AT43" i="25" a="1"/>
  <c r="AT43" i="25" s="1"/>
  <c r="AV43" i="25" a="1"/>
  <c r="AV43" i="25" s="1"/>
  <c r="AY43" i="25" a="1"/>
  <c r="AY43" i="25" s="1"/>
  <c r="AU43" i="25" a="1"/>
  <c r="AU43" i="25" s="1"/>
  <c r="AX43" i="25" a="1"/>
  <c r="AX43" i="25" s="1"/>
  <c r="AZ43" i="25" a="1"/>
  <c r="AZ43" i="25" s="1"/>
  <c r="N44" i="25" a="1"/>
  <c r="N44" i="25" s="1"/>
  <c r="W47" i="26" a="1"/>
  <c r="W47" i="26" s="1"/>
  <c r="V47" i="26" a="1"/>
  <c r="V47" i="26" s="1"/>
  <c r="AX47" i="26" a="1"/>
  <c r="AX47" i="26" s="1"/>
  <c r="AW47" i="26" a="1"/>
  <c r="AW47" i="26" s="1"/>
  <c r="AE47" i="26" a="1"/>
  <c r="AE47" i="26" s="1"/>
  <c r="X47" i="26" a="1"/>
  <c r="X47" i="26" s="1"/>
  <c r="AC47" i="26" a="1"/>
  <c r="AC47" i="26" s="1"/>
  <c r="AM47" i="26" a="1"/>
  <c r="AM47" i="26" s="1"/>
  <c r="AV47" i="26" a="1"/>
  <c r="AV47" i="26" s="1"/>
  <c r="Y47" i="26" a="1"/>
  <c r="Y47" i="26" s="1"/>
  <c r="AT47" i="26" a="1"/>
  <c r="AT47" i="26" s="1"/>
  <c r="AG47" i="26" a="1"/>
  <c r="AG47" i="26" s="1"/>
  <c r="AA47" i="26" a="1"/>
  <c r="AA47" i="26" s="1"/>
  <c r="AK47" i="26" a="1"/>
  <c r="AK47" i="26" s="1"/>
  <c r="AN47" i="26" a="1"/>
  <c r="AN47" i="26" s="1"/>
  <c r="U47" i="26" a="1"/>
  <c r="U47" i="26" s="1"/>
  <c r="T47" i="26" a="1"/>
  <c r="T47" i="26" s="1"/>
  <c r="Z47" i="26" a="1"/>
  <c r="Z47" i="26" s="1"/>
  <c r="AP47" i="26" a="1"/>
  <c r="AP47" i="26" s="1"/>
  <c r="AS47" i="26" a="1"/>
  <c r="AS47" i="26" s="1"/>
  <c r="AL47" i="26" a="1"/>
  <c r="AL47" i="26" s="1"/>
  <c r="AU47" i="26" a="1"/>
  <c r="AU47" i="26" s="1"/>
  <c r="AI47" i="26" a="1"/>
  <c r="AI47" i="26" s="1"/>
  <c r="N47" i="26" a="1"/>
  <c r="N47" i="26" s="1"/>
  <c r="R47" i="26" a="1"/>
  <c r="R47" i="26" s="1"/>
  <c r="O47" i="26" a="1"/>
  <c r="O47" i="26" s="1"/>
  <c r="AQ47" i="26" a="1"/>
  <c r="AQ47" i="26" s="1"/>
  <c r="Q47" i="26" a="1"/>
  <c r="Q47" i="26" s="1"/>
  <c r="P47" i="26" a="1"/>
  <c r="P47" i="26" s="1"/>
  <c r="AR47" i="26" a="1"/>
  <c r="AR47" i="26" s="1"/>
  <c r="AJ47" i="26" a="1"/>
  <c r="AJ47" i="26" s="1"/>
  <c r="AH47" i="26" a="1"/>
  <c r="AH47" i="26" s="1"/>
  <c r="S47" i="26" a="1"/>
  <c r="S47" i="26" s="1"/>
  <c r="M47" i="26" a="1"/>
  <c r="M47" i="26" s="1"/>
  <c r="AF47" i="26" a="1"/>
  <c r="AF47" i="26" s="1"/>
  <c r="AB47" i="26" a="1"/>
  <c r="AB47" i="26" s="1"/>
  <c r="AD47" i="26" a="1"/>
  <c r="AD47" i="26" s="1"/>
  <c r="AO47" i="26" a="1"/>
  <c r="AO47" i="26" s="1"/>
  <c r="L48" i="26" a="1"/>
  <c r="L48" i="26" s="1"/>
  <c r="AO44" i="38"/>
  <c r="L44" i="38"/>
  <c r="X44" i="38"/>
  <c r="M44" i="38"/>
  <c r="AP44" i="38"/>
  <c r="T44" i="38"/>
  <c r="R44" i="38"/>
  <c r="W44" i="38"/>
  <c r="AK44" i="38"/>
  <c r="O44" i="38"/>
  <c r="AH44" i="38"/>
  <c r="AL44" i="38"/>
  <c r="AS44" i="38"/>
  <c r="AC44" i="38"/>
  <c r="AI44" i="38"/>
  <c r="AG44" i="38"/>
  <c r="AT44" i="38"/>
  <c r="AE44" i="38"/>
  <c r="Y44" i="38"/>
  <c r="AB44" i="38"/>
  <c r="P44" i="38"/>
  <c r="Q44" i="38"/>
  <c r="S44" i="38"/>
  <c r="Z44" i="38"/>
  <c r="AF44" i="38"/>
  <c r="AR44" i="38"/>
  <c r="N44" i="38"/>
  <c r="AA44" i="38"/>
  <c r="AQ44" i="38"/>
  <c r="AM44" i="38"/>
  <c r="AN44" i="38"/>
  <c r="AD44" i="38"/>
  <c r="V44" i="38"/>
  <c r="U44" i="38"/>
  <c r="AJ44" i="38"/>
  <c r="K45" i="38" a="1"/>
  <c r="K45" i="38" s="1"/>
  <c r="AX9" i="26" a="1"/>
  <c r="AX9" i="26" s="1"/>
  <c r="AX10" i="26" a="1"/>
  <c r="AX10" i="26" s="1"/>
  <c r="AX61" i="26"/>
  <c r="AX60" i="26"/>
  <c r="AX13" i="26" a="1"/>
  <c r="AX13" i="26" s="1"/>
  <c r="AX11" i="26" a="1"/>
  <c r="AX11" i="26" s="1"/>
  <c r="AX12" i="26" a="1"/>
  <c r="AX12" i="26" s="1"/>
  <c r="AX14" i="26" a="1"/>
  <c r="AX14" i="26" s="1"/>
  <c r="AX15" i="26" a="1"/>
  <c r="AX15" i="26" s="1"/>
  <c r="AX16" i="26" a="1"/>
  <c r="AX16" i="26" s="1"/>
  <c r="AX17" i="26" a="1"/>
  <c r="AX17" i="26" s="1"/>
  <c r="AX19" i="26" a="1"/>
  <c r="AX19" i="26" s="1"/>
  <c r="AX18" i="26" a="1"/>
  <c r="AX18" i="26" s="1"/>
  <c r="AY8" i="26" a="1"/>
  <c r="AY8" i="26" s="1"/>
  <c r="AX20" i="26" a="1"/>
  <c r="AX20" i="26" s="1"/>
  <c r="AX21" i="26" a="1"/>
  <c r="AX21" i="26" s="1"/>
  <c r="AX22" i="26" a="1"/>
  <c r="AX22" i="26" s="1"/>
  <c r="AX23" i="26" a="1"/>
  <c r="AX23" i="26" s="1"/>
  <c r="AX24" i="26" a="1"/>
  <c r="AX24" i="26" s="1"/>
  <c r="AX25" i="26" a="1"/>
  <c r="AX25" i="26" s="1"/>
  <c r="AX26" i="26" a="1"/>
  <c r="AX26" i="26" s="1"/>
  <c r="AX27" i="26" a="1"/>
  <c r="AX27" i="26" s="1"/>
  <c r="AX28" i="26" a="1"/>
  <c r="AX28" i="26" s="1"/>
  <c r="AX29" i="26" a="1"/>
  <c r="AX29" i="26" s="1"/>
  <c r="AX30" i="26" a="1"/>
  <c r="AX30" i="26" s="1"/>
  <c r="AX31" i="26" a="1"/>
  <c r="AX31" i="26" s="1"/>
  <c r="AX32" i="26" a="1"/>
  <c r="AX32" i="26" s="1"/>
  <c r="AX33" i="26" a="1"/>
  <c r="AX33" i="26" s="1"/>
  <c r="AX34" i="26" a="1"/>
  <c r="AX34" i="26" s="1"/>
  <c r="AX35" i="26" a="1"/>
  <c r="AX35" i="26" s="1"/>
  <c r="AX36" i="26" a="1"/>
  <c r="AX36" i="26" s="1"/>
  <c r="AX37" i="26" a="1"/>
  <c r="AX37" i="26" s="1"/>
  <c r="AX38" i="26" a="1"/>
  <c r="AX38" i="26" s="1"/>
  <c r="AX39" i="26" a="1"/>
  <c r="AX39" i="26" s="1"/>
  <c r="AX40" i="26" a="1"/>
  <c r="AX40" i="26" s="1"/>
  <c r="AX41" i="26" a="1"/>
  <c r="AX41" i="26" s="1"/>
  <c r="AX42" i="26" a="1"/>
  <c r="AX42" i="26" s="1"/>
  <c r="AX43" i="26" a="1"/>
  <c r="AX43" i="26" s="1"/>
  <c r="AX44" i="26" a="1"/>
  <c r="AX44" i="26" s="1"/>
  <c r="AX45" i="26" a="1"/>
  <c r="AX45" i="26" s="1"/>
  <c r="AV63" i="24"/>
  <c r="AV62" i="24"/>
  <c r="AT43" i="38"/>
  <c r="AW45" i="24" a="1"/>
  <c r="AW45" i="24" s="1"/>
  <c r="BA40" i="25" l="1" a="1"/>
  <c r="BA40" i="25" s="1"/>
  <c r="BA34" i="25" a="1"/>
  <c r="BA34" i="25" s="1"/>
  <c r="BA28" i="25" a="1"/>
  <c r="BA28" i="25" s="1"/>
  <c r="BA22" i="25" a="1"/>
  <c r="BA22" i="25" s="1"/>
  <c r="BA16" i="25" a="1"/>
  <c r="BA16" i="25" s="1"/>
  <c r="BA12" i="25" a="1"/>
  <c r="BA12" i="25" s="1"/>
  <c r="BA32" i="25" a="1"/>
  <c r="BA32" i="25" s="1"/>
  <c r="BA14" i="25" a="1"/>
  <c r="BA14" i="25" s="1"/>
  <c r="BA41" i="25" a="1"/>
  <c r="BA41" i="25" s="1"/>
  <c r="BA35" i="25" a="1"/>
  <c r="BA35" i="25" s="1"/>
  <c r="BA29" i="25" a="1"/>
  <c r="BA29" i="25" s="1"/>
  <c r="BA23" i="25" a="1"/>
  <c r="BA23" i="25" s="1"/>
  <c r="BA17" i="25" a="1"/>
  <c r="BA17" i="25" s="1"/>
  <c r="BA11" i="25" a="1"/>
  <c r="BA11" i="25" s="1"/>
  <c r="BA39" i="25" a="1"/>
  <c r="BA39" i="25" s="1"/>
  <c r="BA33" i="25" a="1"/>
  <c r="BA33" i="25" s="1"/>
  <c r="BA27" i="25" a="1"/>
  <c r="BA27" i="25" s="1"/>
  <c r="BA21" i="25" a="1"/>
  <c r="BA21" i="25" s="1"/>
  <c r="BA15" i="25" a="1"/>
  <c r="BA15" i="25" s="1"/>
  <c r="BA10" i="25" a="1"/>
  <c r="BA10" i="25" s="1"/>
  <c r="BA38" i="25" a="1"/>
  <c r="BA38" i="25" s="1"/>
  <c r="BA20" i="25" a="1"/>
  <c r="BA20" i="25" s="1"/>
  <c r="BA9" i="25" a="1"/>
  <c r="BA9" i="25" s="1"/>
  <c r="BA26" i="25" a="1"/>
  <c r="BA26" i="25" s="1"/>
  <c r="BA37" i="25" a="1"/>
  <c r="BA37" i="25" s="1"/>
  <c r="BA31" i="25" a="1"/>
  <c r="BA31" i="25" s="1"/>
  <c r="BA25" i="25" a="1"/>
  <c r="BA25" i="25" s="1"/>
  <c r="BA19" i="25" a="1"/>
  <c r="BA19" i="25" s="1"/>
  <c r="BA60" i="25"/>
  <c r="BB8" i="25" a="1"/>
  <c r="BB8" i="25" s="1"/>
  <c r="BB20" i="25" s="1" a="1"/>
  <c r="BB20" i="25" s="1"/>
  <c r="BA43" i="25" a="1"/>
  <c r="BA43" i="25" s="1"/>
  <c r="BA36" i="25" a="1"/>
  <c r="BA36" i="25" s="1"/>
  <c r="BA30" i="25" a="1"/>
  <c r="BA30" i="25" s="1"/>
  <c r="BA24" i="25" a="1"/>
  <c r="BA24" i="25" s="1"/>
  <c r="BA18" i="25" a="1"/>
  <c r="BA18" i="25" s="1"/>
  <c r="BA13" i="25" a="1"/>
  <c r="BA13" i="25" s="1"/>
  <c r="BA61" i="25"/>
  <c r="AN46" i="24" a="1"/>
  <c r="AN46" i="24" s="1"/>
  <c r="AI46" i="24" a="1"/>
  <c r="AI46" i="24" s="1"/>
  <c r="AC46" i="24" a="1"/>
  <c r="AC46" i="24" s="1"/>
  <c r="AA46" i="24" a="1"/>
  <c r="AA46" i="24" s="1"/>
  <c r="P46" i="24" a="1"/>
  <c r="P46" i="24" s="1"/>
  <c r="T46" i="24" a="1"/>
  <c r="T46" i="24" s="1"/>
  <c r="L47" i="24" a="1"/>
  <c r="L47" i="24" s="1"/>
  <c r="V47" i="24" s="1" a="1"/>
  <c r="V47" i="24" s="1"/>
  <c r="AQ46" i="24" a="1"/>
  <c r="AQ46" i="24" s="1"/>
  <c r="AV46" i="24" a="1"/>
  <c r="AV46" i="24" s="1"/>
  <c r="X46" i="24" a="1"/>
  <c r="X46" i="24" s="1"/>
  <c r="AB46" i="24" a="1"/>
  <c r="AB46" i="24" s="1"/>
  <c r="W46" i="24" a="1"/>
  <c r="W46" i="24" s="1"/>
  <c r="O46" i="24" a="1"/>
  <c r="O46" i="24" s="1"/>
  <c r="AX46" i="24" a="1"/>
  <c r="AX46" i="24" s="1"/>
  <c r="AL46" i="24" a="1"/>
  <c r="AL46" i="24" s="1"/>
  <c r="N46" i="24" a="1"/>
  <c r="N46" i="24" s="1"/>
  <c r="Z46" i="24" a="1"/>
  <c r="Z46" i="24" s="1"/>
  <c r="R46" i="24" a="1"/>
  <c r="R46" i="24" s="1"/>
  <c r="AS46" i="24" a="1"/>
  <c r="AS46" i="24" s="1"/>
  <c r="AM46" i="24" a="1"/>
  <c r="AM46" i="24" s="1"/>
  <c r="AO46" i="24" a="1"/>
  <c r="AO46" i="24" s="1"/>
  <c r="AH46" i="24" a="1"/>
  <c r="AH46" i="24" s="1"/>
  <c r="AP46" i="24" a="1"/>
  <c r="AP46" i="24" s="1"/>
  <c r="AK46" i="24" a="1"/>
  <c r="AK46" i="24" s="1"/>
  <c r="Y46" i="24" a="1"/>
  <c r="Y46" i="24" s="1"/>
  <c r="U46" i="24" a="1"/>
  <c r="U46" i="24" s="1"/>
  <c r="M46" i="24" a="1"/>
  <c r="M46" i="24" s="1"/>
  <c r="AU46" i="24" a="1"/>
  <c r="AU46" i="24" s="1"/>
  <c r="AE46" i="24" a="1"/>
  <c r="AE46" i="24" s="1"/>
  <c r="AG46" i="24" a="1"/>
  <c r="AG46" i="24" s="1"/>
  <c r="AD46" i="24" a="1"/>
  <c r="AD46" i="24" s="1"/>
  <c r="AF46" i="24" a="1"/>
  <c r="AF46" i="24" s="1"/>
  <c r="AJ46" i="24" a="1"/>
  <c r="AJ46" i="24" s="1"/>
  <c r="AT46" i="24" a="1"/>
  <c r="AT46" i="24" s="1"/>
  <c r="AW46" i="24" a="1"/>
  <c r="AW46" i="24" s="1"/>
  <c r="AR46" i="24" a="1"/>
  <c r="AR46" i="24" s="1"/>
  <c r="V46" i="24" a="1"/>
  <c r="V46" i="24" s="1"/>
  <c r="S46" i="24" a="1"/>
  <c r="S46" i="24" s="1"/>
  <c r="AU10" i="38"/>
  <c r="AU60" i="38"/>
  <c r="AU9" i="38"/>
  <c r="AU61" i="38"/>
  <c r="AU12" i="38"/>
  <c r="AU11" i="38"/>
  <c r="AU13" i="38"/>
  <c r="AU15" i="38"/>
  <c r="AU14" i="38"/>
  <c r="AU16" i="38"/>
  <c r="AV8" i="38" a="1"/>
  <c r="AV8" i="38" s="1"/>
  <c r="AV45" i="38" s="1"/>
  <c r="AU17" i="38"/>
  <c r="AU18" i="38"/>
  <c r="AU19" i="38"/>
  <c r="AU20" i="38"/>
  <c r="AU21" i="38"/>
  <c r="AU22" i="38"/>
  <c r="AU23" i="38"/>
  <c r="AU24" i="38"/>
  <c r="AU25" i="38"/>
  <c r="AU26" i="38"/>
  <c r="AU27" i="38"/>
  <c r="AU28" i="38"/>
  <c r="AU29" i="38"/>
  <c r="AU30" i="38"/>
  <c r="AU31" i="38"/>
  <c r="AU32" i="38"/>
  <c r="AU33" i="38"/>
  <c r="AU34" i="38"/>
  <c r="AU35" i="38"/>
  <c r="AU36" i="38"/>
  <c r="AU37" i="38"/>
  <c r="AU38" i="38"/>
  <c r="AU39" i="38"/>
  <c r="AU40" i="38"/>
  <c r="AU41" i="38"/>
  <c r="AU42" i="38"/>
  <c r="AU43" i="38"/>
  <c r="P44" i="25" a="1"/>
  <c r="P44" i="25" s="1"/>
  <c r="S44" i="25" a="1"/>
  <c r="S44" i="25" s="1"/>
  <c r="O44" i="25" a="1"/>
  <c r="O44" i="25" s="1"/>
  <c r="R44" i="25" a="1"/>
  <c r="R44" i="25" s="1"/>
  <c r="T44" i="25" a="1"/>
  <c r="T44" i="25" s="1"/>
  <c r="Q44" i="25" a="1"/>
  <c r="Q44" i="25" s="1"/>
  <c r="U44" i="25" a="1"/>
  <c r="U44" i="25" s="1"/>
  <c r="W44" i="25" a="1"/>
  <c r="W44" i="25" s="1"/>
  <c r="V44" i="25" a="1"/>
  <c r="V44" i="25" s="1"/>
  <c r="Z44" i="25" a="1"/>
  <c r="Z44" i="25" s="1"/>
  <c r="Y44" i="25" a="1"/>
  <c r="Y44" i="25" s="1"/>
  <c r="AB44" i="25" a="1"/>
  <c r="AB44" i="25" s="1"/>
  <c r="AD44" i="25" a="1"/>
  <c r="AD44" i="25" s="1"/>
  <c r="X44" i="25" a="1"/>
  <c r="X44" i="25" s="1"/>
  <c r="AC44" i="25" a="1"/>
  <c r="AC44" i="25" s="1"/>
  <c r="AA44" i="25" a="1"/>
  <c r="AA44" i="25" s="1"/>
  <c r="AE44" i="25" a="1"/>
  <c r="AE44" i="25" s="1"/>
  <c r="AI44" i="25" a="1"/>
  <c r="AI44" i="25" s="1"/>
  <c r="AG44" i="25" a="1"/>
  <c r="AG44" i="25" s="1"/>
  <c r="AF44" i="25" a="1"/>
  <c r="AF44" i="25" s="1"/>
  <c r="AK44" i="25" a="1"/>
  <c r="AK44" i="25" s="1"/>
  <c r="AH44" i="25" a="1"/>
  <c r="AH44" i="25" s="1"/>
  <c r="AL44" i="25" a="1"/>
  <c r="AL44" i="25" s="1"/>
  <c r="AM44" i="25" a="1"/>
  <c r="AM44" i="25" s="1"/>
  <c r="AJ44" i="25" a="1"/>
  <c r="AJ44" i="25" s="1"/>
  <c r="AO44" i="25" a="1"/>
  <c r="AO44" i="25" s="1"/>
  <c r="AN44" i="25" a="1"/>
  <c r="AN44" i="25" s="1"/>
  <c r="AQ44" i="25" a="1"/>
  <c r="AQ44" i="25" s="1"/>
  <c r="AP44" i="25" a="1"/>
  <c r="AP44" i="25" s="1"/>
  <c r="AT44" i="25" a="1"/>
  <c r="AT44" i="25" s="1"/>
  <c r="AV44" i="25" a="1"/>
  <c r="AV44" i="25" s="1"/>
  <c r="AR44" i="25" a="1"/>
  <c r="AR44" i="25" s="1"/>
  <c r="AS44" i="25" a="1"/>
  <c r="AS44" i="25" s="1"/>
  <c r="AX44" i="25" a="1"/>
  <c r="AX44" i="25" s="1"/>
  <c r="AZ44" i="25" a="1"/>
  <c r="AZ44" i="25" s="1"/>
  <c r="AY44" i="25" a="1"/>
  <c r="AY44" i="25" s="1"/>
  <c r="AU44" i="25" a="1"/>
  <c r="AU44" i="25" s="1"/>
  <c r="AW44" i="25" a="1"/>
  <c r="AW44" i="25" s="1"/>
  <c r="BA44" i="25" a="1"/>
  <c r="BA44" i="25" s="1"/>
  <c r="N45" i="25" a="1"/>
  <c r="N45" i="25" s="1"/>
  <c r="AY60" i="26"/>
  <c r="AY9" i="26" a="1"/>
  <c r="AY9" i="26" s="1"/>
  <c r="AY61" i="26"/>
  <c r="AY10" i="26" a="1"/>
  <c r="AY10" i="26" s="1"/>
  <c r="AY13" i="26" a="1"/>
  <c r="AY13" i="26" s="1"/>
  <c r="AY12" i="26" a="1"/>
  <c r="AY12" i="26" s="1"/>
  <c r="AY11" i="26" a="1"/>
  <c r="AY11" i="26" s="1"/>
  <c r="AY14" i="26" a="1"/>
  <c r="AY14" i="26" s="1"/>
  <c r="AY15" i="26" a="1"/>
  <c r="AY15" i="26" s="1"/>
  <c r="AY16" i="26" a="1"/>
  <c r="AY16" i="26" s="1"/>
  <c r="AY17" i="26" a="1"/>
  <c r="AY17" i="26" s="1"/>
  <c r="AY19" i="26" a="1"/>
  <c r="AY19" i="26" s="1"/>
  <c r="AY18" i="26" a="1"/>
  <c r="AY18" i="26" s="1"/>
  <c r="AY20" i="26" a="1"/>
  <c r="AY20" i="26" s="1"/>
  <c r="AZ8" i="26" a="1"/>
  <c r="AZ8" i="26" s="1"/>
  <c r="AZ48" i="26" s="1" a="1"/>
  <c r="AZ48" i="26" s="1"/>
  <c r="AY21" i="26" a="1"/>
  <c r="AY21" i="26" s="1"/>
  <c r="AY22" i="26" a="1"/>
  <c r="AY22" i="26" s="1"/>
  <c r="AY23" i="26" a="1"/>
  <c r="AY23" i="26" s="1"/>
  <c r="AY24" i="26" a="1"/>
  <c r="AY24" i="26" s="1"/>
  <c r="AY25" i="26" a="1"/>
  <c r="AY25" i="26" s="1"/>
  <c r="AY26" i="26" a="1"/>
  <c r="AY26" i="26" s="1"/>
  <c r="AY27" i="26" a="1"/>
  <c r="AY27" i="26" s="1"/>
  <c r="AY28" i="26" a="1"/>
  <c r="AY28" i="26" s="1"/>
  <c r="AY29" i="26" a="1"/>
  <c r="AY29" i="26" s="1"/>
  <c r="AY30" i="26" a="1"/>
  <c r="AY30" i="26" s="1"/>
  <c r="AY31" i="26" a="1"/>
  <c r="AY31" i="26" s="1"/>
  <c r="AY32" i="26" a="1"/>
  <c r="AY32" i="26" s="1"/>
  <c r="AY33" i="26" a="1"/>
  <c r="AY33" i="26" s="1"/>
  <c r="AY34" i="26" a="1"/>
  <c r="AY34" i="26" s="1"/>
  <c r="AY35" i="26" a="1"/>
  <c r="AY35" i="26" s="1"/>
  <c r="AY36" i="26" a="1"/>
  <c r="AY36" i="26" s="1"/>
  <c r="AY37" i="26" a="1"/>
  <c r="AY37" i="26" s="1"/>
  <c r="AY38" i="26" a="1"/>
  <c r="AY38" i="26" s="1"/>
  <c r="AY39" i="26" a="1"/>
  <c r="AY39" i="26" s="1"/>
  <c r="AY40" i="26" a="1"/>
  <c r="AY40" i="26" s="1"/>
  <c r="AY41" i="26" a="1"/>
  <c r="AY41" i="26" s="1"/>
  <c r="AY42" i="26" a="1"/>
  <c r="AY42" i="26" s="1"/>
  <c r="AY43" i="26" a="1"/>
  <c r="AY43" i="26" s="1"/>
  <c r="AY44" i="26" a="1"/>
  <c r="AY44" i="26" s="1"/>
  <c r="AY45" i="26" a="1"/>
  <c r="AY45" i="26" s="1"/>
  <c r="AY46" i="26" a="1"/>
  <c r="AY46" i="26" s="1"/>
  <c r="C33" i="39"/>
  <c r="A33" i="39" s="1"/>
  <c r="F383" i="22"/>
  <c r="AY47" i="26" a="1"/>
  <c r="AY47" i="26" s="1"/>
  <c r="AK45" i="38"/>
  <c r="AB45" i="38"/>
  <c r="AD45" i="38"/>
  <c r="AR45" i="38"/>
  <c r="N45" i="38"/>
  <c r="AM45" i="38"/>
  <c r="Z45" i="38"/>
  <c r="AN45" i="38"/>
  <c r="AJ45" i="38"/>
  <c r="AC45" i="38"/>
  <c r="U45" i="38"/>
  <c r="AE45" i="38"/>
  <c r="AQ45" i="38"/>
  <c r="M45" i="38"/>
  <c r="V45" i="38"/>
  <c r="Y45" i="38"/>
  <c r="AI45" i="38"/>
  <c r="L45" i="38"/>
  <c r="R45" i="38"/>
  <c r="Q45" i="38"/>
  <c r="AU45" i="38"/>
  <c r="AP45" i="38"/>
  <c r="AL45" i="38"/>
  <c r="AG45" i="38"/>
  <c r="S45" i="38"/>
  <c r="X45" i="38"/>
  <c r="AT45" i="38"/>
  <c r="O45" i="38"/>
  <c r="T45" i="38"/>
  <c r="AF45" i="38"/>
  <c r="AH45" i="38"/>
  <c r="AS45" i="38"/>
  <c r="AO45" i="38"/>
  <c r="W45" i="38"/>
  <c r="P45" i="38"/>
  <c r="AA45" i="38"/>
  <c r="K46" i="38" a="1"/>
  <c r="K46" i="38" s="1"/>
  <c r="AX61" i="24"/>
  <c r="AX60" i="24"/>
  <c r="AX9" i="24" a="1"/>
  <c r="AX9" i="24" s="1"/>
  <c r="AX10" i="24" a="1"/>
  <c r="AX10" i="24" s="1"/>
  <c r="AX11" i="24" a="1"/>
  <c r="AX11" i="24" s="1"/>
  <c r="AX12" i="24" a="1"/>
  <c r="AX12" i="24" s="1"/>
  <c r="AX13" i="24" a="1"/>
  <c r="AX13" i="24" s="1"/>
  <c r="AX14" i="24" a="1"/>
  <c r="AX14" i="24" s="1"/>
  <c r="AY8" i="24" a="1"/>
  <c r="AY8" i="24" s="1"/>
  <c r="AX17" i="24" a="1"/>
  <c r="AX17" i="24" s="1"/>
  <c r="AX15" i="24" a="1"/>
  <c r="AX15" i="24" s="1"/>
  <c r="AX16" i="24" a="1"/>
  <c r="AX16" i="24" s="1"/>
  <c r="AX18" i="24" a="1"/>
  <c r="AX18" i="24" s="1"/>
  <c r="AX19" i="24" a="1"/>
  <c r="AX19" i="24" s="1"/>
  <c r="AX20" i="24" a="1"/>
  <c r="AX20" i="24" s="1"/>
  <c r="AX21" i="24" a="1"/>
  <c r="AX21" i="24" s="1"/>
  <c r="AX22" i="24" a="1"/>
  <c r="AX22" i="24" s="1"/>
  <c r="AX23" i="24" a="1"/>
  <c r="AX23" i="24" s="1"/>
  <c r="AX24" i="24" a="1"/>
  <c r="AX24" i="24" s="1"/>
  <c r="AX25" i="24" a="1"/>
  <c r="AX25" i="24" s="1"/>
  <c r="AX26" i="24" a="1"/>
  <c r="AX26" i="24" s="1"/>
  <c r="AX27" i="24" a="1"/>
  <c r="AX27" i="24" s="1"/>
  <c r="AX28" i="24" a="1"/>
  <c r="AX28" i="24" s="1"/>
  <c r="AX29" i="24" a="1"/>
  <c r="AX29" i="24" s="1"/>
  <c r="AX30" i="24" a="1"/>
  <c r="AX30" i="24" s="1"/>
  <c r="AX31" i="24" a="1"/>
  <c r="AX31" i="24" s="1"/>
  <c r="AX32" i="24" a="1"/>
  <c r="AX32" i="24" s="1"/>
  <c r="AX33" i="24" a="1"/>
  <c r="AX33" i="24" s="1"/>
  <c r="AX34" i="24" a="1"/>
  <c r="AX34" i="24" s="1"/>
  <c r="AX35" i="24" a="1"/>
  <c r="AX35" i="24" s="1"/>
  <c r="AX36" i="24" a="1"/>
  <c r="AX36" i="24" s="1"/>
  <c r="AX37" i="24" a="1"/>
  <c r="AX37" i="24" s="1"/>
  <c r="AX38" i="24" a="1"/>
  <c r="AX38" i="24" s="1"/>
  <c r="AX39" i="24" a="1"/>
  <c r="AX39" i="24" s="1"/>
  <c r="AX40" i="24" a="1"/>
  <c r="AX40" i="24" s="1"/>
  <c r="AX41" i="24" a="1"/>
  <c r="AX41" i="24" s="1"/>
  <c r="AX42" i="24" a="1"/>
  <c r="AX42" i="24" s="1"/>
  <c r="AX43" i="24" a="1"/>
  <c r="AX43" i="24" s="1"/>
  <c r="AX44" i="24" a="1"/>
  <c r="AX44" i="24" s="1"/>
  <c r="AX45" i="24" a="1"/>
  <c r="AX45" i="24" s="1"/>
  <c r="AD48" i="26" a="1"/>
  <c r="AD48" i="26" s="1"/>
  <c r="AI48" i="26" a="1"/>
  <c r="AI48" i="26" s="1"/>
  <c r="AR48" i="26" a="1"/>
  <c r="AR48" i="26" s="1"/>
  <c r="O48" i="26" a="1"/>
  <c r="O48" i="26" s="1"/>
  <c r="AE48" i="26" a="1"/>
  <c r="AE48" i="26" s="1"/>
  <c r="AX48" i="26" a="1"/>
  <c r="AX48" i="26" s="1"/>
  <c r="AB48" i="26" a="1"/>
  <c r="AB48" i="26" s="1"/>
  <c r="AL48" i="26" a="1"/>
  <c r="AL48" i="26" s="1"/>
  <c r="AA48" i="26" a="1"/>
  <c r="AA48" i="26" s="1"/>
  <c r="AO48" i="26" a="1"/>
  <c r="AO48" i="26" s="1"/>
  <c r="W48" i="26" a="1"/>
  <c r="W48" i="26" s="1"/>
  <c r="AQ48" i="26" a="1"/>
  <c r="AQ48" i="26" s="1"/>
  <c r="T48" i="26" a="1"/>
  <c r="T48" i="26" s="1"/>
  <c r="R48" i="26" a="1"/>
  <c r="R48" i="26" s="1"/>
  <c r="Z48" i="26" a="1"/>
  <c r="Z48" i="26" s="1"/>
  <c r="AC48" i="26" a="1"/>
  <c r="AC48" i="26" s="1"/>
  <c r="AS48" i="26" a="1"/>
  <c r="AS48" i="26" s="1"/>
  <c r="N48" i="26" a="1"/>
  <c r="N48" i="26" s="1"/>
  <c r="Q48" i="26" a="1"/>
  <c r="Q48" i="26" s="1"/>
  <c r="X48" i="26" a="1"/>
  <c r="X48" i="26" s="1"/>
  <c r="AM48" i="26" a="1"/>
  <c r="AM48" i="26" s="1"/>
  <c r="P48" i="26" a="1"/>
  <c r="P48" i="26" s="1"/>
  <c r="AV48" i="26" a="1"/>
  <c r="AV48" i="26" s="1"/>
  <c r="M48" i="26" a="1"/>
  <c r="M48" i="26" s="1"/>
  <c r="AH48" i="26" a="1"/>
  <c r="AH48" i="26" s="1"/>
  <c r="AU48" i="26" a="1"/>
  <c r="AU48" i="26" s="1"/>
  <c r="AY48" i="26" a="1"/>
  <c r="AY48" i="26" s="1"/>
  <c r="Y48" i="26" a="1"/>
  <c r="Y48" i="26" s="1"/>
  <c r="AG48" i="26" a="1"/>
  <c r="AG48" i="26" s="1"/>
  <c r="AP48" i="26" a="1"/>
  <c r="AP48" i="26" s="1"/>
  <c r="AT48" i="26" a="1"/>
  <c r="AT48" i="26" s="1"/>
  <c r="V48" i="26" a="1"/>
  <c r="V48" i="26" s="1"/>
  <c r="AK48" i="26" a="1"/>
  <c r="AK48" i="26" s="1"/>
  <c r="S48" i="26" a="1"/>
  <c r="S48" i="26" s="1"/>
  <c r="AN48" i="26" a="1"/>
  <c r="AN48" i="26" s="1"/>
  <c r="AF48" i="26" a="1"/>
  <c r="AF48" i="26" s="1"/>
  <c r="AJ48" i="26" a="1"/>
  <c r="AJ48" i="26" s="1"/>
  <c r="AW48" i="26" a="1"/>
  <c r="AW48" i="26" s="1"/>
  <c r="U48" i="26" a="1"/>
  <c r="U48" i="26" s="1"/>
  <c r="L49" i="26" a="1"/>
  <c r="L49" i="26" s="1"/>
  <c r="AW63" i="24"/>
  <c r="AW62" i="24"/>
  <c r="AU44" i="38"/>
  <c r="BC8" i="25" l="1" a="1"/>
  <c r="BC8" i="25" s="1"/>
  <c r="BC60" i="25" s="1"/>
  <c r="BB34" i="25" a="1"/>
  <c r="BB34" i="25" s="1"/>
  <c r="BB12" i="25" a="1"/>
  <c r="BB12" i="25" s="1"/>
  <c r="BB33" i="25" a="1"/>
  <c r="BB33" i="25" s="1"/>
  <c r="BB16" i="25" a="1"/>
  <c r="BB16" i="25" s="1"/>
  <c r="BB38" i="25" a="1"/>
  <c r="BB38" i="25" s="1"/>
  <c r="BB32" i="25" a="1"/>
  <c r="BB32" i="25" s="1"/>
  <c r="BB26" i="25" a="1"/>
  <c r="BB26" i="25" s="1"/>
  <c r="BB60" i="25"/>
  <c r="BB37" i="25" a="1"/>
  <c r="BB37" i="25" s="1"/>
  <c r="BB31" i="25" a="1"/>
  <c r="BB31" i="25" s="1"/>
  <c r="BB25" i="25" a="1"/>
  <c r="BB25" i="25" s="1"/>
  <c r="BB19" i="25" a="1"/>
  <c r="BB19" i="25" s="1"/>
  <c r="BB14" i="25" a="1"/>
  <c r="BB14" i="25" s="1"/>
  <c r="BB61" i="25"/>
  <c r="BB42" i="25" a="1"/>
  <c r="BB42" i="25" s="1"/>
  <c r="BB36" i="25" a="1"/>
  <c r="BB36" i="25" s="1"/>
  <c r="BB30" i="25" a="1"/>
  <c r="BB30" i="25" s="1"/>
  <c r="BB24" i="25" a="1"/>
  <c r="BB24" i="25" s="1"/>
  <c r="BB17" i="25" a="1"/>
  <c r="BB17" i="25" s="1"/>
  <c r="BB13" i="25" a="1"/>
  <c r="BB13" i="25" s="1"/>
  <c r="BB9" i="25" a="1"/>
  <c r="BB9" i="25" s="1"/>
  <c r="BB41" i="25" a="1"/>
  <c r="BB41" i="25" s="1"/>
  <c r="BB35" i="25" a="1"/>
  <c r="BB35" i="25" s="1"/>
  <c r="BB29" i="25" a="1"/>
  <c r="BB29" i="25" s="1"/>
  <c r="BB23" i="25" a="1"/>
  <c r="BB23" i="25" s="1"/>
  <c r="BB18" i="25" a="1"/>
  <c r="BB18" i="25" s="1"/>
  <c r="BB11" i="25" a="1"/>
  <c r="BB11" i="25" s="1"/>
  <c r="BB22" i="25" a="1"/>
  <c r="BB22" i="25" s="1"/>
  <c r="BB39" i="25" a="1"/>
  <c r="BB39" i="25" s="1"/>
  <c r="BB44" i="25" a="1"/>
  <c r="BB44" i="25" s="1"/>
  <c r="BB21" i="25" a="1"/>
  <c r="BB21" i="25" s="1"/>
  <c r="BB15" i="25" a="1"/>
  <c r="BB15" i="25" s="1"/>
  <c r="BB40" i="25" a="1"/>
  <c r="BB40" i="25" s="1"/>
  <c r="BB28" i="25" a="1"/>
  <c r="BB28" i="25" s="1"/>
  <c r="BB27" i="25" a="1"/>
  <c r="BB27" i="25" s="1"/>
  <c r="BB10" i="25" a="1"/>
  <c r="BB10" i="25" s="1"/>
  <c r="BB43" i="25" a="1"/>
  <c r="BB43" i="25" s="1"/>
  <c r="L48" i="24" a="1"/>
  <c r="L48" i="24" s="1"/>
  <c r="M48" i="24" s="1" a="1"/>
  <c r="M48" i="24" s="1"/>
  <c r="AN47" i="24" a="1"/>
  <c r="AN47" i="24" s="1"/>
  <c r="AS47" i="24" a="1"/>
  <c r="AS47" i="24" s="1"/>
  <c r="AF47" i="24" a="1"/>
  <c r="AF47" i="24" s="1"/>
  <c r="U47" i="24" a="1"/>
  <c r="U47" i="24" s="1"/>
  <c r="AD47" i="24" a="1"/>
  <c r="AD47" i="24" s="1"/>
  <c r="T47" i="24" a="1"/>
  <c r="T47" i="24" s="1"/>
  <c r="Q47" i="24" a="1"/>
  <c r="Q47" i="24" s="1"/>
  <c r="Z47" i="24" a="1"/>
  <c r="Z47" i="24" s="1"/>
  <c r="AH47" i="24" a="1"/>
  <c r="AH47" i="24" s="1"/>
  <c r="AQ47" i="24" a="1"/>
  <c r="AQ47" i="24" s="1"/>
  <c r="X47" i="24" a="1"/>
  <c r="X47" i="24" s="1"/>
  <c r="AX47" i="24" a="1"/>
  <c r="AX47" i="24" s="1"/>
  <c r="AV47" i="24" a="1"/>
  <c r="AV47" i="24" s="1"/>
  <c r="AP47" i="24" a="1"/>
  <c r="AP47" i="24" s="1"/>
  <c r="AC47" i="24" a="1"/>
  <c r="AC47" i="24" s="1"/>
  <c r="Y47" i="24" a="1"/>
  <c r="Y47" i="24" s="1"/>
  <c r="AB47" i="24" a="1"/>
  <c r="AB47" i="24" s="1"/>
  <c r="R47" i="24" a="1"/>
  <c r="R47" i="24" s="1"/>
  <c r="AA47" i="24" a="1"/>
  <c r="AA47" i="24" s="1"/>
  <c r="N47" i="24" a="1"/>
  <c r="N47" i="24" s="1"/>
  <c r="AG47" i="24" a="1"/>
  <c r="AG47" i="24" s="1"/>
  <c r="P47" i="24" a="1"/>
  <c r="P47" i="24" s="1"/>
  <c r="AR47" i="24" a="1"/>
  <c r="AR47" i="24" s="1"/>
  <c r="AU47" i="24" a="1"/>
  <c r="AU47" i="24" s="1"/>
  <c r="AL47" i="24" a="1"/>
  <c r="AL47" i="24" s="1"/>
  <c r="W47" i="24" a="1"/>
  <c r="W47" i="24" s="1"/>
  <c r="AO47" i="24" a="1"/>
  <c r="AO47" i="24" s="1"/>
  <c r="O47" i="24" a="1"/>
  <c r="O47" i="24" s="1"/>
  <c r="M47" i="24" a="1"/>
  <c r="M47" i="24" s="1"/>
  <c r="AJ47" i="24" a="1"/>
  <c r="AJ47" i="24" s="1"/>
  <c r="AT47" i="24" a="1"/>
  <c r="AT47" i="24" s="1"/>
  <c r="AE47" i="24" a="1"/>
  <c r="AE47" i="24" s="1"/>
  <c r="AW47" i="24" a="1"/>
  <c r="AW47" i="24" s="1"/>
  <c r="S47" i="24" a="1"/>
  <c r="S47" i="24" s="1"/>
  <c r="AI47" i="24" a="1"/>
  <c r="AI47" i="24" s="1"/>
  <c r="AM47" i="24" a="1"/>
  <c r="AM47" i="24" s="1"/>
  <c r="AK47" i="24" a="1"/>
  <c r="AK47" i="24" s="1"/>
  <c r="AI46" i="38"/>
  <c r="L46" i="38"/>
  <c r="AP46" i="38"/>
  <c r="AA46" i="38"/>
  <c r="W46" i="38"/>
  <c r="AD46" i="38"/>
  <c r="S46" i="38"/>
  <c r="P46" i="38"/>
  <c r="AJ46" i="38"/>
  <c r="N46" i="38"/>
  <c r="AO46" i="38"/>
  <c r="V46" i="38"/>
  <c r="AR46" i="38"/>
  <c r="AG46" i="38"/>
  <c r="AV46" i="38"/>
  <c r="AN46" i="38"/>
  <c r="AS46" i="38"/>
  <c r="Y46" i="38"/>
  <c r="AH46" i="38"/>
  <c r="Z46" i="38"/>
  <c r="AK46" i="38"/>
  <c r="AT46" i="38"/>
  <c r="R46" i="38"/>
  <c r="AC46" i="38"/>
  <c r="AF46" i="38"/>
  <c r="AU46" i="38"/>
  <c r="U46" i="38"/>
  <c r="T46" i="38"/>
  <c r="AE46" i="38"/>
  <c r="X46" i="38"/>
  <c r="AB46" i="38"/>
  <c r="AQ46" i="38"/>
  <c r="AM46" i="38"/>
  <c r="AL46" i="38"/>
  <c r="Q46" i="38"/>
  <c r="O46" i="38"/>
  <c r="M46" i="38"/>
  <c r="K47" i="38" a="1"/>
  <c r="K47" i="38" s="1"/>
  <c r="AY60" i="24"/>
  <c r="AY61" i="24"/>
  <c r="AY9" i="24" a="1"/>
  <c r="AY9" i="24" s="1"/>
  <c r="AY10" i="24" a="1"/>
  <c r="AY10" i="24" s="1"/>
  <c r="AY11" i="24" a="1"/>
  <c r="AY11" i="24" s="1"/>
  <c r="AY12" i="24" a="1"/>
  <c r="AY12" i="24" s="1"/>
  <c r="AY13" i="24" a="1"/>
  <c r="AY13" i="24" s="1"/>
  <c r="AY14" i="24" a="1"/>
  <c r="AY14" i="24" s="1"/>
  <c r="AY16" i="24" a="1"/>
  <c r="AY16" i="24" s="1"/>
  <c r="AY17" i="24" a="1"/>
  <c r="AY17" i="24" s="1"/>
  <c r="AY15" i="24" a="1"/>
  <c r="AY15" i="24" s="1"/>
  <c r="AZ8" i="24" a="1"/>
  <c r="AZ8" i="24" s="1"/>
  <c r="AY19" i="24" a="1"/>
  <c r="AY19" i="24" s="1"/>
  <c r="AY18" i="24" a="1"/>
  <c r="AY18" i="24" s="1"/>
  <c r="AY21" i="24" a="1"/>
  <c r="AY21" i="24" s="1"/>
  <c r="AY20" i="24" a="1"/>
  <c r="AY20" i="24" s="1"/>
  <c r="AY22" i="24" a="1"/>
  <c r="AY22" i="24" s="1"/>
  <c r="AY23" i="24" a="1"/>
  <c r="AY23" i="24" s="1"/>
  <c r="AY24" i="24" a="1"/>
  <c r="AY24" i="24" s="1"/>
  <c r="AY25" i="24" a="1"/>
  <c r="AY25" i="24" s="1"/>
  <c r="AY26" i="24" a="1"/>
  <c r="AY26" i="24" s="1"/>
  <c r="AY27" i="24" a="1"/>
  <c r="AY27" i="24" s="1"/>
  <c r="AY28" i="24" a="1"/>
  <c r="AY28" i="24" s="1"/>
  <c r="AY29" i="24" a="1"/>
  <c r="AY29" i="24" s="1"/>
  <c r="AY30" i="24" a="1"/>
  <c r="AY30" i="24" s="1"/>
  <c r="AY31" i="24" a="1"/>
  <c r="AY31" i="24" s="1"/>
  <c r="AY32" i="24" a="1"/>
  <c r="AY32" i="24" s="1"/>
  <c r="AY33" i="24" a="1"/>
  <c r="AY33" i="24" s="1"/>
  <c r="AY34" i="24" a="1"/>
  <c r="AY34" i="24" s="1"/>
  <c r="AY35" i="24" a="1"/>
  <c r="AY35" i="24" s="1"/>
  <c r="AY36" i="24" a="1"/>
  <c r="AY36" i="24" s="1"/>
  <c r="AY37" i="24" a="1"/>
  <c r="AY37" i="24" s="1"/>
  <c r="AY38" i="24" a="1"/>
  <c r="AY38" i="24" s="1"/>
  <c r="AY39" i="24" a="1"/>
  <c r="AY39" i="24" s="1"/>
  <c r="AY40" i="24" a="1"/>
  <c r="AY40" i="24" s="1"/>
  <c r="AY41" i="24" a="1"/>
  <c r="AY41" i="24" s="1"/>
  <c r="AY42" i="24" a="1"/>
  <c r="AY42" i="24" s="1"/>
  <c r="AY43" i="24" a="1"/>
  <c r="AY43" i="24" s="1"/>
  <c r="AY44" i="24" a="1"/>
  <c r="AY44" i="24" s="1"/>
  <c r="AY45" i="24" a="1"/>
  <c r="AY45" i="24" s="1"/>
  <c r="AY46" i="24" a="1"/>
  <c r="AY46" i="24" s="1"/>
  <c r="T49" i="26" a="1"/>
  <c r="T49" i="26" s="1"/>
  <c r="AV49" i="26" a="1"/>
  <c r="AV49" i="26" s="1"/>
  <c r="AY49" i="26" a="1"/>
  <c r="AY49" i="26" s="1"/>
  <c r="AW49" i="26" a="1"/>
  <c r="AW49" i="26" s="1"/>
  <c r="AB49" i="26" a="1"/>
  <c r="AB49" i="26" s="1"/>
  <c r="P49" i="26" a="1"/>
  <c r="P49" i="26" s="1"/>
  <c r="AX49" i="26" a="1"/>
  <c r="AX49" i="26" s="1"/>
  <c r="AD49" i="26" a="1"/>
  <c r="AD49" i="26" s="1"/>
  <c r="R49" i="26" a="1"/>
  <c r="R49" i="26" s="1"/>
  <c r="AR49" i="26" a="1"/>
  <c r="AR49" i="26" s="1"/>
  <c r="AP49" i="26" a="1"/>
  <c r="AP49" i="26" s="1"/>
  <c r="V49" i="26" a="1"/>
  <c r="V49" i="26" s="1"/>
  <c r="AU49" i="26" a="1"/>
  <c r="AU49" i="26" s="1"/>
  <c r="AK49" i="26" a="1"/>
  <c r="AK49" i="26" s="1"/>
  <c r="X49" i="26" a="1"/>
  <c r="X49" i="26" s="1"/>
  <c r="AO49" i="26" a="1"/>
  <c r="AO49" i="26" s="1"/>
  <c r="AJ49" i="26" a="1"/>
  <c r="AJ49" i="26" s="1"/>
  <c r="AZ49" i="26" a="1"/>
  <c r="AZ49" i="26" s="1"/>
  <c r="AG49" i="26" a="1"/>
  <c r="AG49" i="26" s="1"/>
  <c r="AE49" i="26" a="1"/>
  <c r="AE49" i="26" s="1"/>
  <c r="Y49" i="26" a="1"/>
  <c r="Y49" i="26" s="1"/>
  <c r="AM49" i="26" a="1"/>
  <c r="AM49" i="26" s="1"/>
  <c r="AA49" i="26" a="1"/>
  <c r="AA49" i="26" s="1"/>
  <c r="Z49" i="26" a="1"/>
  <c r="Z49" i="26" s="1"/>
  <c r="AT49" i="26" a="1"/>
  <c r="AT49" i="26" s="1"/>
  <c r="Q49" i="26" a="1"/>
  <c r="Q49" i="26" s="1"/>
  <c r="AQ49" i="26" a="1"/>
  <c r="AQ49" i="26" s="1"/>
  <c r="S49" i="26" a="1"/>
  <c r="S49" i="26" s="1"/>
  <c r="AI49" i="26" a="1"/>
  <c r="AI49" i="26" s="1"/>
  <c r="W49" i="26" a="1"/>
  <c r="W49" i="26" s="1"/>
  <c r="AF49" i="26" a="1"/>
  <c r="AF49" i="26" s="1"/>
  <c r="N49" i="26" a="1"/>
  <c r="N49" i="26" s="1"/>
  <c r="U49" i="26" a="1"/>
  <c r="U49" i="26" s="1"/>
  <c r="M49" i="26" a="1"/>
  <c r="M49" i="26" s="1"/>
  <c r="AN49" i="26" a="1"/>
  <c r="AN49" i="26" s="1"/>
  <c r="AH49" i="26" a="1"/>
  <c r="AH49" i="26" s="1"/>
  <c r="AS49" i="26" a="1"/>
  <c r="AS49" i="26" s="1"/>
  <c r="AC49" i="26" a="1"/>
  <c r="AC49" i="26" s="1"/>
  <c r="AL49" i="26" a="1"/>
  <c r="AL49" i="26" s="1"/>
  <c r="O49" i="26" a="1"/>
  <c r="O49" i="26" s="1"/>
  <c r="L50" i="26" a="1"/>
  <c r="L50" i="26" s="1"/>
  <c r="AV9" i="38"/>
  <c r="AV10" i="38"/>
  <c r="AV60" i="38"/>
  <c r="AV61" i="38"/>
  <c r="AV11" i="38"/>
  <c r="AV12" i="38"/>
  <c r="AV13" i="38"/>
  <c r="AV14" i="38"/>
  <c r="AV15" i="38"/>
  <c r="AV16" i="38"/>
  <c r="AV17" i="38"/>
  <c r="AW8" i="38" a="1"/>
  <c r="AW8" i="38" s="1"/>
  <c r="AW46" i="38" s="1"/>
  <c r="AV18" i="38"/>
  <c r="AV19" i="38"/>
  <c r="AV20" i="38"/>
  <c r="AV21" i="38"/>
  <c r="AV22" i="38"/>
  <c r="AV23" i="38"/>
  <c r="AV24" i="38"/>
  <c r="AV25" i="38"/>
  <c r="AV26" i="38"/>
  <c r="AV27" i="38"/>
  <c r="AV28" i="38"/>
  <c r="AV29" i="38"/>
  <c r="AV30" i="38"/>
  <c r="AV31" i="38"/>
  <c r="AV32" i="38"/>
  <c r="AV33" i="38"/>
  <c r="AV34" i="38"/>
  <c r="AV35" i="38"/>
  <c r="AV36" i="38"/>
  <c r="AV37" i="38"/>
  <c r="AV38" i="38"/>
  <c r="AV39" i="38"/>
  <c r="AV40" i="38"/>
  <c r="AV41" i="38"/>
  <c r="AV42" i="38"/>
  <c r="AV43" i="38"/>
  <c r="AV44" i="38"/>
  <c r="C34" i="39"/>
  <c r="A34" i="39" s="1"/>
  <c r="F384" i="22"/>
  <c r="AZ60" i="26"/>
  <c r="AZ9" i="26" a="1"/>
  <c r="AZ9" i="26" s="1"/>
  <c r="AZ10" i="26" a="1"/>
  <c r="AZ10" i="26" s="1"/>
  <c r="AZ61" i="26"/>
  <c r="AZ11" i="26" a="1"/>
  <c r="AZ11" i="26" s="1"/>
  <c r="AZ13" i="26" a="1"/>
  <c r="AZ13" i="26" s="1"/>
  <c r="AZ12" i="26" a="1"/>
  <c r="AZ12" i="26" s="1"/>
  <c r="AZ15" i="26" a="1"/>
  <c r="AZ15" i="26" s="1"/>
  <c r="AZ14" i="26" a="1"/>
  <c r="AZ14" i="26" s="1"/>
  <c r="AZ16" i="26" a="1"/>
  <c r="AZ16" i="26" s="1"/>
  <c r="AZ17" i="26" a="1"/>
  <c r="AZ17" i="26" s="1"/>
  <c r="AZ19" i="26" a="1"/>
  <c r="AZ19" i="26" s="1"/>
  <c r="AZ18" i="26" a="1"/>
  <c r="AZ18" i="26" s="1"/>
  <c r="BA8" i="26" a="1"/>
  <c r="BA8" i="26" s="1"/>
  <c r="AZ20" i="26" a="1"/>
  <c r="AZ20" i="26" s="1"/>
  <c r="AZ21" i="26" a="1"/>
  <c r="AZ21" i="26" s="1"/>
  <c r="AZ22" i="26" a="1"/>
  <c r="AZ22" i="26" s="1"/>
  <c r="AZ23" i="26" a="1"/>
  <c r="AZ23" i="26" s="1"/>
  <c r="AZ24" i="26" a="1"/>
  <c r="AZ24" i="26" s="1"/>
  <c r="AZ25" i="26" a="1"/>
  <c r="AZ25" i="26" s="1"/>
  <c r="AZ26" i="26" a="1"/>
  <c r="AZ26" i="26" s="1"/>
  <c r="AZ27" i="26" a="1"/>
  <c r="AZ27" i="26" s="1"/>
  <c r="AZ28" i="26" a="1"/>
  <c r="AZ28" i="26" s="1"/>
  <c r="AZ29" i="26" a="1"/>
  <c r="AZ29" i="26" s="1"/>
  <c r="AZ30" i="26" a="1"/>
  <c r="AZ30" i="26" s="1"/>
  <c r="AZ31" i="26" a="1"/>
  <c r="AZ31" i="26" s="1"/>
  <c r="AZ32" i="26" a="1"/>
  <c r="AZ32" i="26" s="1"/>
  <c r="AZ33" i="26" a="1"/>
  <c r="AZ33" i="26" s="1"/>
  <c r="AZ34" i="26" a="1"/>
  <c r="AZ34" i="26" s="1"/>
  <c r="AZ35" i="26" a="1"/>
  <c r="AZ35" i="26" s="1"/>
  <c r="AZ36" i="26" a="1"/>
  <c r="AZ36" i="26" s="1"/>
  <c r="AZ37" i="26" a="1"/>
  <c r="AZ37" i="26" s="1"/>
  <c r="AZ38" i="26" a="1"/>
  <c r="AZ38" i="26" s="1"/>
  <c r="AZ39" i="26" a="1"/>
  <c r="AZ39" i="26" s="1"/>
  <c r="AZ40" i="26" a="1"/>
  <c r="AZ40" i="26" s="1"/>
  <c r="AZ41" i="26" a="1"/>
  <c r="AZ41" i="26" s="1"/>
  <c r="AZ42" i="26" a="1"/>
  <c r="AZ42" i="26" s="1"/>
  <c r="AZ43" i="26" a="1"/>
  <c r="AZ43" i="26" s="1"/>
  <c r="AZ44" i="26" a="1"/>
  <c r="AZ44" i="26" s="1"/>
  <c r="AZ45" i="26" a="1"/>
  <c r="AZ45" i="26" s="1"/>
  <c r="AZ46" i="26" a="1"/>
  <c r="AZ46" i="26" s="1"/>
  <c r="AZ47" i="26" a="1"/>
  <c r="AZ47" i="26" s="1"/>
  <c r="AY47" i="24" a="1"/>
  <c r="AY47" i="24" s="1"/>
  <c r="AX63" i="24"/>
  <c r="AX62" i="24"/>
  <c r="P45" i="25" a="1"/>
  <c r="P45" i="25" s="1"/>
  <c r="O45" i="25" a="1"/>
  <c r="O45" i="25" s="1"/>
  <c r="Q45" i="25" a="1"/>
  <c r="Q45" i="25" s="1"/>
  <c r="S45" i="25" a="1"/>
  <c r="S45" i="25" s="1"/>
  <c r="R45" i="25" a="1"/>
  <c r="R45" i="25" s="1"/>
  <c r="T45" i="25" a="1"/>
  <c r="T45" i="25" s="1"/>
  <c r="U45" i="25" a="1"/>
  <c r="U45" i="25" s="1"/>
  <c r="W45" i="25" a="1"/>
  <c r="W45" i="25" s="1"/>
  <c r="V45" i="25" a="1"/>
  <c r="V45" i="25" s="1"/>
  <c r="X45" i="25" a="1"/>
  <c r="X45" i="25" s="1"/>
  <c r="Z45" i="25" a="1"/>
  <c r="Z45" i="25" s="1"/>
  <c r="AC45" i="25" a="1"/>
  <c r="AC45" i="25" s="1"/>
  <c r="Y45" i="25" a="1"/>
  <c r="Y45" i="25" s="1"/>
  <c r="AB45" i="25" a="1"/>
  <c r="AB45" i="25" s="1"/>
  <c r="AD45" i="25" a="1"/>
  <c r="AD45" i="25" s="1"/>
  <c r="AA45" i="25" a="1"/>
  <c r="AA45" i="25" s="1"/>
  <c r="AE45" i="25" a="1"/>
  <c r="AE45" i="25" s="1"/>
  <c r="AF45" i="25" a="1"/>
  <c r="AF45" i="25" s="1"/>
  <c r="AI45" i="25" a="1"/>
  <c r="AI45" i="25" s="1"/>
  <c r="AG45" i="25" a="1"/>
  <c r="AG45" i="25" s="1"/>
  <c r="AH45" i="25" a="1"/>
  <c r="AH45" i="25" s="1"/>
  <c r="AK45" i="25" a="1"/>
  <c r="AK45" i="25" s="1"/>
  <c r="AL45" i="25" a="1"/>
  <c r="AL45" i="25" s="1"/>
  <c r="AN45" i="25" a="1"/>
  <c r="AN45" i="25" s="1"/>
  <c r="AM45" i="25" a="1"/>
  <c r="AM45" i="25" s="1"/>
  <c r="AJ45" i="25" a="1"/>
  <c r="AJ45" i="25" s="1"/>
  <c r="AP45" i="25" a="1"/>
  <c r="AP45" i="25" s="1"/>
  <c r="AO45" i="25" a="1"/>
  <c r="AO45" i="25" s="1"/>
  <c r="AT45" i="25" a="1"/>
  <c r="AT45" i="25" s="1"/>
  <c r="AQ45" i="25" a="1"/>
  <c r="AQ45" i="25" s="1"/>
  <c r="AR45" i="25" a="1"/>
  <c r="AR45" i="25" s="1"/>
  <c r="AV45" i="25" a="1"/>
  <c r="AV45" i="25" s="1"/>
  <c r="AS45" i="25" a="1"/>
  <c r="AS45" i="25" s="1"/>
  <c r="AU45" i="25" a="1"/>
  <c r="AU45" i="25" s="1"/>
  <c r="AY45" i="25" a="1"/>
  <c r="AY45" i="25" s="1"/>
  <c r="AW45" i="25" a="1"/>
  <c r="AW45" i="25" s="1"/>
  <c r="AX45" i="25" a="1"/>
  <c r="AX45" i="25" s="1"/>
  <c r="AZ45" i="25" a="1"/>
  <c r="AZ45" i="25" s="1"/>
  <c r="BB45" i="25" a="1"/>
  <c r="BB45" i="25" s="1"/>
  <c r="BA45" i="25" a="1"/>
  <c r="BA45" i="25" s="1"/>
  <c r="N46" i="25" a="1"/>
  <c r="N46" i="25" s="1"/>
  <c r="BC42" i="25" l="1" a="1"/>
  <c r="BC42" i="25" s="1"/>
  <c r="BC30" i="25" a="1"/>
  <c r="BC30" i="25" s="1"/>
  <c r="BC24" i="25" a="1"/>
  <c r="BC24" i="25" s="1"/>
  <c r="BC13" i="25" a="1"/>
  <c r="BC13" i="25" s="1"/>
  <c r="BC35" i="25" a="1"/>
  <c r="BC35" i="25" s="1"/>
  <c r="BC23" i="25" a="1"/>
  <c r="BC23" i="25" s="1"/>
  <c r="BC40" i="25" a="1"/>
  <c r="BC40" i="25" s="1"/>
  <c r="BC34" i="25" a="1"/>
  <c r="BC34" i="25" s="1"/>
  <c r="BC28" i="25" a="1"/>
  <c r="BC28" i="25" s="1"/>
  <c r="BC22" i="25" a="1"/>
  <c r="BC22" i="25" s="1"/>
  <c r="BC17" i="25" a="1"/>
  <c r="BC17" i="25" s="1"/>
  <c r="BC12" i="25" a="1"/>
  <c r="BC12" i="25" s="1"/>
  <c r="BC39" i="25" a="1"/>
  <c r="BC39" i="25" s="1"/>
  <c r="BC33" i="25" a="1"/>
  <c r="BC33" i="25" s="1"/>
  <c r="BC27" i="25" a="1"/>
  <c r="BC27" i="25" s="1"/>
  <c r="BC21" i="25" a="1"/>
  <c r="BC21" i="25" s="1"/>
  <c r="BC16" i="25" a="1"/>
  <c r="BC16" i="25" s="1"/>
  <c r="BC10" i="25" a="1"/>
  <c r="BC10" i="25" s="1"/>
  <c r="BC36" i="25" a="1"/>
  <c r="BC36" i="25" s="1"/>
  <c r="BC18" i="25" a="1"/>
  <c r="BC18" i="25" s="1"/>
  <c r="BC61" i="25"/>
  <c r="BC45" i="25" a="1"/>
  <c r="BC45" i="25" s="1"/>
  <c r="BC41" i="25" a="1"/>
  <c r="BC41" i="25" s="1"/>
  <c r="BC29" i="25" a="1"/>
  <c r="BC29" i="25" s="1"/>
  <c r="BC11" i="25" a="1"/>
  <c r="BC11" i="25" s="1"/>
  <c r="BC44" i="25" a="1"/>
  <c r="BC44" i="25" s="1"/>
  <c r="BC38" i="25" a="1"/>
  <c r="BC38" i="25" s="1"/>
  <c r="BC32" i="25" a="1"/>
  <c r="BC32" i="25" s="1"/>
  <c r="BC26" i="25" a="1"/>
  <c r="BC26" i="25" s="1"/>
  <c r="BC20" i="25" a="1"/>
  <c r="BC20" i="25" s="1"/>
  <c r="BC15" i="25" a="1"/>
  <c r="BC15" i="25" s="1"/>
  <c r="BC9" i="25" a="1"/>
  <c r="BC9" i="25" s="1"/>
  <c r="BD8" i="25" a="1"/>
  <c r="BD8" i="25" s="1"/>
  <c r="BD11" i="25" s="1" a="1"/>
  <c r="BD11" i="25" s="1"/>
  <c r="BC43" i="25" a="1"/>
  <c r="BC43" i="25" s="1"/>
  <c r="BC37" i="25" a="1"/>
  <c r="BC37" i="25" s="1"/>
  <c r="BC31" i="25" a="1"/>
  <c r="BC31" i="25" s="1"/>
  <c r="BC25" i="25" a="1"/>
  <c r="BC25" i="25" s="1"/>
  <c r="BC19" i="25" a="1"/>
  <c r="BC19" i="25" s="1"/>
  <c r="BC14" i="25" a="1"/>
  <c r="BC14" i="25" s="1"/>
  <c r="AR48" i="24" a="1"/>
  <c r="AR48" i="24" s="1"/>
  <c r="V48" i="24" a="1"/>
  <c r="V48" i="24" s="1"/>
  <c r="AT48" i="24" a="1"/>
  <c r="AT48" i="24" s="1"/>
  <c r="AI48" i="24" a="1"/>
  <c r="AI48" i="24" s="1"/>
  <c r="AE48" i="24" a="1"/>
  <c r="AE48" i="24" s="1"/>
  <c r="U48" i="24" a="1"/>
  <c r="U48" i="24" s="1"/>
  <c r="AH48" i="24" a="1"/>
  <c r="AH48" i="24" s="1"/>
  <c r="O48" i="24" a="1"/>
  <c r="O48" i="24" s="1"/>
  <c r="L49" i="24" a="1"/>
  <c r="L49" i="24" s="1"/>
  <c r="M49" i="24" s="1" a="1"/>
  <c r="M49" i="24" s="1"/>
  <c r="AQ48" i="24" a="1"/>
  <c r="AQ48" i="24" s="1"/>
  <c r="AX48" i="24" a="1"/>
  <c r="AX48" i="24" s="1"/>
  <c r="AU48" i="24" a="1"/>
  <c r="AU48" i="24" s="1"/>
  <c r="AA48" i="24" a="1"/>
  <c r="AA48" i="24" s="1"/>
  <c r="AD48" i="24" a="1"/>
  <c r="AD48" i="24" s="1"/>
  <c r="AB48" i="24" a="1"/>
  <c r="AB48" i="24" s="1"/>
  <c r="R48" i="24" a="1"/>
  <c r="R48" i="24" s="1"/>
  <c r="AM48" i="24" a="1"/>
  <c r="AM48" i="24" s="1"/>
  <c r="AS48" i="24" a="1"/>
  <c r="AS48" i="24" s="1"/>
  <c r="AJ48" i="24" a="1"/>
  <c r="AJ48" i="24" s="1"/>
  <c r="AK48" i="24" a="1"/>
  <c r="AK48" i="24" s="1"/>
  <c r="AG48" i="24" a="1"/>
  <c r="AG48" i="24" s="1"/>
  <c r="AW48" i="24" a="1"/>
  <c r="AW48" i="24" s="1"/>
  <c r="AP48" i="24" a="1"/>
  <c r="AP48" i="24" s="1"/>
  <c r="AL48" i="24" a="1"/>
  <c r="AL48" i="24" s="1"/>
  <c r="AC48" i="24" a="1"/>
  <c r="AC48" i="24" s="1"/>
  <c r="Z48" i="24" a="1"/>
  <c r="Z48" i="24" s="1"/>
  <c r="T48" i="24" a="1"/>
  <c r="T48" i="24" s="1"/>
  <c r="N48" i="24" a="1"/>
  <c r="N48" i="24" s="1"/>
  <c r="AO48" i="24" a="1"/>
  <c r="AO48" i="24" s="1"/>
  <c r="Y48" i="24" a="1"/>
  <c r="Y48" i="24" s="1"/>
  <c r="Q48" i="24" a="1"/>
  <c r="Q48" i="24" s="1"/>
  <c r="AN48" i="24" a="1"/>
  <c r="AN48" i="24" s="1"/>
  <c r="P48" i="24" a="1"/>
  <c r="P48" i="24" s="1"/>
  <c r="AV48" i="24" a="1"/>
  <c r="AV48" i="24" s="1"/>
  <c r="AF48" i="24" a="1"/>
  <c r="AF48" i="24" s="1"/>
  <c r="AY48" i="24" a="1"/>
  <c r="AY48" i="24" s="1"/>
  <c r="X48" i="24" a="1"/>
  <c r="X48" i="24" s="1"/>
  <c r="W48" i="24" a="1"/>
  <c r="W48" i="24" s="1"/>
  <c r="S48" i="24" a="1"/>
  <c r="S48" i="24" s="1"/>
  <c r="BA61" i="26"/>
  <c r="BA9" i="26" a="1"/>
  <c r="BA9" i="26" s="1"/>
  <c r="BA60" i="26"/>
  <c r="BA10" i="26" a="1"/>
  <c r="BA10" i="26" s="1"/>
  <c r="BA12" i="26" a="1"/>
  <c r="BA12" i="26" s="1"/>
  <c r="BA13" i="26" a="1"/>
  <c r="BA13" i="26" s="1"/>
  <c r="BA11" i="26" a="1"/>
  <c r="BA11" i="26" s="1"/>
  <c r="BA15" i="26" a="1"/>
  <c r="BA15" i="26" s="1"/>
  <c r="BA14" i="26" a="1"/>
  <c r="BA14" i="26" s="1"/>
  <c r="BA16" i="26" a="1"/>
  <c r="BA16" i="26" s="1"/>
  <c r="BA17" i="26" a="1"/>
  <c r="BA17" i="26" s="1"/>
  <c r="BA19" i="26" a="1"/>
  <c r="BA19" i="26" s="1"/>
  <c r="BA18" i="26" a="1"/>
  <c r="BA18" i="26" s="1"/>
  <c r="BB8" i="26" a="1"/>
  <c r="BB8" i="26" s="1"/>
  <c r="BA20" i="26" a="1"/>
  <c r="BA20" i="26" s="1"/>
  <c r="BA21" i="26" a="1"/>
  <c r="BA21" i="26" s="1"/>
  <c r="BA22" i="26" a="1"/>
  <c r="BA22" i="26" s="1"/>
  <c r="BA23" i="26" a="1"/>
  <c r="BA23" i="26" s="1"/>
  <c r="BA24" i="26" a="1"/>
  <c r="BA24" i="26" s="1"/>
  <c r="BA25" i="26" a="1"/>
  <c r="BA25" i="26" s="1"/>
  <c r="BA26" i="26" a="1"/>
  <c r="BA26" i="26" s="1"/>
  <c r="BA27" i="26" a="1"/>
  <c r="BA27" i="26" s="1"/>
  <c r="BA28" i="26" a="1"/>
  <c r="BA28" i="26" s="1"/>
  <c r="BA29" i="26" a="1"/>
  <c r="BA29" i="26" s="1"/>
  <c r="BA30" i="26" a="1"/>
  <c r="BA30" i="26" s="1"/>
  <c r="BA31" i="26" a="1"/>
  <c r="BA31" i="26" s="1"/>
  <c r="BA32" i="26" a="1"/>
  <c r="BA32" i="26" s="1"/>
  <c r="BA33" i="26" a="1"/>
  <c r="BA33" i="26" s="1"/>
  <c r="BA34" i="26" a="1"/>
  <c r="BA34" i="26" s="1"/>
  <c r="BA35" i="26" a="1"/>
  <c r="BA35" i="26" s="1"/>
  <c r="BA36" i="26" a="1"/>
  <c r="BA36" i="26" s="1"/>
  <c r="BA37" i="26" a="1"/>
  <c r="BA37" i="26" s="1"/>
  <c r="BA38" i="26" a="1"/>
  <c r="BA38" i="26" s="1"/>
  <c r="BA39" i="26" a="1"/>
  <c r="BA39" i="26" s="1"/>
  <c r="BA40" i="26" a="1"/>
  <c r="BA40" i="26" s="1"/>
  <c r="BA41" i="26" a="1"/>
  <c r="BA41" i="26" s="1"/>
  <c r="BA42" i="26" a="1"/>
  <c r="BA42" i="26" s="1"/>
  <c r="BA43" i="26" a="1"/>
  <c r="BA43" i="26" s="1"/>
  <c r="BA44" i="26" a="1"/>
  <c r="BA44" i="26" s="1"/>
  <c r="BA45" i="26" a="1"/>
  <c r="BA45" i="26" s="1"/>
  <c r="BA46" i="26" a="1"/>
  <c r="BA46" i="26" s="1"/>
  <c r="BA47" i="26" a="1"/>
  <c r="BA47" i="26" s="1"/>
  <c r="BA48" i="26" a="1"/>
  <c r="BA48" i="26" s="1"/>
  <c r="W47" i="38"/>
  <c r="AN47" i="38"/>
  <c r="AV47" i="38"/>
  <c r="AS47" i="38"/>
  <c r="AL47" i="38"/>
  <c r="L47" i="38"/>
  <c r="AW47" i="38"/>
  <c r="AC47" i="38"/>
  <c r="AJ47" i="38"/>
  <c r="AB47" i="38"/>
  <c r="Y47" i="38"/>
  <c r="AH47" i="38"/>
  <c r="AP47" i="38"/>
  <c r="AM47" i="38"/>
  <c r="AA47" i="38"/>
  <c r="AF47" i="38"/>
  <c r="S47" i="38"/>
  <c r="V47" i="38"/>
  <c r="AO47" i="38"/>
  <c r="X47" i="38"/>
  <c r="AG47" i="38"/>
  <c r="T47" i="38"/>
  <c r="Q47" i="38"/>
  <c r="R47" i="38"/>
  <c r="AU47" i="38"/>
  <c r="AE47" i="38"/>
  <c r="P47" i="38"/>
  <c r="O47" i="38"/>
  <c r="AK47" i="38"/>
  <c r="N47" i="38"/>
  <c r="U47" i="38"/>
  <c r="AD47" i="38"/>
  <c r="M47" i="38"/>
  <c r="AT47" i="38"/>
  <c r="AQ47" i="38"/>
  <c r="AR47" i="38"/>
  <c r="AI47" i="38"/>
  <c r="Z47" i="38"/>
  <c r="K48" i="38" a="1"/>
  <c r="K48" i="38" s="1"/>
  <c r="C35" i="39"/>
  <c r="A35" i="39" s="1"/>
  <c r="F385" i="22"/>
  <c r="R46" i="25" a="1"/>
  <c r="R46" i="25" s="1"/>
  <c r="P46" i="25" a="1"/>
  <c r="P46" i="25" s="1"/>
  <c r="O46" i="25" a="1"/>
  <c r="O46" i="25" s="1"/>
  <c r="T46" i="25" a="1"/>
  <c r="T46" i="25" s="1"/>
  <c r="Q46" i="25" a="1"/>
  <c r="Q46" i="25" s="1"/>
  <c r="S46" i="25" a="1"/>
  <c r="S46" i="25" s="1"/>
  <c r="U46" i="25" a="1"/>
  <c r="U46" i="25" s="1"/>
  <c r="V46" i="25" a="1"/>
  <c r="V46" i="25" s="1"/>
  <c r="X46" i="25" a="1"/>
  <c r="X46" i="25" s="1"/>
  <c r="Z46" i="25" a="1"/>
  <c r="Z46" i="25" s="1"/>
  <c r="Y46" i="25" a="1"/>
  <c r="Y46" i="25" s="1"/>
  <c r="W46" i="25" a="1"/>
  <c r="W46" i="25" s="1"/>
  <c r="AB46" i="25" a="1"/>
  <c r="AB46" i="25" s="1"/>
  <c r="AC46" i="25" a="1"/>
  <c r="AC46" i="25" s="1"/>
  <c r="AD46" i="25" a="1"/>
  <c r="AD46" i="25" s="1"/>
  <c r="AA46" i="25" a="1"/>
  <c r="AA46" i="25" s="1"/>
  <c r="AF46" i="25" a="1"/>
  <c r="AF46" i="25" s="1"/>
  <c r="AE46" i="25" a="1"/>
  <c r="AE46" i="25" s="1"/>
  <c r="AG46" i="25" a="1"/>
  <c r="AG46" i="25" s="1"/>
  <c r="AH46" i="25" a="1"/>
  <c r="AH46" i="25" s="1"/>
  <c r="AI46" i="25" a="1"/>
  <c r="AI46" i="25" s="1"/>
  <c r="AK46" i="25" a="1"/>
  <c r="AK46" i="25" s="1"/>
  <c r="AL46" i="25" a="1"/>
  <c r="AL46" i="25" s="1"/>
  <c r="AN46" i="25" a="1"/>
  <c r="AN46" i="25" s="1"/>
  <c r="AP46" i="25" a="1"/>
  <c r="AP46" i="25" s="1"/>
  <c r="AJ46" i="25" a="1"/>
  <c r="AJ46" i="25" s="1"/>
  <c r="AO46" i="25" a="1"/>
  <c r="AO46" i="25" s="1"/>
  <c r="AM46" i="25" a="1"/>
  <c r="AM46" i="25" s="1"/>
  <c r="AQ46" i="25" a="1"/>
  <c r="AQ46" i="25" s="1"/>
  <c r="AS46" i="25" a="1"/>
  <c r="AS46" i="25" s="1"/>
  <c r="AV46" i="25" a="1"/>
  <c r="AV46" i="25" s="1"/>
  <c r="AT46" i="25" a="1"/>
  <c r="AT46" i="25" s="1"/>
  <c r="AR46" i="25" a="1"/>
  <c r="AR46" i="25" s="1"/>
  <c r="AX46" i="25" a="1"/>
  <c r="AX46" i="25" s="1"/>
  <c r="AU46" i="25" a="1"/>
  <c r="AU46" i="25" s="1"/>
  <c r="AY46" i="25" a="1"/>
  <c r="AY46" i="25" s="1"/>
  <c r="AZ46" i="25" a="1"/>
  <c r="AZ46" i="25" s="1"/>
  <c r="AW46" i="25" a="1"/>
  <c r="AW46" i="25" s="1"/>
  <c r="BA46" i="25" a="1"/>
  <c r="BA46" i="25" s="1"/>
  <c r="BB46" i="25" a="1"/>
  <c r="BB46" i="25" s="1"/>
  <c r="BC46" i="25" a="1"/>
  <c r="BC46" i="25" s="1"/>
  <c r="N47" i="25" a="1"/>
  <c r="N47" i="25" s="1"/>
  <c r="AY63" i="24"/>
  <c r="AY62" i="24"/>
  <c r="AZ60" i="24"/>
  <c r="AZ9" i="24" a="1"/>
  <c r="AZ9" i="24" s="1"/>
  <c r="AZ61" i="24"/>
  <c r="AZ10" i="24" a="1"/>
  <c r="AZ10" i="24" s="1"/>
  <c r="AZ11" i="24" a="1"/>
  <c r="AZ11" i="24" s="1"/>
  <c r="AZ12" i="24" a="1"/>
  <c r="AZ12" i="24" s="1"/>
  <c r="AZ13" i="24" a="1"/>
  <c r="AZ13" i="24" s="1"/>
  <c r="AZ14" i="24" a="1"/>
  <c r="AZ14" i="24" s="1"/>
  <c r="AZ15" i="24" a="1"/>
  <c r="AZ15" i="24" s="1"/>
  <c r="AZ17" i="24" a="1"/>
  <c r="AZ17" i="24" s="1"/>
  <c r="AZ16" i="24" a="1"/>
  <c r="AZ16" i="24" s="1"/>
  <c r="AZ18" i="24" a="1"/>
  <c r="AZ18" i="24" s="1"/>
  <c r="AZ19" i="24" a="1"/>
  <c r="AZ19" i="24" s="1"/>
  <c r="BA8" i="24" a="1"/>
  <c r="BA8" i="24" s="1"/>
  <c r="AZ20" i="24" a="1"/>
  <c r="AZ20" i="24" s="1"/>
  <c r="AZ21" i="24" a="1"/>
  <c r="AZ21" i="24" s="1"/>
  <c r="AZ22" i="24" a="1"/>
  <c r="AZ22" i="24" s="1"/>
  <c r="AZ23" i="24" a="1"/>
  <c r="AZ23" i="24" s="1"/>
  <c r="AZ24" i="24" a="1"/>
  <c r="AZ24" i="24" s="1"/>
  <c r="AZ25" i="24" a="1"/>
  <c r="AZ25" i="24" s="1"/>
  <c r="AZ26" i="24" a="1"/>
  <c r="AZ26" i="24" s="1"/>
  <c r="AZ27" i="24" a="1"/>
  <c r="AZ27" i="24" s="1"/>
  <c r="AZ28" i="24" a="1"/>
  <c r="AZ28" i="24" s="1"/>
  <c r="AZ29" i="24" a="1"/>
  <c r="AZ29" i="24" s="1"/>
  <c r="AZ30" i="24" a="1"/>
  <c r="AZ30" i="24" s="1"/>
  <c r="AZ31" i="24" a="1"/>
  <c r="AZ31" i="24" s="1"/>
  <c r="AZ32" i="24" a="1"/>
  <c r="AZ32" i="24" s="1"/>
  <c r="AZ33" i="24" a="1"/>
  <c r="AZ33" i="24" s="1"/>
  <c r="AZ34" i="24" a="1"/>
  <c r="AZ34" i="24" s="1"/>
  <c r="AZ35" i="24" a="1"/>
  <c r="AZ35" i="24" s="1"/>
  <c r="AZ36" i="24" a="1"/>
  <c r="AZ36" i="24" s="1"/>
  <c r="AZ37" i="24" a="1"/>
  <c r="AZ37" i="24" s="1"/>
  <c r="AZ38" i="24" a="1"/>
  <c r="AZ38" i="24" s="1"/>
  <c r="AZ39" i="24" a="1"/>
  <c r="AZ39" i="24" s="1"/>
  <c r="AZ40" i="24" a="1"/>
  <c r="AZ40" i="24" s="1"/>
  <c r="AZ41" i="24" a="1"/>
  <c r="AZ41" i="24" s="1"/>
  <c r="AZ42" i="24" a="1"/>
  <c r="AZ42" i="24" s="1"/>
  <c r="AZ43" i="24" a="1"/>
  <c r="AZ43" i="24" s="1"/>
  <c r="AZ44" i="24" a="1"/>
  <c r="AZ44" i="24" s="1"/>
  <c r="AZ45" i="24" a="1"/>
  <c r="AZ45" i="24" s="1"/>
  <c r="AZ46" i="24" a="1"/>
  <c r="AZ46" i="24" s="1"/>
  <c r="AZ47" i="24" a="1"/>
  <c r="AZ47" i="24" s="1"/>
  <c r="AZ48" i="24" a="1"/>
  <c r="AZ48" i="24" s="1"/>
  <c r="BA49" i="26" a="1"/>
  <c r="BA49" i="26" s="1"/>
  <c r="Y50" i="26" a="1"/>
  <c r="Y50" i="26" s="1"/>
  <c r="BA50" i="26" a="1"/>
  <c r="BA50" i="26" s="1"/>
  <c r="AZ50" i="26" a="1"/>
  <c r="AZ50" i="26" s="1"/>
  <c r="AX50" i="26" a="1"/>
  <c r="AX50" i="26" s="1"/>
  <c r="AY50" i="26" a="1"/>
  <c r="AY50" i="26" s="1"/>
  <c r="AR50" i="26" a="1"/>
  <c r="AR50" i="26" s="1"/>
  <c r="AM50" i="26" a="1"/>
  <c r="AM50" i="26" s="1"/>
  <c r="BB50" i="26" a="1"/>
  <c r="BB50" i="26" s="1"/>
  <c r="AD50" i="26" a="1"/>
  <c r="AD50" i="26" s="1"/>
  <c r="V50" i="26" a="1"/>
  <c r="V50" i="26" s="1"/>
  <c r="AP50" i="26" a="1"/>
  <c r="AP50" i="26" s="1"/>
  <c r="W50" i="26" a="1"/>
  <c r="W50" i="26" s="1"/>
  <c r="O50" i="26" a="1"/>
  <c r="O50" i="26" s="1"/>
  <c r="AV50" i="26" a="1"/>
  <c r="AV50" i="26" s="1"/>
  <c r="X50" i="26" a="1"/>
  <c r="X50" i="26" s="1"/>
  <c r="P50" i="26" a="1"/>
  <c r="P50" i="26" s="1"/>
  <c r="AJ50" i="26" a="1"/>
  <c r="AJ50" i="26" s="1"/>
  <c r="R50" i="26" a="1"/>
  <c r="R50" i="26" s="1"/>
  <c r="AB50" i="26" a="1"/>
  <c r="AB50" i="26" s="1"/>
  <c r="S50" i="26" a="1"/>
  <c r="S50" i="26" s="1"/>
  <c r="AW50" i="26" a="1"/>
  <c r="AW50" i="26" s="1"/>
  <c r="M50" i="26" a="1"/>
  <c r="M50" i="26" s="1"/>
  <c r="AN50" i="26" a="1"/>
  <c r="AN50" i="26" s="1"/>
  <c r="U50" i="26" a="1"/>
  <c r="U50" i="26" s="1"/>
  <c r="AO50" i="26" a="1"/>
  <c r="AO50" i="26" s="1"/>
  <c r="AA50" i="26" a="1"/>
  <c r="AA50" i="26" s="1"/>
  <c r="Z50" i="26" a="1"/>
  <c r="Z50" i="26" s="1"/>
  <c r="T50" i="26" a="1"/>
  <c r="T50" i="26" s="1"/>
  <c r="Q50" i="26" a="1"/>
  <c r="Q50" i="26" s="1"/>
  <c r="AQ50" i="26" a="1"/>
  <c r="AQ50" i="26" s="1"/>
  <c r="AU50" i="26" a="1"/>
  <c r="AU50" i="26" s="1"/>
  <c r="AL50" i="26" a="1"/>
  <c r="AL50" i="26" s="1"/>
  <c r="AI50" i="26" a="1"/>
  <c r="AI50" i="26" s="1"/>
  <c r="AG50" i="26" a="1"/>
  <c r="AG50" i="26" s="1"/>
  <c r="AK50" i="26" a="1"/>
  <c r="AK50" i="26" s="1"/>
  <c r="AT50" i="26" a="1"/>
  <c r="AT50" i="26" s="1"/>
  <c r="AS50" i="26" a="1"/>
  <c r="AS50" i="26" s="1"/>
  <c r="AF50" i="26" a="1"/>
  <c r="AF50" i="26" s="1"/>
  <c r="AH50" i="26" a="1"/>
  <c r="AH50" i="26" s="1"/>
  <c r="AE50" i="26" a="1"/>
  <c r="AE50" i="26" s="1"/>
  <c r="AC50" i="26" a="1"/>
  <c r="AC50" i="26" s="1"/>
  <c r="N50" i="26" a="1"/>
  <c r="N50" i="26" s="1"/>
  <c r="L51" i="26" a="1"/>
  <c r="L51" i="26" s="1"/>
  <c r="AW9" i="38"/>
  <c r="AW61" i="38"/>
  <c r="AW10" i="38"/>
  <c r="AW60" i="38"/>
  <c r="AW12" i="38"/>
  <c r="AW11" i="38"/>
  <c r="AW13" i="38"/>
  <c r="AW15" i="38"/>
  <c r="AW14" i="38"/>
  <c r="AW16" i="38"/>
  <c r="AW17" i="38"/>
  <c r="AW18" i="38"/>
  <c r="AX8" i="38" a="1"/>
  <c r="AX8" i="38" s="1"/>
  <c r="AX47" i="38" s="1"/>
  <c r="AW19" i="38"/>
  <c r="AW20" i="38"/>
  <c r="AW21" i="38"/>
  <c r="AW22" i="38"/>
  <c r="AW23" i="38"/>
  <c r="AW24" i="38"/>
  <c r="AW25" i="38"/>
  <c r="AW26" i="38"/>
  <c r="AW27" i="38"/>
  <c r="AW28" i="38"/>
  <c r="AW29" i="38"/>
  <c r="AW30" i="38"/>
  <c r="AW31" i="38"/>
  <c r="AW32" i="38"/>
  <c r="AW33" i="38"/>
  <c r="AW34" i="38"/>
  <c r="AW35" i="38"/>
  <c r="AW36" i="38"/>
  <c r="AW37" i="38"/>
  <c r="AW38" i="38"/>
  <c r="AW39" i="38"/>
  <c r="AW40" i="38"/>
  <c r="AW41" i="38"/>
  <c r="AW42" i="38"/>
  <c r="AW43" i="38"/>
  <c r="AW44" i="38"/>
  <c r="AW45" i="38"/>
  <c r="BD34" i="25" l="1" a="1"/>
  <c r="BD34" i="25" s="1"/>
  <c r="BD22" i="25" a="1"/>
  <c r="BD22" i="25" s="1"/>
  <c r="BD12" i="25" a="1"/>
  <c r="BD12" i="25" s="1"/>
  <c r="BD45" i="25" a="1"/>
  <c r="BD45" i="25" s="1"/>
  <c r="BD39" i="25" a="1"/>
  <c r="BD39" i="25" s="1"/>
  <c r="BD33" i="25" a="1"/>
  <c r="BD33" i="25" s="1"/>
  <c r="BD27" i="25" a="1"/>
  <c r="BD27" i="25" s="1"/>
  <c r="BD21" i="25" a="1"/>
  <c r="BD21" i="25" s="1"/>
  <c r="BD16" i="25" a="1"/>
  <c r="BD16" i="25" s="1"/>
  <c r="BD10" i="25" a="1"/>
  <c r="BD10" i="25" s="1"/>
  <c r="BD44" i="25" a="1"/>
  <c r="BD44" i="25" s="1"/>
  <c r="BD38" i="25" a="1"/>
  <c r="BD38" i="25" s="1"/>
  <c r="BD32" i="25" a="1"/>
  <c r="BD32" i="25" s="1"/>
  <c r="BD26" i="25" a="1"/>
  <c r="BD26" i="25" s="1"/>
  <c r="BD20" i="25" a="1"/>
  <c r="BD20" i="25" s="1"/>
  <c r="BD15" i="25" a="1"/>
  <c r="BD15" i="25" s="1"/>
  <c r="BD61" i="25"/>
  <c r="BE8" i="25" a="1"/>
  <c r="BE8" i="25" s="1"/>
  <c r="BE46" i="25" s="1" a="1"/>
  <c r="BE46" i="25" s="1"/>
  <c r="BD13" i="25" a="1"/>
  <c r="BD13" i="25" s="1"/>
  <c r="BD9" i="25" a="1"/>
  <c r="BD9" i="25" s="1"/>
  <c r="BD40" i="25" a="1"/>
  <c r="BD40" i="25" s="1"/>
  <c r="BD28" i="25" a="1"/>
  <c r="BD28" i="25" s="1"/>
  <c r="BD18" i="25" a="1"/>
  <c r="BD18" i="25" s="1"/>
  <c r="BD43" i="25" a="1"/>
  <c r="BD43" i="25" s="1"/>
  <c r="BD37" i="25" a="1"/>
  <c r="BD37" i="25" s="1"/>
  <c r="BD31" i="25" a="1"/>
  <c r="BD31" i="25" s="1"/>
  <c r="BD25" i="25" a="1"/>
  <c r="BD25" i="25" s="1"/>
  <c r="BD19" i="25" a="1"/>
  <c r="BD19" i="25" s="1"/>
  <c r="BD14" i="25" a="1"/>
  <c r="BD14" i="25" s="1"/>
  <c r="BD60" i="25"/>
  <c r="BD46" i="25" a="1"/>
  <c r="BD46" i="25" s="1"/>
  <c r="BD42" i="25" a="1"/>
  <c r="BD42" i="25" s="1"/>
  <c r="BD36" i="25" a="1"/>
  <c r="BD36" i="25" s="1"/>
  <c r="BD30" i="25" a="1"/>
  <c r="BD30" i="25" s="1"/>
  <c r="BD24" i="25" a="1"/>
  <c r="BD24" i="25" s="1"/>
  <c r="BD41" i="25" a="1"/>
  <c r="BD41" i="25" s="1"/>
  <c r="BD35" i="25" a="1"/>
  <c r="BD35" i="25" s="1"/>
  <c r="BD29" i="25" a="1"/>
  <c r="BD29" i="25" s="1"/>
  <c r="BD23" i="25" a="1"/>
  <c r="BD23" i="25" s="1"/>
  <c r="BD17" i="25" a="1"/>
  <c r="BD17" i="25" s="1"/>
  <c r="L50" i="24" a="1"/>
  <c r="L50" i="24" s="1"/>
  <c r="N50" i="24" s="1" a="1"/>
  <c r="N50" i="24" s="1"/>
  <c r="Q49" i="24" a="1"/>
  <c r="Q49" i="24" s="1"/>
  <c r="AZ49" i="24" a="1"/>
  <c r="AZ49" i="24" s="1"/>
  <c r="AI49" i="24" a="1"/>
  <c r="AI49" i="24" s="1"/>
  <c r="AW49" i="24" a="1"/>
  <c r="AW49" i="24" s="1"/>
  <c r="AJ49" i="24" a="1"/>
  <c r="AJ49" i="24" s="1"/>
  <c r="X49" i="24" a="1"/>
  <c r="X49" i="24" s="1"/>
  <c r="V49" i="24" a="1"/>
  <c r="V49" i="24" s="1"/>
  <c r="R49" i="24" a="1"/>
  <c r="R49" i="24" s="1"/>
  <c r="AN49" i="24" a="1"/>
  <c r="AN49" i="24" s="1"/>
  <c r="W49" i="24" a="1"/>
  <c r="W49" i="24" s="1"/>
  <c r="Z49" i="24" a="1"/>
  <c r="Z49" i="24" s="1"/>
  <c r="BA49" i="24" a="1"/>
  <c r="BA49" i="24" s="1"/>
  <c r="AT49" i="24" a="1"/>
  <c r="AT49" i="24" s="1"/>
  <c r="T49" i="24" a="1"/>
  <c r="T49" i="24" s="1"/>
  <c r="S49" i="24" a="1"/>
  <c r="S49" i="24" s="1"/>
  <c r="AD49" i="24" a="1"/>
  <c r="AD49" i="24" s="1"/>
  <c r="AC49" i="24" a="1"/>
  <c r="AC49" i="24" s="1"/>
  <c r="AM49" i="24" a="1"/>
  <c r="AM49" i="24" s="1"/>
  <c r="AR49" i="24" a="1"/>
  <c r="AR49" i="24" s="1"/>
  <c r="AQ49" i="24" a="1"/>
  <c r="AQ49" i="24" s="1"/>
  <c r="AF49" i="24" a="1"/>
  <c r="AF49" i="24" s="1"/>
  <c r="AP49" i="24" a="1"/>
  <c r="AP49" i="24" s="1"/>
  <c r="AB49" i="24" a="1"/>
  <c r="AB49" i="24" s="1"/>
  <c r="N49" i="24" a="1"/>
  <c r="N49" i="24" s="1"/>
  <c r="AS49" i="24" a="1"/>
  <c r="AS49" i="24" s="1"/>
  <c r="AG49" i="24" a="1"/>
  <c r="AG49" i="24" s="1"/>
  <c r="P49" i="24" a="1"/>
  <c r="P49" i="24" s="1"/>
  <c r="AO49" i="24" a="1"/>
  <c r="AO49" i="24" s="1"/>
  <c r="Y49" i="24" a="1"/>
  <c r="Y49" i="24" s="1"/>
  <c r="AU49" i="24" a="1"/>
  <c r="AU49" i="24" s="1"/>
  <c r="AV49" i="24" a="1"/>
  <c r="AV49" i="24" s="1"/>
  <c r="AH49" i="24" a="1"/>
  <c r="AH49" i="24" s="1"/>
  <c r="AA49" i="24" a="1"/>
  <c r="AA49" i="24" s="1"/>
  <c r="O49" i="24" a="1"/>
  <c r="O49" i="24" s="1"/>
  <c r="AX49" i="24" a="1"/>
  <c r="AX49" i="24" s="1"/>
  <c r="AY49" i="24" a="1"/>
  <c r="AY49" i="24" s="1"/>
  <c r="AK49" i="24" a="1"/>
  <c r="AK49" i="24" s="1"/>
  <c r="AL49" i="24" a="1"/>
  <c r="AL49" i="24" s="1"/>
  <c r="AE49" i="24" a="1"/>
  <c r="AE49" i="24" s="1"/>
  <c r="U49" i="24" a="1"/>
  <c r="U49" i="24" s="1"/>
  <c r="C36" i="39"/>
  <c r="A36" i="39" s="1"/>
  <c r="F386" i="22"/>
  <c r="AY51" i="26" a="1"/>
  <c r="AY51" i="26" s="1"/>
  <c r="AM51" i="26" a="1"/>
  <c r="AM51" i="26" s="1"/>
  <c r="AL51" i="26" a="1"/>
  <c r="AL51" i="26" s="1"/>
  <c r="AW51" i="26" a="1"/>
  <c r="AW51" i="26" s="1"/>
  <c r="AO51" i="26" a="1"/>
  <c r="AO51" i="26" s="1"/>
  <c r="AE51" i="26" a="1"/>
  <c r="AE51" i="26" s="1"/>
  <c r="AN51" i="26" a="1"/>
  <c r="AN51" i="26" s="1"/>
  <c r="AJ51" i="26" a="1"/>
  <c r="AJ51" i="26" s="1"/>
  <c r="AX51" i="26" a="1"/>
  <c r="AX51" i="26" s="1"/>
  <c r="O51" i="26" a="1"/>
  <c r="O51" i="26" s="1"/>
  <c r="BA51" i="26" a="1"/>
  <c r="BA51" i="26" s="1"/>
  <c r="AI51" i="26" a="1"/>
  <c r="AI51" i="26" s="1"/>
  <c r="AP51" i="26" a="1"/>
  <c r="AP51" i="26" s="1"/>
  <c r="AZ51" i="26" a="1"/>
  <c r="AZ51" i="26" s="1"/>
  <c r="AA51" i="26" a="1"/>
  <c r="AA51" i="26" s="1"/>
  <c r="W51" i="26" a="1"/>
  <c r="W51" i="26" s="1"/>
  <c r="AG51" i="26" a="1"/>
  <c r="AG51" i="26" s="1"/>
  <c r="T51" i="26" a="1"/>
  <c r="T51" i="26" s="1"/>
  <c r="AV51" i="26" a="1"/>
  <c r="AV51" i="26" s="1"/>
  <c r="Q51" i="26" a="1"/>
  <c r="Q51" i="26" s="1"/>
  <c r="S51" i="26" a="1"/>
  <c r="S51" i="26" s="1"/>
  <c r="U51" i="26" a="1"/>
  <c r="U51" i="26" s="1"/>
  <c r="AT51" i="26" a="1"/>
  <c r="AT51" i="26" s="1"/>
  <c r="AH51" i="26" a="1"/>
  <c r="AH51" i="26" s="1"/>
  <c r="P51" i="26" a="1"/>
  <c r="P51" i="26" s="1"/>
  <c r="AD51" i="26" a="1"/>
  <c r="AD51" i="26" s="1"/>
  <c r="AC51" i="26" a="1"/>
  <c r="AC51" i="26" s="1"/>
  <c r="AK51" i="26" a="1"/>
  <c r="AK51" i="26" s="1"/>
  <c r="AB51" i="26" a="1"/>
  <c r="AB51" i="26" s="1"/>
  <c r="Y51" i="26" a="1"/>
  <c r="Y51" i="26" s="1"/>
  <c r="V51" i="26" a="1"/>
  <c r="V51" i="26" s="1"/>
  <c r="AR51" i="26" a="1"/>
  <c r="AR51" i="26" s="1"/>
  <c r="AQ51" i="26" a="1"/>
  <c r="AQ51" i="26" s="1"/>
  <c r="R51" i="26" a="1"/>
  <c r="R51" i="26" s="1"/>
  <c r="BB51" i="26" a="1"/>
  <c r="BB51" i="26" s="1"/>
  <c r="M51" i="26" a="1"/>
  <c r="M51" i="26" s="1"/>
  <c r="Z51" i="26" a="1"/>
  <c r="Z51" i="26" s="1"/>
  <c r="AS51" i="26" a="1"/>
  <c r="AS51" i="26" s="1"/>
  <c r="AF51" i="26" a="1"/>
  <c r="AF51" i="26" s="1"/>
  <c r="N51" i="26" a="1"/>
  <c r="N51" i="26" s="1"/>
  <c r="AU51" i="26" a="1"/>
  <c r="AU51" i="26" s="1"/>
  <c r="X51" i="26" a="1"/>
  <c r="X51" i="26" s="1"/>
  <c r="L52" i="26" a="1"/>
  <c r="L52" i="26" s="1"/>
  <c r="U48" i="38"/>
  <c r="AU48" i="38"/>
  <c r="AL48" i="38"/>
  <c r="AR48" i="38"/>
  <c r="AA48" i="38"/>
  <c r="AF48" i="38"/>
  <c r="AO48" i="38"/>
  <c r="AP48" i="38"/>
  <c r="AD48" i="38"/>
  <c r="AS48" i="38"/>
  <c r="AM48" i="38"/>
  <c r="AX48" i="38"/>
  <c r="AK48" i="38"/>
  <c r="AE48" i="38"/>
  <c r="N48" i="38"/>
  <c r="AC48" i="38"/>
  <c r="W48" i="38"/>
  <c r="AV48" i="38"/>
  <c r="M48" i="38"/>
  <c r="O48" i="38"/>
  <c r="L48" i="38"/>
  <c r="AJ48" i="38"/>
  <c r="AT48" i="38"/>
  <c r="AQ48" i="38"/>
  <c r="T48" i="38"/>
  <c r="AB48" i="38"/>
  <c r="AI48" i="38"/>
  <c r="X48" i="38"/>
  <c r="Z48" i="38"/>
  <c r="S48" i="38"/>
  <c r="AN48" i="38"/>
  <c r="AW48" i="38"/>
  <c r="V48" i="38"/>
  <c r="AG48" i="38"/>
  <c r="R48" i="38"/>
  <c r="Y48" i="38"/>
  <c r="AH48" i="38"/>
  <c r="Q48" i="38"/>
  <c r="P48" i="38"/>
  <c r="K49" i="38" a="1"/>
  <c r="K49" i="38" s="1"/>
  <c r="BA60" i="24"/>
  <c r="BA61" i="24"/>
  <c r="BA9" i="24" a="1"/>
  <c r="BA9" i="24" s="1"/>
  <c r="BA10" i="24" a="1"/>
  <c r="BA10" i="24" s="1"/>
  <c r="BA11" i="24" a="1"/>
  <c r="BA11" i="24" s="1"/>
  <c r="BA13" i="24" a="1"/>
  <c r="BA13" i="24" s="1"/>
  <c r="BA12" i="24" a="1"/>
  <c r="BA12" i="24" s="1"/>
  <c r="BA14" i="24" a="1"/>
  <c r="BA14" i="24" s="1"/>
  <c r="BA15" i="24" a="1"/>
  <c r="BA15" i="24" s="1"/>
  <c r="BA16" i="24" a="1"/>
  <c r="BA16" i="24" s="1"/>
  <c r="BA17" i="24" a="1"/>
  <c r="BA17" i="24" s="1"/>
  <c r="BA19" i="24" a="1"/>
  <c r="BA19" i="24" s="1"/>
  <c r="BB8" i="24" a="1"/>
  <c r="BB8" i="24" s="1"/>
  <c r="BA18" i="24" a="1"/>
  <c r="BA18" i="24" s="1"/>
  <c r="BA21" i="24" a="1"/>
  <c r="BA21" i="24" s="1"/>
  <c r="BA20" i="24" a="1"/>
  <c r="BA20" i="24" s="1"/>
  <c r="BA22" i="24" a="1"/>
  <c r="BA22" i="24" s="1"/>
  <c r="BA23" i="24" a="1"/>
  <c r="BA23" i="24" s="1"/>
  <c r="BA24" i="24" a="1"/>
  <c r="BA24" i="24" s="1"/>
  <c r="BA25" i="24" a="1"/>
  <c r="BA25" i="24" s="1"/>
  <c r="BA26" i="24" a="1"/>
  <c r="BA26" i="24" s="1"/>
  <c r="BA27" i="24" a="1"/>
  <c r="BA27" i="24" s="1"/>
  <c r="BA28" i="24" a="1"/>
  <c r="BA28" i="24" s="1"/>
  <c r="BA29" i="24" a="1"/>
  <c r="BA29" i="24" s="1"/>
  <c r="BA30" i="24" a="1"/>
  <c r="BA30" i="24" s="1"/>
  <c r="BA31" i="24" a="1"/>
  <c r="BA31" i="24" s="1"/>
  <c r="BA32" i="24" a="1"/>
  <c r="BA32" i="24" s="1"/>
  <c r="BA33" i="24" a="1"/>
  <c r="BA33" i="24" s="1"/>
  <c r="BA34" i="24" a="1"/>
  <c r="BA34" i="24" s="1"/>
  <c r="BA35" i="24" a="1"/>
  <c r="BA35" i="24" s="1"/>
  <c r="BA36" i="24" a="1"/>
  <c r="BA36" i="24" s="1"/>
  <c r="BA37" i="24" a="1"/>
  <c r="BA37" i="24" s="1"/>
  <c r="BA38" i="24" a="1"/>
  <c r="BA38" i="24" s="1"/>
  <c r="BA39" i="24" a="1"/>
  <c r="BA39" i="24" s="1"/>
  <c r="BA40" i="24" a="1"/>
  <c r="BA40" i="24" s="1"/>
  <c r="BA41" i="24" a="1"/>
  <c r="BA41" i="24" s="1"/>
  <c r="BA42" i="24" a="1"/>
  <c r="BA42" i="24" s="1"/>
  <c r="BA43" i="24" a="1"/>
  <c r="BA43" i="24" s="1"/>
  <c r="BA44" i="24" a="1"/>
  <c r="BA44" i="24" s="1"/>
  <c r="BA45" i="24" a="1"/>
  <c r="BA45" i="24" s="1"/>
  <c r="BA46" i="24" a="1"/>
  <c r="BA46" i="24" s="1"/>
  <c r="BA47" i="24" a="1"/>
  <c r="BA47" i="24" s="1"/>
  <c r="BA48" i="24" a="1"/>
  <c r="BA48" i="24" s="1"/>
  <c r="BB61" i="26"/>
  <c r="BB60" i="26"/>
  <c r="BB10" i="26" a="1"/>
  <c r="BB10" i="26" s="1"/>
  <c r="BB9" i="26" a="1"/>
  <c r="BB9" i="26" s="1"/>
  <c r="BB11" i="26" a="1"/>
  <c r="BB11" i="26" s="1"/>
  <c r="BB13" i="26" a="1"/>
  <c r="BB13" i="26" s="1"/>
  <c r="BB12" i="26" a="1"/>
  <c r="BB12" i="26" s="1"/>
  <c r="BB14" i="26" a="1"/>
  <c r="BB14" i="26" s="1"/>
  <c r="BB15" i="26" a="1"/>
  <c r="BB15" i="26" s="1"/>
  <c r="BB16" i="26" a="1"/>
  <c r="BB16" i="26" s="1"/>
  <c r="BB17" i="26" a="1"/>
  <c r="BB17" i="26" s="1"/>
  <c r="BB19" i="26" a="1"/>
  <c r="BB19" i="26" s="1"/>
  <c r="BB18" i="26" a="1"/>
  <c r="BB18" i="26" s="1"/>
  <c r="BB20" i="26" a="1"/>
  <c r="BB20" i="26" s="1"/>
  <c r="BC8" i="26" a="1"/>
  <c r="BC8" i="26" s="1"/>
  <c r="BB21" i="26" a="1"/>
  <c r="BB21" i="26" s="1"/>
  <c r="BB22" i="26" a="1"/>
  <c r="BB22" i="26" s="1"/>
  <c r="BB23" i="26" a="1"/>
  <c r="BB23" i="26" s="1"/>
  <c r="BB24" i="26" a="1"/>
  <c r="BB24" i="26" s="1"/>
  <c r="BB25" i="26" a="1"/>
  <c r="BB25" i="26" s="1"/>
  <c r="BB26" i="26" a="1"/>
  <c r="BB26" i="26" s="1"/>
  <c r="BB27" i="26" a="1"/>
  <c r="BB27" i="26" s="1"/>
  <c r="BB28" i="26" a="1"/>
  <c r="BB28" i="26" s="1"/>
  <c r="BB29" i="26" a="1"/>
  <c r="BB29" i="26" s="1"/>
  <c r="BB30" i="26" a="1"/>
  <c r="BB30" i="26" s="1"/>
  <c r="BB31" i="26" a="1"/>
  <c r="BB31" i="26" s="1"/>
  <c r="BB32" i="26" a="1"/>
  <c r="BB32" i="26" s="1"/>
  <c r="BB33" i="26" a="1"/>
  <c r="BB33" i="26" s="1"/>
  <c r="BB34" i="26" a="1"/>
  <c r="BB34" i="26" s="1"/>
  <c r="BB35" i="26" a="1"/>
  <c r="BB35" i="26" s="1"/>
  <c r="BB36" i="26" a="1"/>
  <c r="BB36" i="26" s="1"/>
  <c r="BB37" i="26" a="1"/>
  <c r="BB37" i="26" s="1"/>
  <c r="BB38" i="26" a="1"/>
  <c r="BB38" i="26" s="1"/>
  <c r="BB39" i="26" a="1"/>
  <c r="BB39" i="26" s="1"/>
  <c r="BB40" i="26" a="1"/>
  <c r="BB40" i="26" s="1"/>
  <c r="BB41" i="26" a="1"/>
  <c r="BB41" i="26" s="1"/>
  <c r="BB42" i="26" a="1"/>
  <c r="BB42" i="26" s="1"/>
  <c r="BB43" i="26" a="1"/>
  <c r="BB43" i="26" s="1"/>
  <c r="BB44" i="26" a="1"/>
  <c r="BB44" i="26" s="1"/>
  <c r="BB45" i="26" a="1"/>
  <c r="BB45" i="26" s="1"/>
  <c r="BB46" i="26" a="1"/>
  <c r="BB46" i="26" s="1"/>
  <c r="BB47" i="26" a="1"/>
  <c r="BB47" i="26" s="1"/>
  <c r="BB48" i="26" a="1"/>
  <c r="BB48" i="26" s="1"/>
  <c r="BB49" i="26" a="1"/>
  <c r="BB49" i="26" s="1"/>
  <c r="AZ63" i="24"/>
  <c r="AZ62" i="24"/>
  <c r="R47" i="25" a="1"/>
  <c r="R47" i="25" s="1"/>
  <c r="P47" i="25" a="1"/>
  <c r="P47" i="25" s="1"/>
  <c r="Q47" i="25" a="1"/>
  <c r="Q47" i="25" s="1"/>
  <c r="T47" i="25" a="1"/>
  <c r="T47" i="25" s="1"/>
  <c r="S47" i="25" a="1"/>
  <c r="S47" i="25" s="1"/>
  <c r="U47" i="25" a="1"/>
  <c r="U47" i="25" s="1"/>
  <c r="O47" i="25" a="1"/>
  <c r="O47" i="25" s="1"/>
  <c r="V47" i="25" a="1"/>
  <c r="V47" i="25" s="1"/>
  <c r="W47" i="25" a="1"/>
  <c r="W47" i="25" s="1"/>
  <c r="X47" i="25" a="1"/>
  <c r="X47" i="25" s="1"/>
  <c r="Z47" i="25" a="1"/>
  <c r="Z47" i="25" s="1"/>
  <c r="AB47" i="25" a="1"/>
  <c r="AB47" i="25" s="1"/>
  <c r="Y47" i="25" a="1"/>
  <c r="Y47" i="25" s="1"/>
  <c r="AC47" i="25" a="1"/>
  <c r="AC47" i="25" s="1"/>
  <c r="AD47" i="25" a="1"/>
  <c r="AD47" i="25" s="1"/>
  <c r="AA47" i="25" a="1"/>
  <c r="AA47" i="25" s="1"/>
  <c r="AE47" i="25" a="1"/>
  <c r="AE47" i="25" s="1"/>
  <c r="AF47" i="25" a="1"/>
  <c r="AF47" i="25" s="1"/>
  <c r="AK47" i="25" a="1"/>
  <c r="AK47" i="25" s="1"/>
  <c r="AJ47" i="25" a="1"/>
  <c r="AJ47" i="25" s="1"/>
  <c r="AG47" i="25" a="1"/>
  <c r="AG47" i="25" s="1"/>
  <c r="AI47" i="25" a="1"/>
  <c r="AI47" i="25" s="1"/>
  <c r="AH47" i="25" a="1"/>
  <c r="AH47" i="25" s="1"/>
  <c r="AQ47" i="25" a="1"/>
  <c r="AQ47" i="25" s="1"/>
  <c r="AL47" i="25" a="1"/>
  <c r="AL47" i="25" s="1"/>
  <c r="AN47" i="25" a="1"/>
  <c r="AN47" i="25" s="1"/>
  <c r="AP47" i="25" a="1"/>
  <c r="AP47" i="25" s="1"/>
  <c r="AM47" i="25" a="1"/>
  <c r="AM47" i="25" s="1"/>
  <c r="AO47" i="25" a="1"/>
  <c r="AO47" i="25" s="1"/>
  <c r="AT47" i="25" a="1"/>
  <c r="AT47" i="25" s="1"/>
  <c r="AS47" i="25" a="1"/>
  <c r="AS47" i="25" s="1"/>
  <c r="AW47" i="25" a="1"/>
  <c r="AW47" i="25" s="1"/>
  <c r="AR47" i="25" a="1"/>
  <c r="AR47" i="25" s="1"/>
  <c r="AV47" i="25" a="1"/>
  <c r="AV47" i="25" s="1"/>
  <c r="AU47" i="25" a="1"/>
  <c r="AU47" i="25" s="1"/>
  <c r="AX47" i="25" a="1"/>
  <c r="AX47" i="25" s="1"/>
  <c r="BA47" i="25" a="1"/>
  <c r="BA47" i="25" s="1"/>
  <c r="BC47" i="25" a="1"/>
  <c r="BC47" i="25" s="1"/>
  <c r="AY47" i="25" a="1"/>
  <c r="AY47" i="25" s="1"/>
  <c r="AZ47" i="25" a="1"/>
  <c r="AZ47" i="25" s="1"/>
  <c r="BB47" i="25" a="1"/>
  <c r="BB47" i="25" s="1"/>
  <c r="BD47" i="25" a="1"/>
  <c r="BD47" i="25" s="1"/>
  <c r="N48" i="25" a="1"/>
  <c r="N48" i="25" s="1"/>
  <c r="AX9" i="38"/>
  <c r="AX10" i="38"/>
  <c r="AX60" i="38"/>
  <c r="AX61" i="38"/>
  <c r="AX12" i="38"/>
  <c r="AX11" i="38"/>
  <c r="AX13" i="38"/>
  <c r="AX14" i="38"/>
  <c r="AX15" i="38"/>
  <c r="AX16" i="38"/>
  <c r="AX17" i="38"/>
  <c r="AX18" i="38"/>
  <c r="AY8" i="38" a="1"/>
  <c r="AY8" i="38" s="1"/>
  <c r="AY48" i="38" s="1"/>
  <c r="AX19" i="38"/>
  <c r="AX20" i="38"/>
  <c r="AX21" i="38"/>
  <c r="AX22" i="38"/>
  <c r="AX23" i="38"/>
  <c r="AX24" i="38"/>
  <c r="AX25" i="38"/>
  <c r="AX26" i="38"/>
  <c r="AX27" i="38"/>
  <c r="AX28" i="38"/>
  <c r="AX29" i="38"/>
  <c r="AX30" i="38"/>
  <c r="AX31" i="38"/>
  <c r="AX32" i="38"/>
  <c r="AX33" i="38"/>
  <c r="AX34" i="38"/>
  <c r="AX35" i="38"/>
  <c r="AX36" i="38"/>
  <c r="AX37" i="38"/>
  <c r="AX38" i="38"/>
  <c r="AX39" i="38"/>
  <c r="AX40" i="38"/>
  <c r="AX41" i="38"/>
  <c r="AX42" i="38"/>
  <c r="AX43" i="38"/>
  <c r="AX44" i="38"/>
  <c r="AX45" i="38"/>
  <c r="AX46" i="38"/>
  <c r="BE43" i="25" l="1" a="1"/>
  <c r="BE43" i="25" s="1"/>
  <c r="BE37" i="25" a="1"/>
  <c r="BE37" i="25" s="1"/>
  <c r="BE25" i="25" a="1"/>
  <c r="BE25" i="25" s="1"/>
  <c r="BE14" i="25" a="1"/>
  <c r="BE14" i="25" s="1"/>
  <c r="BE60" i="25"/>
  <c r="BE36" i="25" a="1"/>
  <c r="BE36" i="25" s="1"/>
  <c r="BE30" i="25" a="1"/>
  <c r="BE30" i="25" s="1"/>
  <c r="BE61" i="25"/>
  <c r="BE35" i="25" a="1"/>
  <c r="BE35" i="25" s="1"/>
  <c r="BE23" i="25" a="1"/>
  <c r="BE23" i="25" s="1"/>
  <c r="BE18" i="25" a="1"/>
  <c r="BE18" i="25" s="1"/>
  <c r="BE11" i="25" a="1"/>
  <c r="BE11" i="25" s="1"/>
  <c r="BF8" i="25" a="1"/>
  <c r="BF8" i="25" s="1"/>
  <c r="BF47" i="25" s="1" a="1"/>
  <c r="BF47" i="25" s="1"/>
  <c r="BE41" i="25" a="1"/>
  <c r="BE41" i="25" s="1"/>
  <c r="BE29" i="25" a="1"/>
  <c r="BE29" i="25" s="1"/>
  <c r="BE40" i="25" a="1"/>
  <c r="BE40" i="25" s="1"/>
  <c r="BE34" i="25" a="1"/>
  <c r="BE34" i="25" s="1"/>
  <c r="BE28" i="25" a="1"/>
  <c r="BE28" i="25" s="1"/>
  <c r="BE22" i="25" a="1"/>
  <c r="BE22" i="25" s="1"/>
  <c r="BE17" i="25" a="1"/>
  <c r="BE17" i="25" s="1"/>
  <c r="BE12" i="25" a="1"/>
  <c r="BE12" i="25" s="1"/>
  <c r="BE47" i="25" a="1"/>
  <c r="BE47" i="25" s="1"/>
  <c r="BE31" i="25" a="1"/>
  <c r="BE31" i="25" s="1"/>
  <c r="BE19" i="25" a="1"/>
  <c r="BE19" i="25" s="1"/>
  <c r="BE24" i="25" a="1"/>
  <c r="BE24" i="25" s="1"/>
  <c r="BE45" i="25" a="1"/>
  <c r="BE45" i="25" s="1"/>
  <c r="BE39" i="25" a="1"/>
  <c r="BE39" i="25" s="1"/>
  <c r="BE33" i="25" a="1"/>
  <c r="BE33" i="25" s="1"/>
  <c r="BE27" i="25" a="1"/>
  <c r="BE27" i="25" s="1"/>
  <c r="BE21" i="25" a="1"/>
  <c r="BE21" i="25" s="1"/>
  <c r="BE16" i="25" a="1"/>
  <c r="BE16" i="25" s="1"/>
  <c r="BE10" i="25" a="1"/>
  <c r="BE10" i="25" s="1"/>
  <c r="BE42" i="25" a="1"/>
  <c r="BE42" i="25" s="1"/>
  <c r="BE13" i="25" a="1"/>
  <c r="BE13" i="25" s="1"/>
  <c r="BE44" i="25" a="1"/>
  <c r="BE44" i="25" s="1"/>
  <c r="BE38" i="25" a="1"/>
  <c r="BE38" i="25" s="1"/>
  <c r="BE32" i="25" a="1"/>
  <c r="BE32" i="25" s="1"/>
  <c r="BE26" i="25" a="1"/>
  <c r="BE26" i="25" s="1"/>
  <c r="BE20" i="25" a="1"/>
  <c r="BE20" i="25" s="1"/>
  <c r="BE15" i="25" a="1"/>
  <c r="BE15" i="25" s="1"/>
  <c r="BE9" i="25" a="1"/>
  <c r="BE9" i="25" s="1"/>
  <c r="AE50" i="24" a="1"/>
  <c r="AE50" i="24" s="1"/>
  <c r="AC50" i="24" a="1"/>
  <c r="AC50" i="24" s="1"/>
  <c r="BB50" i="24" a="1"/>
  <c r="BB50" i="24" s="1"/>
  <c r="AO50" i="24" a="1"/>
  <c r="AO50" i="24" s="1"/>
  <c r="AB50" i="24" a="1"/>
  <c r="AB50" i="24" s="1"/>
  <c r="AZ50" i="24" a="1"/>
  <c r="AZ50" i="24" s="1"/>
  <c r="AT50" i="24" a="1"/>
  <c r="AT50" i="24" s="1"/>
  <c r="AR50" i="24" a="1"/>
  <c r="AR50" i="24" s="1"/>
  <c r="X50" i="24" a="1"/>
  <c r="X50" i="24" s="1"/>
  <c r="AH50" i="24" a="1"/>
  <c r="AH50" i="24" s="1"/>
  <c r="AK50" i="24" a="1"/>
  <c r="AK50" i="24" s="1"/>
  <c r="O50" i="24" a="1"/>
  <c r="O50" i="24" s="1"/>
  <c r="AQ50" i="24" a="1"/>
  <c r="AQ50" i="24" s="1"/>
  <c r="AA50" i="24" a="1"/>
  <c r="AA50" i="24" s="1"/>
  <c r="AU50" i="24" a="1"/>
  <c r="AU50" i="24" s="1"/>
  <c r="T50" i="24" a="1"/>
  <c r="T50" i="24" s="1"/>
  <c r="AD50" i="24" a="1"/>
  <c r="AD50" i="24" s="1"/>
  <c r="AP50" i="24" a="1"/>
  <c r="AP50" i="24" s="1"/>
  <c r="AJ50" i="24" a="1"/>
  <c r="AJ50" i="24" s="1"/>
  <c r="P50" i="24" a="1"/>
  <c r="P50" i="24" s="1"/>
  <c r="V50" i="24" a="1"/>
  <c r="V50" i="24" s="1"/>
  <c r="Q50" i="24" a="1"/>
  <c r="Q50" i="24" s="1"/>
  <c r="M50" i="24" a="1"/>
  <c r="M50" i="24" s="1"/>
  <c r="L51" i="24" a="1"/>
  <c r="L51" i="24" s="1"/>
  <c r="T51" i="24" s="1" a="1"/>
  <c r="T51" i="24" s="1"/>
  <c r="AG50" i="24" a="1"/>
  <c r="AG50" i="24" s="1"/>
  <c r="AW50" i="24" a="1"/>
  <c r="AW50" i="24" s="1"/>
  <c r="AY50" i="24" a="1"/>
  <c r="AY50" i="24" s="1"/>
  <c r="Y50" i="24" a="1"/>
  <c r="Y50" i="24" s="1"/>
  <c r="U50" i="24" a="1"/>
  <c r="U50" i="24" s="1"/>
  <c r="R50" i="24" a="1"/>
  <c r="R50" i="24" s="1"/>
  <c r="BA50" i="24" a="1"/>
  <c r="BA50" i="24" s="1"/>
  <c r="AV50" i="24" a="1"/>
  <c r="AV50" i="24" s="1"/>
  <c r="W50" i="24" a="1"/>
  <c r="W50" i="24" s="1"/>
  <c r="AM50" i="24" a="1"/>
  <c r="AM50" i="24" s="1"/>
  <c r="AN50" i="24" a="1"/>
  <c r="AN50" i="24" s="1"/>
  <c r="S50" i="24" a="1"/>
  <c r="S50" i="24" s="1"/>
  <c r="AX50" i="24" a="1"/>
  <c r="AX50" i="24" s="1"/>
  <c r="AI50" i="24" a="1"/>
  <c r="AI50" i="24" s="1"/>
  <c r="AS50" i="24" a="1"/>
  <c r="AS50" i="24" s="1"/>
  <c r="AF50" i="24" a="1"/>
  <c r="AF50" i="24" s="1"/>
  <c r="AL50" i="24" a="1"/>
  <c r="AL50" i="24" s="1"/>
  <c r="Z50" i="24" a="1"/>
  <c r="Z50" i="24" s="1"/>
  <c r="BC9" i="26" a="1"/>
  <c r="BC9" i="26" s="1"/>
  <c r="BC61" i="26"/>
  <c r="BC10" i="26" a="1"/>
  <c r="BC10" i="26" s="1"/>
  <c r="BC60" i="26"/>
  <c r="BC12" i="26" a="1"/>
  <c r="BC12" i="26" s="1"/>
  <c r="BC11" i="26" a="1"/>
  <c r="BC11" i="26" s="1"/>
  <c r="BC13" i="26" a="1"/>
  <c r="BC13" i="26" s="1"/>
  <c r="BC15" i="26" a="1"/>
  <c r="BC15" i="26" s="1"/>
  <c r="BC14" i="26" a="1"/>
  <c r="BC14" i="26" s="1"/>
  <c r="BC16" i="26" a="1"/>
  <c r="BC16" i="26" s="1"/>
  <c r="BC17" i="26" a="1"/>
  <c r="BC17" i="26" s="1"/>
  <c r="BC19" i="26" a="1"/>
  <c r="BC19" i="26" s="1"/>
  <c r="BC18" i="26" a="1"/>
  <c r="BC18" i="26" s="1"/>
  <c r="BC20" i="26" a="1"/>
  <c r="BC20" i="26" s="1"/>
  <c r="BC22" i="26" a="1"/>
  <c r="BC22" i="26" s="1"/>
  <c r="BD8" i="26" a="1"/>
  <c r="BD8" i="26" s="1"/>
  <c r="BD52" i="26" s="1" a="1"/>
  <c r="BD52" i="26" s="1"/>
  <c r="BC21" i="26" a="1"/>
  <c r="BC21" i="26" s="1"/>
  <c r="BC23" i="26" a="1"/>
  <c r="BC23" i="26" s="1"/>
  <c r="BC24" i="26" a="1"/>
  <c r="BC24" i="26" s="1"/>
  <c r="BC25" i="26" a="1"/>
  <c r="BC25" i="26" s="1"/>
  <c r="BC26" i="26" a="1"/>
  <c r="BC26" i="26" s="1"/>
  <c r="BC27" i="26" a="1"/>
  <c r="BC27" i="26" s="1"/>
  <c r="BC28" i="26" a="1"/>
  <c r="BC28" i="26" s="1"/>
  <c r="BC29" i="26" a="1"/>
  <c r="BC29" i="26" s="1"/>
  <c r="BC30" i="26" a="1"/>
  <c r="BC30" i="26" s="1"/>
  <c r="BC31" i="26" a="1"/>
  <c r="BC31" i="26" s="1"/>
  <c r="BC32" i="26" a="1"/>
  <c r="BC32" i="26" s="1"/>
  <c r="BC33" i="26" a="1"/>
  <c r="BC33" i="26" s="1"/>
  <c r="BC34" i="26" a="1"/>
  <c r="BC34" i="26" s="1"/>
  <c r="BC35" i="26" a="1"/>
  <c r="BC35" i="26" s="1"/>
  <c r="BC36" i="26" a="1"/>
  <c r="BC36" i="26" s="1"/>
  <c r="BC37" i="26" a="1"/>
  <c r="BC37" i="26" s="1"/>
  <c r="BC38" i="26" a="1"/>
  <c r="BC38" i="26" s="1"/>
  <c r="BC39" i="26" a="1"/>
  <c r="BC39" i="26" s="1"/>
  <c r="BC40" i="26" a="1"/>
  <c r="BC40" i="26" s="1"/>
  <c r="BC41" i="26" a="1"/>
  <c r="BC41" i="26" s="1"/>
  <c r="BC42" i="26" a="1"/>
  <c r="BC42" i="26" s="1"/>
  <c r="BC43" i="26" a="1"/>
  <c r="BC43" i="26" s="1"/>
  <c r="BC44" i="26" a="1"/>
  <c r="BC44" i="26" s="1"/>
  <c r="BC45" i="26" a="1"/>
  <c r="BC45" i="26" s="1"/>
  <c r="BC46" i="26" a="1"/>
  <c r="BC46" i="26" s="1"/>
  <c r="BC47" i="26" a="1"/>
  <c r="BC47" i="26" s="1"/>
  <c r="BC48" i="26" a="1"/>
  <c r="BC48" i="26" s="1"/>
  <c r="BC49" i="26" a="1"/>
  <c r="BC49" i="26" s="1"/>
  <c r="BC50" i="26" a="1"/>
  <c r="BC50" i="26" s="1"/>
  <c r="BC51" i="26" a="1"/>
  <c r="BC51" i="26" s="1"/>
  <c r="O52" i="26" a="1"/>
  <c r="O52" i="26" s="1"/>
  <c r="AF52" i="26" a="1"/>
  <c r="AF52" i="26" s="1"/>
  <c r="AP52" i="26" a="1"/>
  <c r="AP52" i="26" s="1"/>
  <c r="Q52" i="26" a="1"/>
  <c r="Q52" i="26" s="1"/>
  <c r="BA52" i="26" a="1"/>
  <c r="BA52" i="26" s="1"/>
  <c r="AG52" i="26" a="1"/>
  <c r="AG52" i="26" s="1"/>
  <c r="AA52" i="26" a="1"/>
  <c r="AA52" i="26" s="1"/>
  <c r="Z52" i="26" a="1"/>
  <c r="Z52" i="26" s="1"/>
  <c r="AX52" i="26" a="1"/>
  <c r="AX52" i="26" s="1"/>
  <c r="AJ52" i="26" a="1"/>
  <c r="AJ52" i="26" s="1"/>
  <c r="BB52" i="26" a="1"/>
  <c r="BB52" i="26" s="1"/>
  <c r="AO52" i="26" a="1"/>
  <c r="AO52" i="26" s="1"/>
  <c r="W52" i="26" a="1"/>
  <c r="W52" i="26" s="1"/>
  <c r="AW52" i="26" a="1"/>
  <c r="AW52" i="26" s="1"/>
  <c r="AH52" i="26" a="1"/>
  <c r="AH52" i="26" s="1"/>
  <c r="U52" i="26" a="1"/>
  <c r="U52" i="26" s="1"/>
  <c r="T52" i="26" a="1"/>
  <c r="T52" i="26" s="1"/>
  <c r="AQ52" i="26" a="1"/>
  <c r="AQ52" i="26" s="1"/>
  <c r="M52" i="26" a="1"/>
  <c r="M52" i="26" s="1"/>
  <c r="AU52" i="26" a="1"/>
  <c r="AU52" i="26" s="1"/>
  <c r="Y52" i="26" a="1"/>
  <c r="Y52" i="26" s="1"/>
  <c r="P52" i="26" a="1"/>
  <c r="P52" i="26" s="1"/>
  <c r="AI52" i="26" a="1"/>
  <c r="AI52" i="26" s="1"/>
  <c r="AB52" i="26" a="1"/>
  <c r="AB52" i="26" s="1"/>
  <c r="N52" i="26" a="1"/>
  <c r="N52" i="26" s="1"/>
  <c r="AR52" i="26" a="1"/>
  <c r="AR52" i="26" s="1"/>
  <c r="AK52" i="26" a="1"/>
  <c r="AK52" i="26" s="1"/>
  <c r="AL52" i="26" a="1"/>
  <c r="AL52" i="26" s="1"/>
  <c r="R52" i="26" a="1"/>
  <c r="R52" i="26" s="1"/>
  <c r="AC52" i="26" a="1"/>
  <c r="AC52" i="26" s="1"/>
  <c r="AZ52" i="26" a="1"/>
  <c r="AZ52" i="26" s="1"/>
  <c r="AY52" i="26" a="1"/>
  <c r="AY52" i="26" s="1"/>
  <c r="BC52" i="26" a="1"/>
  <c r="BC52" i="26" s="1"/>
  <c r="AD52" i="26" a="1"/>
  <c r="AD52" i="26" s="1"/>
  <c r="AS52" i="26" a="1"/>
  <c r="AS52" i="26" s="1"/>
  <c r="AE52" i="26" a="1"/>
  <c r="AE52" i="26" s="1"/>
  <c r="V52" i="26" a="1"/>
  <c r="V52" i="26" s="1"/>
  <c r="AT52" i="26" a="1"/>
  <c r="AT52" i="26" s="1"/>
  <c r="S52" i="26" a="1"/>
  <c r="S52" i="26" s="1"/>
  <c r="AV52" i="26" a="1"/>
  <c r="AV52" i="26" s="1"/>
  <c r="X52" i="26" a="1"/>
  <c r="X52" i="26" s="1"/>
  <c r="AN52" i="26" a="1"/>
  <c r="AN52" i="26" s="1"/>
  <c r="AM52" i="26" a="1"/>
  <c r="AM52" i="26" s="1"/>
  <c r="L53" i="26" a="1"/>
  <c r="L53" i="26" s="1"/>
  <c r="O48" i="25" a="1"/>
  <c r="O48" i="25" s="1"/>
  <c r="P48" i="25" a="1"/>
  <c r="P48" i="25" s="1"/>
  <c r="Q48" i="25" a="1"/>
  <c r="Q48" i="25" s="1"/>
  <c r="S48" i="25" a="1"/>
  <c r="S48" i="25" s="1"/>
  <c r="U48" i="25" a="1"/>
  <c r="U48" i="25" s="1"/>
  <c r="R48" i="25" a="1"/>
  <c r="R48" i="25" s="1"/>
  <c r="T48" i="25" a="1"/>
  <c r="T48" i="25" s="1"/>
  <c r="X48" i="25" a="1"/>
  <c r="X48" i="25" s="1"/>
  <c r="V48" i="25" a="1"/>
  <c r="V48" i="25" s="1"/>
  <c r="Z48" i="25" a="1"/>
  <c r="Z48" i="25" s="1"/>
  <c r="AA48" i="25" a="1"/>
  <c r="AA48" i="25" s="1"/>
  <c r="AB48" i="25" a="1"/>
  <c r="AB48" i="25" s="1"/>
  <c r="Y48" i="25" a="1"/>
  <c r="Y48" i="25" s="1"/>
  <c r="W48" i="25" a="1"/>
  <c r="W48" i="25" s="1"/>
  <c r="AC48" i="25" a="1"/>
  <c r="AC48" i="25" s="1"/>
  <c r="AD48" i="25" a="1"/>
  <c r="AD48" i="25" s="1"/>
  <c r="AE48" i="25" a="1"/>
  <c r="AE48" i="25" s="1"/>
  <c r="AF48" i="25" a="1"/>
  <c r="AF48" i="25" s="1"/>
  <c r="AH48" i="25" a="1"/>
  <c r="AH48" i="25" s="1"/>
  <c r="AK48" i="25" a="1"/>
  <c r="AK48" i="25" s="1"/>
  <c r="AG48" i="25" a="1"/>
  <c r="AG48" i="25" s="1"/>
  <c r="AI48" i="25" a="1"/>
  <c r="AI48" i="25" s="1"/>
  <c r="AM48" i="25" a="1"/>
  <c r="AM48" i="25" s="1"/>
  <c r="AJ48" i="25" a="1"/>
  <c r="AJ48" i="25" s="1"/>
  <c r="AN48" i="25" a="1"/>
  <c r="AN48" i="25" s="1"/>
  <c r="AO48" i="25" a="1"/>
  <c r="AO48" i="25" s="1"/>
  <c r="AL48" i="25" a="1"/>
  <c r="AL48" i="25" s="1"/>
  <c r="AS48" i="25" a="1"/>
  <c r="AS48" i="25" s="1"/>
  <c r="AV48" i="25" a="1"/>
  <c r="AV48" i="25" s="1"/>
  <c r="AR48" i="25" a="1"/>
  <c r="AR48" i="25" s="1"/>
  <c r="AQ48" i="25" a="1"/>
  <c r="AQ48" i="25" s="1"/>
  <c r="AT48" i="25" a="1"/>
  <c r="AT48" i="25" s="1"/>
  <c r="AP48" i="25" a="1"/>
  <c r="AP48" i="25" s="1"/>
  <c r="AU48" i="25" a="1"/>
  <c r="AU48" i="25" s="1"/>
  <c r="AX48" i="25" a="1"/>
  <c r="AX48" i="25" s="1"/>
  <c r="AW48" i="25" a="1"/>
  <c r="AW48" i="25" s="1"/>
  <c r="AY48" i="25" a="1"/>
  <c r="AY48" i="25" s="1"/>
  <c r="BA48" i="25" a="1"/>
  <c r="BA48" i="25" s="1"/>
  <c r="BD48" i="25" a="1"/>
  <c r="BD48" i="25" s="1"/>
  <c r="BE48" i="25" a="1"/>
  <c r="BE48" i="25" s="1"/>
  <c r="AZ48" i="25" a="1"/>
  <c r="AZ48" i="25" s="1"/>
  <c r="BC48" i="25" a="1"/>
  <c r="BC48" i="25" s="1"/>
  <c r="BB48" i="25" a="1"/>
  <c r="BB48" i="25" s="1"/>
  <c r="N49" i="25" a="1"/>
  <c r="N49" i="25" s="1"/>
  <c r="C37" i="39"/>
  <c r="A37" i="39" s="1"/>
  <c r="F387" i="22"/>
  <c r="AY10" i="38"/>
  <c r="AY9" i="38"/>
  <c r="AY60" i="38"/>
  <c r="AY61" i="38"/>
  <c r="AY12" i="38"/>
  <c r="AY11" i="38"/>
  <c r="AY13" i="38"/>
  <c r="AY14" i="38"/>
  <c r="AY15" i="38"/>
  <c r="AY16" i="38"/>
  <c r="AY17" i="38"/>
  <c r="AZ8" i="38" a="1"/>
  <c r="AZ8" i="38" s="1"/>
  <c r="AZ49" i="38" s="1"/>
  <c r="AY18" i="38"/>
  <c r="AY19" i="38"/>
  <c r="AY20" i="38"/>
  <c r="AY21" i="38"/>
  <c r="AY22" i="38"/>
  <c r="AY23" i="38"/>
  <c r="AY24" i="38"/>
  <c r="AY25" i="38"/>
  <c r="AY26" i="38"/>
  <c r="AY27" i="38"/>
  <c r="AY28" i="38"/>
  <c r="AY29" i="38"/>
  <c r="AY30" i="38"/>
  <c r="AY31" i="38"/>
  <c r="AY32" i="38"/>
  <c r="AY33" i="38"/>
  <c r="AY34" i="38"/>
  <c r="AY35" i="38"/>
  <c r="AY36" i="38"/>
  <c r="AY37" i="38"/>
  <c r="AY38" i="38"/>
  <c r="AY39" i="38"/>
  <c r="AY40" i="38"/>
  <c r="AY41" i="38"/>
  <c r="AY42" i="38"/>
  <c r="AY43" i="38"/>
  <c r="AY44" i="38"/>
  <c r="AY45" i="38"/>
  <c r="AY46" i="38"/>
  <c r="AY47" i="38"/>
  <c r="BB61" i="24"/>
  <c r="BB60" i="24"/>
  <c r="BB9" i="24" a="1"/>
  <c r="BB9" i="24" s="1"/>
  <c r="BB10" i="24" a="1"/>
  <c r="BB10" i="24" s="1"/>
  <c r="BB11" i="24" a="1"/>
  <c r="BB11" i="24" s="1"/>
  <c r="BB13" i="24" a="1"/>
  <c r="BB13" i="24" s="1"/>
  <c r="BB12" i="24" a="1"/>
  <c r="BB12" i="24" s="1"/>
  <c r="BB14" i="24" a="1"/>
  <c r="BB14" i="24" s="1"/>
  <c r="BB15" i="24" a="1"/>
  <c r="BB15" i="24" s="1"/>
  <c r="BB16" i="24" a="1"/>
  <c r="BB16" i="24" s="1"/>
  <c r="BB17" i="24" a="1"/>
  <c r="BB17" i="24" s="1"/>
  <c r="BB19" i="24" a="1"/>
  <c r="BB19" i="24" s="1"/>
  <c r="BB18" i="24" a="1"/>
  <c r="BB18" i="24" s="1"/>
  <c r="BC8" i="24" a="1"/>
  <c r="BC8" i="24" s="1"/>
  <c r="BB21" i="24" a="1"/>
  <c r="BB21" i="24" s="1"/>
  <c r="BB20" i="24" a="1"/>
  <c r="BB20" i="24" s="1"/>
  <c r="BB22" i="24" a="1"/>
  <c r="BB22" i="24" s="1"/>
  <c r="BB23" i="24" a="1"/>
  <c r="BB23" i="24" s="1"/>
  <c r="BB24" i="24" a="1"/>
  <c r="BB24" i="24" s="1"/>
  <c r="BB25" i="24" a="1"/>
  <c r="BB25" i="24" s="1"/>
  <c r="BB26" i="24" a="1"/>
  <c r="BB26" i="24" s="1"/>
  <c r="BB27" i="24" a="1"/>
  <c r="BB27" i="24" s="1"/>
  <c r="BB28" i="24" a="1"/>
  <c r="BB28" i="24" s="1"/>
  <c r="BB29" i="24" a="1"/>
  <c r="BB29" i="24" s="1"/>
  <c r="BB30" i="24" a="1"/>
  <c r="BB30" i="24" s="1"/>
  <c r="BB31" i="24" a="1"/>
  <c r="BB31" i="24" s="1"/>
  <c r="BB32" i="24" a="1"/>
  <c r="BB32" i="24" s="1"/>
  <c r="BB33" i="24" a="1"/>
  <c r="BB33" i="24" s="1"/>
  <c r="BB34" i="24" a="1"/>
  <c r="BB34" i="24" s="1"/>
  <c r="BB35" i="24" a="1"/>
  <c r="BB35" i="24" s="1"/>
  <c r="BB36" i="24" a="1"/>
  <c r="BB36" i="24" s="1"/>
  <c r="BB37" i="24" a="1"/>
  <c r="BB37" i="24" s="1"/>
  <c r="BB38" i="24" a="1"/>
  <c r="BB38" i="24" s="1"/>
  <c r="BB39" i="24" a="1"/>
  <c r="BB39" i="24" s="1"/>
  <c r="BB40" i="24" a="1"/>
  <c r="BB40" i="24" s="1"/>
  <c r="BB41" i="24" a="1"/>
  <c r="BB41" i="24" s="1"/>
  <c r="BB42" i="24" a="1"/>
  <c r="BB42" i="24" s="1"/>
  <c r="BB43" i="24" a="1"/>
  <c r="BB43" i="24" s="1"/>
  <c r="BB44" i="24" a="1"/>
  <c r="BB44" i="24" s="1"/>
  <c r="BB45" i="24" a="1"/>
  <c r="BB45" i="24" s="1"/>
  <c r="BB46" i="24" a="1"/>
  <c r="BB46" i="24" s="1"/>
  <c r="BB47" i="24" a="1"/>
  <c r="BB47" i="24" s="1"/>
  <c r="BB48" i="24" a="1"/>
  <c r="BB48" i="24" s="1"/>
  <c r="BB49" i="24" a="1"/>
  <c r="BB49" i="24" s="1"/>
  <c r="BA63" i="24"/>
  <c r="BA62" i="24"/>
  <c r="Y49" i="38"/>
  <c r="M49" i="38"/>
  <c r="X49" i="38"/>
  <c r="AD49" i="38"/>
  <c r="AS49" i="38"/>
  <c r="P49" i="38"/>
  <c r="Q49" i="38"/>
  <c r="AI49" i="38"/>
  <c r="AU49" i="38"/>
  <c r="AA49" i="38"/>
  <c r="AJ49" i="38"/>
  <c r="AM49" i="38"/>
  <c r="S49" i="38"/>
  <c r="R49" i="38"/>
  <c r="AE49" i="38"/>
  <c r="AV49" i="38"/>
  <c r="AH49" i="38"/>
  <c r="W49" i="38"/>
  <c r="AF49" i="38"/>
  <c r="N49" i="38"/>
  <c r="O49" i="38"/>
  <c r="AR49" i="38"/>
  <c r="AX49" i="38"/>
  <c r="Z49" i="38"/>
  <c r="L49" i="38"/>
  <c r="AK49" i="38"/>
  <c r="AP49" i="38"/>
  <c r="AB49" i="38"/>
  <c r="AC49" i="38"/>
  <c r="AN49" i="38"/>
  <c r="AT49" i="38"/>
  <c r="AW49" i="38"/>
  <c r="U49" i="38"/>
  <c r="V49" i="38"/>
  <c r="AO49" i="38"/>
  <c r="AY49" i="38"/>
  <c r="AL49" i="38"/>
  <c r="AG49" i="38"/>
  <c r="AQ49" i="38"/>
  <c r="T49" i="38"/>
  <c r="K50" i="38" a="1"/>
  <c r="K50" i="38" s="1"/>
  <c r="BF21" i="25" l="1" a="1"/>
  <c r="BF21" i="25" s="1"/>
  <c r="BF34" i="25" a="1"/>
  <c r="BF34" i="25" s="1"/>
  <c r="BF18" i="25" a="1"/>
  <c r="BF18" i="25" s="1"/>
  <c r="BF33" i="25" a="1"/>
  <c r="BF33" i="25" s="1"/>
  <c r="BF16" i="25" a="1"/>
  <c r="BF16" i="25" s="1"/>
  <c r="BF22" i="25" a="1"/>
  <c r="BF22" i="25" s="1"/>
  <c r="BF39" i="25" a="1"/>
  <c r="BF39" i="25" s="1"/>
  <c r="BF46" i="25" a="1"/>
  <c r="BF46" i="25" s="1"/>
  <c r="BF28" i="25" a="1"/>
  <c r="BF28" i="25" s="1"/>
  <c r="BF11" i="25" a="1"/>
  <c r="BF11" i="25" s="1"/>
  <c r="BF40" i="25" a="1"/>
  <c r="BF40" i="25" s="1"/>
  <c r="BF45" i="25" a="1"/>
  <c r="BF45" i="25" s="1"/>
  <c r="BF27" i="25" a="1"/>
  <c r="BF27" i="25" s="1"/>
  <c r="BF10" i="25" a="1"/>
  <c r="BF10" i="25" s="1"/>
  <c r="BF44" i="25" a="1"/>
  <c r="BF44" i="25" s="1"/>
  <c r="BF38" i="25" a="1"/>
  <c r="BF38" i="25" s="1"/>
  <c r="BF32" i="25" a="1"/>
  <c r="BF32" i="25" s="1"/>
  <c r="BF26" i="25" a="1"/>
  <c r="BF26" i="25" s="1"/>
  <c r="BF20" i="25" a="1"/>
  <c r="BF20" i="25" s="1"/>
  <c r="BF15" i="25" a="1"/>
  <c r="BF15" i="25" s="1"/>
  <c r="BF61" i="25"/>
  <c r="BF43" i="25" a="1"/>
  <c r="BF43" i="25" s="1"/>
  <c r="BF37" i="25" a="1"/>
  <c r="BF37" i="25" s="1"/>
  <c r="BF31" i="25" a="1"/>
  <c r="BF31" i="25" s="1"/>
  <c r="BF25" i="25" a="1"/>
  <c r="BF25" i="25" s="1"/>
  <c r="BF19" i="25" a="1"/>
  <c r="BF19" i="25" s="1"/>
  <c r="BF14" i="25" a="1"/>
  <c r="BF14" i="25" s="1"/>
  <c r="BF9" i="25" a="1"/>
  <c r="BF9" i="25" s="1"/>
  <c r="BF48" i="25" a="1"/>
  <c r="BF48" i="25" s="1"/>
  <c r="BG8" i="25" a="1"/>
  <c r="BG8" i="25" s="1"/>
  <c r="BG48" i="25" s="1" a="1"/>
  <c r="BG48" i="25" s="1"/>
  <c r="BF13" i="25" a="1"/>
  <c r="BF13" i="25" s="1"/>
  <c r="BF60" i="25"/>
  <c r="BF42" i="25" a="1"/>
  <c r="BF42" i="25" s="1"/>
  <c r="BF36" i="25" a="1"/>
  <c r="BF36" i="25" s="1"/>
  <c r="BF30" i="25" a="1"/>
  <c r="BF30" i="25" s="1"/>
  <c r="BF24" i="25" a="1"/>
  <c r="BF24" i="25" s="1"/>
  <c r="BF41" i="25" a="1"/>
  <c r="BF41" i="25" s="1"/>
  <c r="BF35" i="25" a="1"/>
  <c r="BF35" i="25" s="1"/>
  <c r="BF29" i="25" a="1"/>
  <c r="BF29" i="25" s="1"/>
  <c r="BF23" i="25" a="1"/>
  <c r="BF23" i="25" s="1"/>
  <c r="BF17" i="25" a="1"/>
  <c r="BF17" i="25" s="1"/>
  <c r="BF12" i="25" a="1"/>
  <c r="BF12" i="25" s="1"/>
  <c r="L52" i="24" a="1"/>
  <c r="L52" i="24" s="1"/>
  <c r="O52" i="24" s="1" a="1"/>
  <c r="O52" i="24" s="1"/>
  <c r="AX51" i="24" a="1"/>
  <c r="AX51" i="24" s="1"/>
  <c r="AK51" i="24" a="1"/>
  <c r="AK51" i="24" s="1"/>
  <c r="AO51" i="24" a="1"/>
  <c r="AO51" i="24" s="1"/>
  <c r="AC51" i="24" a="1"/>
  <c r="AC51" i="24" s="1"/>
  <c r="U51" i="24" a="1"/>
  <c r="U51" i="24" s="1"/>
  <c r="R51" i="24" a="1"/>
  <c r="R51" i="24" s="1"/>
  <c r="M51" i="24" a="1"/>
  <c r="M51" i="24" s="1"/>
  <c r="AW51" i="24" a="1"/>
  <c r="AW51" i="24" s="1"/>
  <c r="S51" i="24" a="1"/>
  <c r="S51" i="24" s="1"/>
  <c r="AU51" i="24" a="1"/>
  <c r="AU51" i="24" s="1"/>
  <c r="AP51" i="24" a="1"/>
  <c r="AP51" i="24" s="1"/>
  <c r="BB51" i="24" a="1"/>
  <c r="BB51" i="24" s="1"/>
  <c r="AT51" i="24" a="1"/>
  <c r="AT51" i="24" s="1"/>
  <c r="V51" i="24" a="1"/>
  <c r="V51" i="24" s="1"/>
  <c r="AB51" i="24" a="1"/>
  <c r="AB51" i="24" s="1"/>
  <c r="O51" i="24" a="1"/>
  <c r="O51" i="24" s="1"/>
  <c r="BA51" i="24" a="1"/>
  <c r="BA51" i="24" s="1"/>
  <c r="AV51" i="24" a="1"/>
  <c r="AV51" i="24" s="1"/>
  <c r="AS51" i="24" a="1"/>
  <c r="AS51" i="24" s="1"/>
  <c r="AH51" i="24" a="1"/>
  <c r="AH51" i="24" s="1"/>
  <c r="P51" i="24" a="1"/>
  <c r="P51" i="24" s="1"/>
  <c r="Y51" i="24" a="1"/>
  <c r="Y51" i="24" s="1"/>
  <c r="N51" i="24" a="1"/>
  <c r="N51" i="24" s="1"/>
  <c r="AM51" i="24" a="1"/>
  <c r="AM51" i="24" s="1"/>
  <c r="AE51" i="24" a="1"/>
  <c r="AE51" i="24" s="1"/>
  <c r="W51" i="24" a="1"/>
  <c r="W51" i="24" s="1"/>
  <c r="AY51" i="24" a="1"/>
  <c r="AY51" i="24" s="1"/>
  <c r="AI51" i="24" a="1"/>
  <c r="AI51" i="24" s="1"/>
  <c r="AQ51" i="24" a="1"/>
  <c r="AQ51" i="24" s="1"/>
  <c r="AF51" i="24" a="1"/>
  <c r="AF51" i="24" s="1"/>
  <c r="AG51" i="24" a="1"/>
  <c r="AG51" i="24" s="1"/>
  <c r="AD51" i="24" a="1"/>
  <c r="AD51" i="24" s="1"/>
  <c r="Q51" i="24" a="1"/>
  <c r="Q51" i="24" s="1"/>
  <c r="AL51" i="24" a="1"/>
  <c r="AL51" i="24" s="1"/>
  <c r="AA51" i="24" a="1"/>
  <c r="AA51" i="24" s="1"/>
  <c r="AR51" i="24" a="1"/>
  <c r="AR51" i="24" s="1"/>
  <c r="AN51" i="24" a="1"/>
  <c r="AN51" i="24" s="1"/>
  <c r="AZ51" i="24" a="1"/>
  <c r="AZ51" i="24" s="1"/>
  <c r="AJ51" i="24" a="1"/>
  <c r="AJ51" i="24" s="1"/>
  <c r="X51" i="24" a="1"/>
  <c r="X51" i="24" s="1"/>
  <c r="Z51" i="24" a="1"/>
  <c r="Z51" i="24" s="1"/>
  <c r="AZ61" i="38"/>
  <c r="AZ9" i="38"/>
  <c r="AZ10" i="38"/>
  <c r="AZ60" i="38"/>
  <c r="AZ11" i="38"/>
  <c r="AZ12" i="38"/>
  <c r="AZ13" i="38"/>
  <c r="AZ14" i="38"/>
  <c r="AZ15" i="38"/>
  <c r="AZ16" i="38"/>
  <c r="AZ17" i="38"/>
  <c r="AZ18" i="38"/>
  <c r="BA8" i="38" a="1"/>
  <c r="BA8" i="38" s="1"/>
  <c r="BA50" i="38" s="1"/>
  <c r="AZ19" i="38"/>
  <c r="AZ20" i="38"/>
  <c r="AZ21" i="38"/>
  <c r="AZ22" i="38"/>
  <c r="AZ23" i="38"/>
  <c r="AZ24" i="38"/>
  <c r="AZ25" i="38"/>
  <c r="AZ26" i="38"/>
  <c r="AZ27" i="38"/>
  <c r="AZ28" i="38"/>
  <c r="AZ29" i="38"/>
  <c r="AZ30" i="38"/>
  <c r="AZ31" i="38"/>
  <c r="AZ32" i="38"/>
  <c r="AZ33" i="38"/>
  <c r="AZ34" i="38"/>
  <c r="AZ35" i="38"/>
  <c r="AZ36" i="38"/>
  <c r="AZ37" i="38"/>
  <c r="AZ38" i="38"/>
  <c r="AZ39" i="38"/>
  <c r="AZ40" i="38"/>
  <c r="AZ41" i="38"/>
  <c r="AZ42" i="38"/>
  <c r="AZ43" i="38"/>
  <c r="AZ44" i="38"/>
  <c r="AZ45" i="38"/>
  <c r="AZ46" i="38"/>
  <c r="AZ47" i="38"/>
  <c r="AZ48" i="38"/>
  <c r="BC9" i="24" a="1"/>
  <c r="BC9" i="24" s="1"/>
  <c r="BC61" i="24"/>
  <c r="BC60" i="24"/>
  <c r="BC10" i="24" a="1"/>
  <c r="BC10" i="24" s="1"/>
  <c r="BC11" i="24" a="1"/>
  <c r="BC11" i="24" s="1"/>
  <c r="BC12" i="24" a="1"/>
  <c r="BC12" i="24" s="1"/>
  <c r="BC13" i="24" a="1"/>
  <c r="BC13" i="24" s="1"/>
  <c r="BC14" i="24" a="1"/>
  <c r="BC14" i="24" s="1"/>
  <c r="BC16" i="24" a="1"/>
  <c r="BC16" i="24" s="1"/>
  <c r="BC17" i="24" a="1"/>
  <c r="BC17" i="24" s="1"/>
  <c r="BC15" i="24" a="1"/>
  <c r="BC15" i="24" s="1"/>
  <c r="BC18" i="24" a="1"/>
  <c r="BC18" i="24" s="1"/>
  <c r="BC19" i="24" a="1"/>
  <c r="BC19" i="24" s="1"/>
  <c r="BD8" i="24" a="1"/>
  <c r="BD8" i="24" s="1"/>
  <c r="BC21" i="24" a="1"/>
  <c r="BC21" i="24" s="1"/>
  <c r="BC20" i="24" a="1"/>
  <c r="BC20" i="24" s="1"/>
  <c r="BC22" i="24" a="1"/>
  <c r="BC22" i="24" s="1"/>
  <c r="BC23" i="24" a="1"/>
  <c r="BC23" i="24" s="1"/>
  <c r="BC24" i="24" a="1"/>
  <c r="BC24" i="24" s="1"/>
  <c r="BC25" i="24" a="1"/>
  <c r="BC25" i="24" s="1"/>
  <c r="BC26" i="24" a="1"/>
  <c r="BC26" i="24" s="1"/>
  <c r="BC27" i="24" a="1"/>
  <c r="BC27" i="24" s="1"/>
  <c r="BC28" i="24" a="1"/>
  <c r="BC28" i="24" s="1"/>
  <c r="BC29" i="24" a="1"/>
  <c r="BC29" i="24" s="1"/>
  <c r="BC30" i="24" a="1"/>
  <c r="BC30" i="24" s="1"/>
  <c r="BC31" i="24" a="1"/>
  <c r="BC31" i="24" s="1"/>
  <c r="BC32" i="24" a="1"/>
  <c r="BC32" i="24" s="1"/>
  <c r="BC33" i="24" a="1"/>
  <c r="BC33" i="24" s="1"/>
  <c r="BC34" i="24" a="1"/>
  <c r="BC34" i="24" s="1"/>
  <c r="BC35" i="24" a="1"/>
  <c r="BC35" i="24" s="1"/>
  <c r="BC36" i="24" a="1"/>
  <c r="BC36" i="24" s="1"/>
  <c r="BC37" i="24" a="1"/>
  <c r="BC37" i="24" s="1"/>
  <c r="BC38" i="24" a="1"/>
  <c r="BC38" i="24" s="1"/>
  <c r="BC39" i="24" a="1"/>
  <c r="BC39" i="24" s="1"/>
  <c r="BC40" i="24" a="1"/>
  <c r="BC40" i="24" s="1"/>
  <c r="BC41" i="24" a="1"/>
  <c r="BC41" i="24" s="1"/>
  <c r="BC42" i="24" a="1"/>
  <c r="BC42" i="24" s="1"/>
  <c r="BC43" i="24" a="1"/>
  <c r="BC43" i="24" s="1"/>
  <c r="BC44" i="24" a="1"/>
  <c r="BC44" i="24" s="1"/>
  <c r="BC45" i="24" a="1"/>
  <c r="BC45" i="24" s="1"/>
  <c r="BC46" i="24" a="1"/>
  <c r="BC46" i="24" s="1"/>
  <c r="BC47" i="24" a="1"/>
  <c r="BC47" i="24" s="1"/>
  <c r="BC48" i="24" a="1"/>
  <c r="BC48" i="24" s="1"/>
  <c r="BC49" i="24" a="1"/>
  <c r="BC49" i="24" s="1"/>
  <c r="BC50" i="24" a="1"/>
  <c r="BC50" i="24" s="1"/>
  <c r="BB62" i="24"/>
  <c r="BB63" i="24"/>
  <c r="AS50" i="38"/>
  <c r="AG50" i="38"/>
  <c r="AV50" i="38"/>
  <c r="R50" i="38"/>
  <c r="AW50" i="38"/>
  <c r="L50" i="38"/>
  <c r="AZ50" i="38"/>
  <c r="AO50" i="38"/>
  <c r="AD50" i="38"/>
  <c r="AH50" i="38"/>
  <c r="Y50" i="38"/>
  <c r="AT50" i="38"/>
  <c r="P50" i="38"/>
  <c r="AK50" i="38"/>
  <c r="Q50" i="38"/>
  <c r="Z50" i="38"/>
  <c r="AX50" i="38"/>
  <c r="AC50" i="38"/>
  <c r="AP50" i="38"/>
  <c r="AF50" i="38"/>
  <c r="U50" i="38"/>
  <c r="AU50" i="38"/>
  <c r="X50" i="38"/>
  <c r="N50" i="38"/>
  <c r="AY50" i="38"/>
  <c r="AE50" i="38"/>
  <c r="V50" i="38"/>
  <c r="AQ50" i="38"/>
  <c r="W50" i="38"/>
  <c r="AL50" i="38"/>
  <c r="AI50" i="38"/>
  <c r="O50" i="38"/>
  <c r="T50" i="38"/>
  <c r="AA50" i="38"/>
  <c r="AR50" i="38"/>
  <c r="M50" i="38"/>
  <c r="S50" i="38"/>
  <c r="AM50" i="38"/>
  <c r="AB50" i="38"/>
  <c r="AN50" i="38"/>
  <c r="AJ50" i="38"/>
  <c r="K51" i="38" a="1"/>
  <c r="K51" i="38" s="1"/>
  <c r="R53" i="26" a="1"/>
  <c r="R53" i="26" s="1"/>
  <c r="AR53" i="26" a="1"/>
  <c r="AR53" i="26" s="1"/>
  <c r="AO53" i="26" a="1"/>
  <c r="AO53" i="26" s="1"/>
  <c r="AA53" i="26" a="1"/>
  <c r="AA53" i="26" s="1"/>
  <c r="AY53" i="26" a="1"/>
  <c r="AY53" i="26" s="1"/>
  <c r="AQ53" i="26" a="1"/>
  <c r="AQ53" i="26" s="1"/>
  <c r="N53" i="26" a="1"/>
  <c r="N53" i="26" s="1"/>
  <c r="AZ53" i="26" a="1"/>
  <c r="AZ53" i="26" s="1"/>
  <c r="AK53" i="26" a="1"/>
  <c r="AK53" i="26" s="1"/>
  <c r="AI53" i="26" a="1"/>
  <c r="AI53" i="26" s="1"/>
  <c r="S53" i="26" a="1"/>
  <c r="S53" i="26" s="1"/>
  <c r="AL53" i="26" a="1"/>
  <c r="AL53" i="26" s="1"/>
  <c r="AC53" i="26" a="1"/>
  <c r="AC53" i="26" s="1"/>
  <c r="BC53" i="26" a="1"/>
  <c r="BC53" i="26" s="1"/>
  <c r="AS53" i="26" a="1"/>
  <c r="AS53" i="26" s="1"/>
  <c r="AD53" i="26" a="1"/>
  <c r="AD53" i="26" s="1"/>
  <c r="AB53" i="26" a="1"/>
  <c r="AB53" i="26" s="1"/>
  <c r="AV53" i="26" a="1"/>
  <c r="AV53" i="26" s="1"/>
  <c r="AE53" i="26" a="1"/>
  <c r="AE53" i="26" s="1"/>
  <c r="V53" i="26" a="1"/>
  <c r="V53" i="26" s="1"/>
  <c r="T53" i="26" a="1"/>
  <c r="T53" i="26" s="1"/>
  <c r="AN53" i="26" a="1"/>
  <c r="AN53" i="26" s="1"/>
  <c r="X53" i="26" a="1"/>
  <c r="X53" i="26" s="1"/>
  <c r="P53" i="26" a="1"/>
  <c r="P53" i="26" s="1"/>
  <c r="AP53" i="26" a="1"/>
  <c r="AP53" i="26" s="1"/>
  <c r="BA53" i="26" a="1"/>
  <c r="BA53" i="26" s="1"/>
  <c r="AF53" i="26" a="1"/>
  <c r="AF53" i="26" s="1"/>
  <c r="Q53" i="26" a="1"/>
  <c r="Q53" i="26" s="1"/>
  <c r="BB53" i="26" a="1"/>
  <c r="BB53" i="26" s="1"/>
  <c r="AG53" i="26" a="1"/>
  <c r="AG53" i="26" s="1"/>
  <c r="Y53" i="26" a="1"/>
  <c r="Y53" i="26" s="1"/>
  <c r="BD53" i="26" a="1"/>
  <c r="BD53" i="26" s="1"/>
  <c r="AJ53" i="26" a="1"/>
  <c r="AJ53" i="26" s="1"/>
  <c r="AT53" i="26" a="1"/>
  <c r="AT53" i="26" s="1"/>
  <c r="Z53" i="26" a="1"/>
  <c r="Z53" i="26" s="1"/>
  <c r="AX53" i="26" a="1"/>
  <c r="AX53" i="26" s="1"/>
  <c r="AU53" i="26" a="1"/>
  <c r="AU53" i="26" s="1"/>
  <c r="AH53" i="26" a="1"/>
  <c r="AH53" i="26" s="1"/>
  <c r="U53" i="26" a="1"/>
  <c r="U53" i="26" s="1"/>
  <c r="M53" i="26" a="1"/>
  <c r="M53" i="26" s="1"/>
  <c r="AM53" i="26" a="1"/>
  <c r="AM53" i="26" s="1"/>
  <c r="W53" i="26" a="1"/>
  <c r="W53" i="26" s="1"/>
  <c r="AW53" i="26" a="1"/>
  <c r="AW53" i="26" s="1"/>
  <c r="O53" i="26" a="1"/>
  <c r="O53" i="26" s="1"/>
  <c r="L54" i="26" a="1"/>
  <c r="L54" i="26" s="1"/>
  <c r="BC51" i="24" a="1"/>
  <c r="BC51" i="24" s="1"/>
  <c r="P49" i="25" a="1"/>
  <c r="P49" i="25" s="1"/>
  <c r="O49" i="25" a="1"/>
  <c r="O49" i="25" s="1"/>
  <c r="Q49" i="25" a="1"/>
  <c r="Q49" i="25" s="1"/>
  <c r="S49" i="25" a="1"/>
  <c r="S49" i="25" s="1"/>
  <c r="U49" i="25" a="1"/>
  <c r="U49" i="25" s="1"/>
  <c r="R49" i="25" a="1"/>
  <c r="R49" i="25" s="1"/>
  <c r="V49" i="25" a="1"/>
  <c r="V49" i="25" s="1"/>
  <c r="T49" i="25" a="1"/>
  <c r="T49" i="25" s="1"/>
  <c r="W49" i="25" a="1"/>
  <c r="W49" i="25" s="1"/>
  <c r="Y49" i="25" a="1"/>
  <c r="Y49" i="25" s="1"/>
  <c r="AC49" i="25" a="1"/>
  <c r="AC49" i="25" s="1"/>
  <c r="AD49" i="25" a="1"/>
  <c r="AD49" i="25" s="1"/>
  <c r="Z49" i="25" a="1"/>
  <c r="Z49" i="25" s="1"/>
  <c r="AA49" i="25" a="1"/>
  <c r="AA49" i="25" s="1"/>
  <c r="X49" i="25" a="1"/>
  <c r="X49" i="25" s="1"/>
  <c r="AB49" i="25" a="1"/>
  <c r="AB49" i="25" s="1"/>
  <c r="AE49" i="25" a="1"/>
  <c r="AE49" i="25" s="1"/>
  <c r="AH49" i="25" a="1"/>
  <c r="AH49" i="25" s="1"/>
  <c r="AF49" i="25" a="1"/>
  <c r="AF49" i="25" s="1"/>
  <c r="AG49" i="25" a="1"/>
  <c r="AG49" i="25" s="1"/>
  <c r="AI49" i="25" a="1"/>
  <c r="AI49" i="25" s="1"/>
  <c r="AK49" i="25" a="1"/>
  <c r="AK49" i="25" s="1"/>
  <c r="AM49" i="25" a="1"/>
  <c r="AM49" i="25" s="1"/>
  <c r="AN49" i="25" a="1"/>
  <c r="AN49" i="25" s="1"/>
  <c r="AP49" i="25" a="1"/>
  <c r="AP49" i="25" s="1"/>
  <c r="AQ49" i="25" a="1"/>
  <c r="AQ49" i="25" s="1"/>
  <c r="AL49" i="25" a="1"/>
  <c r="AL49" i="25" s="1"/>
  <c r="AO49" i="25" a="1"/>
  <c r="AO49" i="25" s="1"/>
  <c r="AJ49" i="25" a="1"/>
  <c r="AJ49" i="25" s="1"/>
  <c r="AT49" i="25" a="1"/>
  <c r="AT49" i="25" s="1"/>
  <c r="AR49" i="25" a="1"/>
  <c r="AR49" i="25" s="1"/>
  <c r="AS49" i="25" a="1"/>
  <c r="AS49" i="25" s="1"/>
  <c r="AW49" i="25" a="1"/>
  <c r="AW49" i="25" s="1"/>
  <c r="AV49" i="25" a="1"/>
  <c r="AV49" i="25" s="1"/>
  <c r="AU49" i="25" a="1"/>
  <c r="AU49" i="25" s="1"/>
  <c r="AX49" i="25" a="1"/>
  <c r="AX49" i="25" s="1"/>
  <c r="AY49" i="25" a="1"/>
  <c r="AY49" i="25" s="1"/>
  <c r="AZ49" i="25" a="1"/>
  <c r="AZ49" i="25" s="1"/>
  <c r="BC49" i="25" a="1"/>
  <c r="BC49" i="25" s="1"/>
  <c r="BF49" i="25" a="1"/>
  <c r="BF49" i="25" s="1"/>
  <c r="BB49" i="25" a="1"/>
  <c r="BB49" i="25" s="1"/>
  <c r="BD49" i="25" a="1"/>
  <c r="BD49" i="25" s="1"/>
  <c r="BE49" i="25" a="1"/>
  <c r="BE49" i="25" s="1"/>
  <c r="BA49" i="25" a="1"/>
  <c r="BA49" i="25" s="1"/>
  <c r="N50" i="25" a="1"/>
  <c r="N50" i="25" s="1"/>
  <c r="BD9" i="26" a="1"/>
  <c r="BD9" i="26" s="1"/>
  <c r="BD60" i="26"/>
  <c r="BD10" i="26" a="1"/>
  <c r="BD10" i="26" s="1"/>
  <c r="BD61" i="26"/>
  <c r="BD11" i="26" a="1"/>
  <c r="BD11" i="26" s="1"/>
  <c r="BD12" i="26" a="1"/>
  <c r="BD12" i="26" s="1"/>
  <c r="BD13" i="26" a="1"/>
  <c r="BD13" i="26" s="1"/>
  <c r="BD15" i="26" a="1"/>
  <c r="BD15" i="26" s="1"/>
  <c r="BD14" i="26" a="1"/>
  <c r="BD14" i="26" s="1"/>
  <c r="BD16" i="26" a="1"/>
  <c r="BD16" i="26" s="1"/>
  <c r="BD17" i="26" a="1"/>
  <c r="BD17" i="26" s="1"/>
  <c r="BD19" i="26" a="1"/>
  <c r="BD19" i="26" s="1"/>
  <c r="BD18" i="26" a="1"/>
  <c r="BD18" i="26" s="1"/>
  <c r="BD20" i="26" a="1"/>
  <c r="BD20" i="26" s="1"/>
  <c r="BD22" i="26" a="1"/>
  <c r="BD22" i="26" s="1"/>
  <c r="BD21" i="26" a="1"/>
  <c r="BD21" i="26" s="1"/>
  <c r="BD23" i="26" a="1"/>
  <c r="BD23" i="26" s="1"/>
  <c r="BE8" i="26" a="1"/>
  <c r="BE8" i="26" s="1"/>
  <c r="BE53" i="26" s="1" a="1"/>
  <c r="BE53" i="26" s="1"/>
  <c r="BD24" i="26" a="1"/>
  <c r="BD24" i="26" s="1"/>
  <c r="BD25" i="26" a="1"/>
  <c r="BD25" i="26" s="1"/>
  <c r="BD26" i="26" a="1"/>
  <c r="BD26" i="26" s="1"/>
  <c r="BD27" i="26" a="1"/>
  <c r="BD27" i="26" s="1"/>
  <c r="BD28" i="26" a="1"/>
  <c r="BD28" i="26" s="1"/>
  <c r="BD29" i="26" a="1"/>
  <c r="BD29" i="26" s="1"/>
  <c r="BD30" i="26" a="1"/>
  <c r="BD30" i="26" s="1"/>
  <c r="BD31" i="26" a="1"/>
  <c r="BD31" i="26" s="1"/>
  <c r="BD32" i="26" a="1"/>
  <c r="BD32" i="26" s="1"/>
  <c r="BD33" i="26" a="1"/>
  <c r="BD33" i="26" s="1"/>
  <c r="BD34" i="26" a="1"/>
  <c r="BD34" i="26" s="1"/>
  <c r="BD35" i="26" a="1"/>
  <c r="BD35" i="26" s="1"/>
  <c r="BD36" i="26" a="1"/>
  <c r="BD36" i="26" s="1"/>
  <c r="BD37" i="26" a="1"/>
  <c r="BD37" i="26" s="1"/>
  <c r="BD38" i="26" a="1"/>
  <c r="BD38" i="26" s="1"/>
  <c r="BD39" i="26" a="1"/>
  <c r="BD39" i="26" s="1"/>
  <c r="BD40" i="26" a="1"/>
  <c r="BD40" i="26" s="1"/>
  <c r="BD41" i="26" a="1"/>
  <c r="BD41" i="26" s="1"/>
  <c r="BD42" i="26" a="1"/>
  <c r="BD42" i="26" s="1"/>
  <c r="BD43" i="26" a="1"/>
  <c r="BD43" i="26" s="1"/>
  <c r="BD44" i="26" a="1"/>
  <c r="BD44" i="26" s="1"/>
  <c r="BD45" i="26" a="1"/>
  <c r="BD45" i="26" s="1"/>
  <c r="BD46" i="26" a="1"/>
  <c r="BD46" i="26" s="1"/>
  <c r="BD47" i="26" a="1"/>
  <c r="BD47" i="26" s="1"/>
  <c r="BD48" i="26" a="1"/>
  <c r="BD48" i="26" s="1"/>
  <c r="BD49" i="26" a="1"/>
  <c r="BD49" i="26" s="1"/>
  <c r="BD50" i="26" a="1"/>
  <c r="BD50" i="26" s="1"/>
  <c r="BD51" i="26" a="1"/>
  <c r="BD51" i="26" s="1"/>
  <c r="C38" i="39"/>
  <c r="A38" i="39" s="1"/>
  <c r="F388" i="22"/>
  <c r="BG22" i="25" l="1" a="1"/>
  <c r="BG22" i="25" s="1"/>
  <c r="BG46" i="25" a="1"/>
  <c r="BG46" i="25" s="1"/>
  <c r="BG45" i="25" a="1"/>
  <c r="BG45" i="25" s="1"/>
  <c r="BG28" i="25" a="1"/>
  <c r="BG28" i="25" s="1"/>
  <c r="BG40" i="25" a="1"/>
  <c r="BG40" i="25" s="1"/>
  <c r="BG34" i="25" a="1"/>
  <c r="BG34" i="25" s="1"/>
  <c r="BG39" i="25" a="1"/>
  <c r="BG39" i="25" s="1"/>
  <c r="BG27" i="25" a="1"/>
  <c r="BG27" i="25" s="1"/>
  <c r="BG21" i="25" a="1"/>
  <c r="BG21" i="25" s="1"/>
  <c r="BG10" i="25" a="1"/>
  <c r="BG10" i="25" s="1"/>
  <c r="BG38" i="25" a="1"/>
  <c r="BG38" i="25" s="1"/>
  <c r="BG26" i="25" a="1"/>
  <c r="BG26" i="25" s="1"/>
  <c r="BG15" i="25" a="1"/>
  <c r="BG15" i="25" s="1"/>
  <c r="BG37" i="25" a="1"/>
  <c r="BG37" i="25" s="1"/>
  <c r="BG25" i="25" a="1"/>
  <c r="BG25" i="25" s="1"/>
  <c r="BG14" i="25" a="1"/>
  <c r="BG14" i="25" s="1"/>
  <c r="BG42" i="25" a="1"/>
  <c r="BG42" i="25" s="1"/>
  <c r="BG36" i="25" a="1"/>
  <c r="BG36" i="25" s="1"/>
  <c r="BG30" i="25" a="1"/>
  <c r="BG30" i="25" s="1"/>
  <c r="BG24" i="25" a="1"/>
  <c r="BG24" i="25" s="1"/>
  <c r="BG17" i="25" a="1"/>
  <c r="BG17" i="25" s="1"/>
  <c r="BG13" i="25" a="1"/>
  <c r="BG13" i="25" s="1"/>
  <c r="BG60" i="25"/>
  <c r="BG33" i="25" a="1"/>
  <c r="BG33" i="25" s="1"/>
  <c r="BG16" i="25" a="1"/>
  <c r="BG16" i="25" s="1"/>
  <c r="BG49" i="25" a="1"/>
  <c r="BG49" i="25" s="1"/>
  <c r="BG44" i="25" a="1"/>
  <c r="BG44" i="25" s="1"/>
  <c r="BG32" i="25" a="1"/>
  <c r="BG32" i="25" s="1"/>
  <c r="BG20" i="25" a="1"/>
  <c r="BG20" i="25" s="1"/>
  <c r="BG61" i="25"/>
  <c r="BG43" i="25" a="1"/>
  <c r="BG43" i="25" s="1"/>
  <c r="BG31" i="25" a="1"/>
  <c r="BG31" i="25" s="1"/>
  <c r="BG19" i="25" a="1"/>
  <c r="BG19" i="25" s="1"/>
  <c r="BG9" i="25" a="1"/>
  <c r="BG9" i="25" s="1"/>
  <c r="BG47" i="25" a="1"/>
  <c r="BG47" i="25" s="1"/>
  <c r="BG41" i="25" a="1"/>
  <c r="BG41" i="25" s="1"/>
  <c r="BG35" i="25" a="1"/>
  <c r="BG35" i="25" s="1"/>
  <c r="BG29" i="25" a="1"/>
  <c r="BG29" i="25" s="1"/>
  <c r="BG23" i="25" a="1"/>
  <c r="BG23" i="25" s="1"/>
  <c r="BG18" i="25" a="1"/>
  <c r="BG18" i="25" s="1"/>
  <c r="BG12" i="25" a="1"/>
  <c r="BG12" i="25" s="1"/>
  <c r="BH8" i="25" a="1"/>
  <c r="BH8" i="25" s="1"/>
  <c r="BH49" i="25" s="1" a="1"/>
  <c r="BH49" i="25" s="1"/>
  <c r="BG11" i="25" a="1"/>
  <c r="BG11" i="25" s="1"/>
  <c r="BC52" i="24" a="1"/>
  <c r="BC52" i="24" s="1"/>
  <c r="T52" i="24" a="1"/>
  <c r="T52" i="24" s="1"/>
  <c r="AR52" i="24" a="1"/>
  <c r="AR52" i="24" s="1"/>
  <c r="Y52" i="24" a="1"/>
  <c r="Y52" i="24" s="1"/>
  <c r="BB52" i="24" a="1"/>
  <c r="BB52" i="24" s="1"/>
  <c r="AN52" i="24" a="1"/>
  <c r="AN52" i="24" s="1"/>
  <c r="AH52" i="24" a="1"/>
  <c r="AH52" i="24" s="1"/>
  <c r="AE52" i="24" a="1"/>
  <c r="AE52" i="24" s="1"/>
  <c r="W52" i="24" a="1"/>
  <c r="W52" i="24" s="1"/>
  <c r="P52" i="24" a="1"/>
  <c r="P52" i="24" s="1"/>
  <c r="Q52" i="24" a="1"/>
  <c r="Q52" i="24" s="1"/>
  <c r="L53" i="24" a="1"/>
  <c r="L53" i="24" s="1"/>
  <c r="M53" i="24" s="1" a="1"/>
  <c r="M53" i="24" s="1"/>
  <c r="AS52" i="24" a="1"/>
  <c r="AS52" i="24" s="1"/>
  <c r="AM52" i="24" a="1"/>
  <c r="AM52" i="24" s="1"/>
  <c r="AV52" i="24" a="1"/>
  <c r="AV52" i="24" s="1"/>
  <c r="AC52" i="24" a="1"/>
  <c r="AC52" i="24" s="1"/>
  <c r="AF52" i="24" a="1"/>
  <c r="AF52" i="24" s="1"/>
  <c r="AK52" i="24" a="1"/>
  <c r="AK52" i="24" s="1"/>
  <c r="R52" i="24" a="1"/>
  <c r="R52" i="24" s="1"/>
  <c r="AL52" i="24" a="1"/>
  <c r="AL52" i="24" s="1"/>
  <c r="AB52" i="24" a="1"/>
  <c r="AB52" i="24" s="1"/>
  <c r="AZ52" i="24" a="1"/>
  <c r="AZ52" i="24" s="1"/>
  <c r="V52" i="24" a="1"/>
  <c r="V52" i="24" s="1"/>
  <c r="BA52" i="24" a="1"/>
  <c r="BA52" i="24" s="1"/>
  <c r="AI52" i="24" a="1"/>
  <c r="AI52" i="24" s="1"/>
  <c r="AW52" i="24" a="1"/>
  <c r="AW52" i="24" s="1"/>
  <c r="AU52" i="24" a="1"/>
  <c r="AU52" i="24" s="1"/>
  <c r="AA52" i="24" a="1"/>
  <c r="AA52" i="24" s="1"/>
  <c r="AJ52" i="24" a="1"/>
  <c r="AJ52" i="24" s="1"/>
  <c r="S52" i="24" a="1"/>
  <c r="S52" i="24" s="1"/>
  <c r="M52" i="24" a="1"/>
  <c r="M52" i="24" s="1"/>
  <c r="BD52" i="24" a="1"/>
  <c r="BD52" i="24" s="1"/>
  <c r="AO52" i="24" a="1"/>
  <c r="AO52" i="24" s="1"/>
  <c r="AX52" i="24" a="1"/>
  <c r="AX52" i="24" s="1"/>
  <c r="U52" i="24" a="1"/>
  <c r="U52" i="24" s="1"/>
  <c r="AT52" i="24" a="1"/>
  <c r="AT52" i="24" s="1"/>
  <c r="AG52" i="24" a="1"/>
  <c r="AG52" i="24" s="1"/>
  <c r="N52" i="24" a="1"/>
  <c r="N52" i="24" s="1"/>
  <c r="AY52" i="24" a="1"/>
  <c r="AY52" i="24" s="1"/>
  <c r="Z52" i="24" a="1"/>
  <c r="Z52" i="24" s="1"/>
  <c r="AQ52" i="24" a="1"/>
  <c r="AQ52" i="24" s="1"/>
  <c r="AP52" i="24" a="1"/>
  <c r="AP52" i="24" s="1"/>
  <c r="AD52" i="24" a="1"/>
  <c r="AD52" i="24" s="1"/>
  <c r="X52" i="24" a="1"/>
  <c r="X52" i="24" s="1"/>
  <c r="BC62" i="24"/>
  <c r="BC63" i="24"/>
  <c r="C39" i="39"/>
  <c r="A39" i="39" s="1"/>
  <c r="F389" i="22"/>
  <c r="AX54" i="26" a="1"/>
  <c r="AX54" i="26" s="1"/>
  <c r="AP54" i="26" a="1"/>
  <c r="AP54" i="26" s="1"/>
  <c r="AO54" i="26" a="1"/>
  <c r="AO54" i="26" s="1"/>
  <c r="AU54" i="26" a="1"/>
  <c r="AU54" i="26" s="1"/>
  <c r="BA54" i="26" a="1"/>
  <c r="BA54" i="26" s="1"/>
  <c r="AZ54" i="26" a="1"/>
  <c r="AZ54" i="26" s="1"/>
  <c r="AK54" i="26" a="1"/>
  <c r="AK54" i="26" s="1"/>
  <c r="AF54" i="26" a="1"/>
  <c r="AF54" i="26" s="1"/>
  <c r="AQ54" i="26" a="1"/>
  <c r="AQ54" i="26" s="1"/>
  <c r="AC54" i="26" a="1"/>
  <c r="AC54" i="26" s="1"/>
  <c r="AI54" i="26" a="1"/>
  <c r="AI54" i="26" s="1"/>
  <c r="AH54" i="26" a="1"/>
  <c r="AH54" i="26" s="1"/>
  <c r="AT54" i="26" a="1"/>
  <c r="AT54" i="26" s="1"/>
  <c r="AS54" i="26" a="1"/>
  <c r="AS54" i="26" s="1"/>
  <c r="AE54" i="26" a="1"/>
  <c r="AE54" i="26" s="1"/>
  <c r="R54" i="26" a="1"/>
  <c r="R54" i="26" s="1"/>
  <c r="AD54" i="26" a="1"/>
  <c r="AD54" i="26" s="1"/>
  <c r="P54" i="26" a="1"/>
  <c r="P54" i="26" s="1"/>
  <c r="U54" i="26" a="1"/>
  <c r="U54" i="26" s="1"/>
  <c r="T54" i="26" a="1"/>
  <c r="T54" i="26" s="1"/>
  <c r="AG54" i="26" a="1"/>
  <c r="AG54" i="26" s="1"/>
  <c r="Y54" i="26" a="1"/>
  <c r="Y54" i="26" s="1"/>
  <c r="Q54" i="26" a="1"/>
  <c r="Q54" i="26" s="1"/>
  <c r="M54" i="26" a="1"/>
  <c r="M54" i="26" s="1"/>
  <c r="W54" i="26" a="1"/>
  <c r="W54" i="26" s="1"/>
  <c r="BC54" i="26" a="1"/>
  <c r="BC54" i="26" s="1"/>
  <c r="O54" i="26" a="1"/>
  <c r="O54" i="26" s="1"/>
  <c r="N54" i="26" a="1"/>
  <c r="N54" i="26" s="1"/>
  <c r="Z54" i="26" a="1"/>
  <c r="Z54" i="26" s="1"/>
  <c r="S54" i="26" a="1"/>
  <c r="S54" i="26" s="1"/>
  <c r="AR54" i="26" a="1"/>
  <c r="AR54" i="26" s="1"/>
  <c r="AV54" i="26" a="1"/>
  <c r="AV54" i="26" s="1"/>
  <c r="AB54" i="26" a="1"/>
  <c r="AB54" i="26" s="1"/>
  <c r="AM54" i="26" a="1"/>
  <c r="AM54" i="26" s="1"/>
  <c r="BD54" i="26" a="1"/>
  <c r="BD54" i="26" s="1"/>
  <c r="BB54" i="26" a="1"/>
  <c r="BB54" i="26" s="1"/>
  <c r="AY54" i="26" a="1"/>
  <c r="AY54" i="26" s="1"/>
  <c r="AJ54" i="26" a="1"/>
  <c r="AJ54" i="26" s="1"/>
  <c r="AA54" i="26" a="1"/>
  <c r="AA54" i="26" s="1"/>
  <c r="X54" i="26" a="1"/>
  <c r="X54" i="26" s="1"/>
  <c r="AW54" i="26" a="1"/>
  <c r="AW54" i="26" s="1"/>
  <c r="AL54" i="26" a="1"/>
  <c r="AL54" i="26" s="1"/>
  <c r="V54" i="26" a="1"/>
  <c r="V54" i="26" s="1"/>
  <c r="AN54" i="26" a="1"/>
  <c r="AN54" i="26" s="1"/>
  <c r="BE54" i="26" a="1"/>
  <c r="BE54" i="26" s="1"/>
  <c r="L55" i="26" a="1"/>
  <c r="L55" i="26" s="1"/>
  <c r="BE9" i="26" a="1"/>
  <c r="BE9" i="26" s="1"/>
  <c r="BE61" i="26"/>
  <c r="BE60" i="26"/>
  <c r="BE10" i="26" a="1"/>
  <c r="BE10" i="26" s="1"/>
  <c r="BE12" i="26" a="1"/>
  <c r="BE12" i="26" s="1"/>
  <c r="BE11" i="26" a="1"/>
  <c r="BE11" i="26" s="1"/>
  <c r="BE13" i="26" a="1"/>
  <c r="BE13" i="26" s="1"/>
  <c r="BE15" i="26" a="1"/>
  <c r="BE15" i="26" s="1"/>
  <c r="BE14" i="26" a="1"/>
  <c r="BE14" i="26" s="1"/>
  <c r="BE16" i="26" a="1"/>
  <c r="BE16" i="26" s="1"/>
  <c r="BE17" i="26" a="1"/>
  <c r="BE17" i="26" s="1"/>
  <c r="BE18" i="26" a="1"/>
  <c r="BE18" i="26" s="1"/>
  <c r="BE19" i="26" a="1"/>
  <c r="BE19" i="26" s="1"/>
  <c r="BE20" i="26" a="1"/>
  <c r="BE20" i="26" s="1"/>
  <c r="BF8" i="26" a="1"/>
  <c r="BF8" i="26" s="1"/>
  <c r="BF54" i="26" s="1" a="1"/>
  <c r="BF54" i="26" s="1"/>
  <c r="BE21" i="26" a="1"/>
  <c r="BE21" i="26" s="1"/>
  <c r="BE22" i="26" a="1"/>
  <c r="BE22" i="26" s="1"/>
  <c r="BE23" i="26" a="1"/>
  <c r="BE23" i="26" s="1"/>
  <c r="BE24" i="26" a="1"/>
  <c r="BE24" i="26" s="1"/>
  <c r="BE25" i="26" a="1"/>
  <c r="BE25" i="26" s="1"/>
  <c r="BE26" i="26" a="1"/>
  <c r="BE26" i="26" s="1"/>
  <c r="BE27" i="26" a="1"/>
  <c r="BE27" i="26" s="1"/>
  <c r="BE28" i="26" a="1"/>
  <c r="BE28" i="26" s="1"/>
  <c r="BE29" i="26" a="1"/>
  <c r="BE29" i="26" s="1"/>
  <c r="BE30" i="26" a="1"/>
  <c r="BE30" i="26" s="1"/>
  <c r="BE31" i="26" a="1"/>
  <c r="BE31" i="26" s="1"/>
  <c r="BE32" i="26" a="1"/>
  <c r="BE32" i="26" s="1"/>
  <c r="BE33" i="26" a="1"/>
  <c r="BE33" i="26" s="1"/>
  <c r="BE34" i="26" a="1"/>
  <c r="BE34" i="26" s="1"/>
  <c r="BE35" i="26" a="1"/>
  <c r="BE35" i="26" s="1"/>
  <c r="BE36" i="26" a="1"/>
  <c r="BE36" i="26" s="1"/>
  <c r="BE37" i="26" a="1"/>
  <c r="BE37" i="26" s="1"/>
  <c r="BE38" i="26" a="1"/>
  <c r="BE38" i="26" s="1"/>
  <c r="BE39" i="26" a="1"/>
  <c r="BE39" i="26" s="1"/>
  <c r="BE40" i="26" a="1"/>
  <c r="BE40" i="26" s="1"/>
  <c r="BE41" i="26" a="1"/>
  <c r="BE41" i="26" s="1"/>
  <c r="BE42" i="26" a="1"/>
  <c r="BE42" i="26" s="1"/>
  <c r="BE43" i="26" a="1"/>
  <c r="BE43" i="26" s="1"/>
  <c r="BE44" i="26" a="1"/>
  <c r="BE44" i="26" s="1"/>
  <c r="BE45" i="26" a="1"/>
  <c r="BE45" i="26" s="1"/>
  <c r="BE46" i="26" a="1"/>
  <c r="BE46" i="26" s="1"/>
  <c r="BE47" i="26" a="1"/>
  <c r="BE47" i="26" s="1"/>
  <c r="BE48" i="26" a="1"/>
  <c r="BE48" i="26" s="1"/>
  <c r="BE49" i="26" a="1"/>
  <c r="BE49" i="26" s="1"/>
  <c r="BE50" i="26" a="1"/>
  <c r="BE50" i="26" s="1"/>
  <c r="BE51" i="26" a="1"/>
  <c r="BE51" i="26" s="1"/>
  <c r="BE52" i="26" a="1"/>
  <c r="BE52" i="26" s="1"/>
  <c r="P50" i="25" a="1"/>
  <c r="P50" i="25" s="1"/>
  <c r="S50" i="25" a="1"/>
  <c r="S50" i="25" s="1"/>
  <c r="O50" i="25" a="1"/>
  <c r="O50" i="25" s="1"/>
  <c r="Q50" i="25" a="1"/>
  <c r="Q50" i="25" s="1"/>
  <c r="T50" i="25" a="1"/>
  <c r="T50" i="25" s="1"/>
  <c r="U50" i="25" a="1"/>
  <c r="U50" i="25" s="1"/>
  <c r="R50" i="25" a="1"/>
  <c r="R50" i="25" s="1"/>
  <c r="W50" i="25" a="1"/>
  <c r="W50" i="25" s="1"/>
  <c r="V50" i="25" a="1"/>
  <c r="V50" i="25" s="1"/>
  <c r="Z50" i="25" a="1"/>
  <c r="Z50" i="25" s="1"/>
  <c r="Y50" i="25" a="1"/>
  <c r="Y50" i="25" s="1"/>
  <c r="AB50" i="25" a="1"/>
  <c r="AB50" i="25" s="1"/>
  <c r="AC50" i="25" a="1"/>
  <c r="AC50" i="25" s="1"/>
  <c r="AD50" i="25" a="1"/>
  <c r="AD50" i="25" s="1"/>
  <c r="X50" i="25" a="1"/>
  <c r="X50" i="25" s="1"/>
  <c r="AA50" i="25" a="1"/>
  <c r="AA50" i="25" s="1"/>
  <c r="AF50" i="25" a="1"/>
  <c r="AF50" i="25" s="1"/>
  <c r="AG50" i="25" a="1"/>
  <c r="AG50" i="25" s="1"/>
  <c r="AE50" i="25" a="1"/>
  <c r="AE50" i="25" s="1"/>
  <c r="AH50" i="25" a="1"/>
  <c r="AH50" i="25" s="1"/>
  <c r="AK50" i="25" a="1"/>
  <c r="AK50" i="25" s="1"/>
  <c r="AI50" i="25" a="1"/>
  <c r="AI50" i="25" s="1"/>
  <c r="AJ50" i="25" a="1"/>
  <c r="AJ50" i="25" s="1"/>
  <c r="AL50" i="25" a="1"/>
  <c r="AL50" i="25" s="1"/>
  <c r="AM50" i="25" a="1"/>
  <c r="AM50" i="25" s="1"/>
  <c r="AO50" i="25" a="1"/>
  <c r="AO50" i="25" s="1"/>
  <c r="AN50" i="25" a="1"/>
  <c r="AN50" i="25" s="1"/>
  <c r="AQ50" i="25" a="1"/>
  <c r="AQ50" i="25" s="1"/>
  <c r="AP50" i="25" a="1"/>
  <c r="AP50" i="25" s="1"/>
  <c r="AR50" i="25" a="1"/>
  <c r="AR50" i="25" s="1"/>
  <c r="AT50" i="25" a="1"/>
  <c r="AT50" i="25" s="1"/>
  <c r="AS50" i="25" a="1"/>
  <c r="AS50" i="25" s="1"/>
  <c r="AX50" i="25" a="1"/>
  <c r="AX50" i="25" s="1"/>
  <c r="AU50" i="25" a="1"/>
  <c r="AU50" i="25" s="1"/>
  <c r="AV50" i="25" a="1"/>
  <c r="AV50" i="25" s="1"/>
  <c r="AW50" i="25" a="1"/>
  <c r="AW50" i="25" s="1"/>
  <c r="AY50" i="25" a="1"/>
  <c r="AY50" i="25" s="1"/>
  <c r="BA50" i="25" a="1"/>
  <c r="BA50" i="25" s="1"/>
  <c r="BC50" i="25" a="1"/>
  <c r="BC50" i="25" s="1"/>
  <c r="BD50" i="25" a="1"/>
  <c r="BD50" i="25" s="1"/>
  <c r="AZ50" i="25" a="1"/>
  <c r="AZ50" i="25" s="1"/>
  <c r="BE50" i="25" a="1"/>
  <c r="BE50" i="25" s="1"/>
  <c r="BG50" i="25" a="1"/>
  <c r="BG50" i="25" s="1"/>
  <c r="BF50" i="25" a="1"/>
  <c r="BF50" i="25" s="1"/>
  <c r="BB50" i="25" a="1"/>
  <c r="BB50" i="25" s="1"/>
  <c r="N51" i="25" a="1"/>
  <c r="N51" i="25" s="1"/>
  <c r="AE51" i="38"/>
  <c r="AA51" i="38"/>
  <c r="L51" i="38"/>
  <c r="P51" i="38"/>
  <c r="W51" i="38"/>
  <c r="S51" i="38"/>
  <c r="O51" i="38"/>
  <c r="AR51" i="38"/>
  <c r="AD51" i="38"/>
  <c r="BA51" i="38"/>
  <c r="AB51" i="38"/>
  <c r="AX51" i="38"/>
  <c r="AO51" i="38"/>
  <c r="AK51" i="38"/>
  <c r="AN51" i="38"/>
  <c r="AV51" i="38"/>
  <c r="AG51" i="38"/>
  <c r="AC51" i="38"/>
  <c r="X51" i="38"/>
  <c r="V51" i="38"/>
  <c r="Q51" i="38"/>
  <c r="M51" i="38"/>
  <c r="AJ51" i="38"/>
  <c r="T51" i="38"/>
  <c r="AM51" i="38"/>
  <c r="AT51" i="38"/>
  <c r="AS51" i="38"/>
  <c r="AP51" i="38"/>
  <c r="U51" i="38"/>
  <c r="R51" i="38"/>
  <c r="AY51" i="38"/>
  <c r="AL51" i="38"/>
  <c r="AQ51" i="38"/>
  <c r="AI51" i="38"/>
  <c r="AZ51" i="38"/>
  <c r="AW51" i="38"/>
  <c r="AH51" i="38"/>
  <c r="Y51" i="38"/>
  <c r="N51" i="38"/>
  <c r="AF51" i="38"/>
  <c r="AU51" i="38"/>
  <c r="Z51" i="38"/>
  <c r="K52" i="38" a="1"/>
  <c r="K52" i="38" s="1"/>
  <c r="BA10" i="38"/>
  <c r="BA9" i="38"/>
  <c r="BA60" i="38"/>
  <c r="BA61" i="38"/>
  <c r="BA11" i="38"/>
  <c r="BA12" i="38"/>
  <c r="BA13" i="38"/>
  <c r="BA14" i="38"/>
  <c r="BA15" i="38"/>
  <c r="BA16" i="38"/>
  <c r="BA17" i="38"/>
  <c r="BA18" i="38"/>
  <c r="BB8" i="38" a="1"/>
  <c r="BB8" i="38" s="1"/>
  <c r="BA19" i="38"/>
  <c r="BA20" i="38"/>
  <c r="BA21" i="38"/>
  <c r="BA22" i="38"/>
  <c r="BA23" i="38"/>
  <c r="BA24" i="38"/>
  <c r="BA25" i="38"/>
  <c r="BA26" i="38"/>
  <c r="BA27" i="38"/>
  <c r="BA28" i="38"/>
  <c r="BA29" i="38"/>
  <c r="BA30" i="38"/>
  <c r="BA31" i="38"/>
  <c r="BA32" i="38"/>
  <c r="BA33" i="38"/>
  <c r="BA34" i="38"/>
  <c r="BA35" i="38"/>
  <c r="BA36" i="38"/>
  <c r="BA37" i="38"/>
  <c r="BA38" i="38"/>
  <c r="BA39" i="38"/>
  <c r="BA40" i="38"/>
  <c r="BA41" i="38"/>
  <c r="BA42" i="38"/>
  <c r="BA43" i="38"/>
  <c r="BA44" i="38"/>
  <c r="BA45" i="38"/>
  <c r="BA46" i="38"/>
  <c r="BA47" i="38"/>
  <c r="BA48" i="38"/>
  <c r="BA49" i="38"/>
  <c r="BD61" i="24"/>
  <c r="BD9" i="24" a="1"/>
  <c r="BD9" i="24" s="1"/>
  <c r="BD60" i="24"/>
  <c r="BD10" i="24" a="1"/>
  <c r="BD10" i="24" s="1"/>
  <c r="BD11" i="24" a="1"/>
  <c r="BD11" i="24" s="1"/>
  <c r="BD12" i="24" a="1"/>
  <c r="BD12" i="24" s="1"/>
  <c r="BD13" i="24" a="1"/>
  <c r="BD13" i="24" s="1"/>
  <c r="BD14" i="24" a="1"/>
  <c r="BD14" i="24" s="1"/>
  <c r="BD16" i="24" a="1"/>
  <c r="BD16" i="24" s="1"/>
  <c r="BD17" i="24" a="1"/>
  <c r="BD17" i="24" s="1"/>
  <c r="BD15" i="24" a="1"/>
  <c r="BD15" i="24" s="1"/>
  <c r="BD18" i="24" a="1"/>
  <c r="BD18" i="24" s="1"/>
  <c r="BD19" i="24" a="1"/>
  <c r="BD19" i="24" s="1"/>
  <c r="BE8" i="24" a="1"/>
  <c r="BE8" i="24" s="1"/>
  <c r="BD21" i="24" a="1"/>
  <c r="BD21" i="24" s="1"/>
  <c r="BD20" i="24" a="1"/>
  <c r="BD20" i="24" s="1"/>
  <c r="BD22" i="24" a="1"/>
  <c r="BD22" i="24" s="1"/>
  <c r="BD23" i="24" a="1"/>
  <c r="BD23" i="24" s="1"/>
  <c r="BD24" i="24" a="1"/>
  <c r="BD24" i="24" s="1"/>
  <c r="BD25" i="24" a="1"/>
  <c r="BD25" i="24" s="1"/>
  <c r="BD26" i="24" a="1"/>
  <c r="BD26" i="24" s="1"/>
  <c r="BD27" i="24" a="1"/>
  <c r="BD27" i="24" s="1"/>
  <c r="BD28" i="24" a="1"/>
  <c r="BD28" i="24" s="1"/>
  <c r="BD29" i="24" a="1"/>
  <c r="BD29" i="24" s="1"/>
  <c r="BD30" i="24" a="1"/>
  <c r="BD30" i="24" s="1"/>
  <c r="BD31" i="24" a="1"/>
  <c r="BD31" i="24" s="1"/>
  <c r="BD32" i="24" a="1"/>
  <c r="BD32" i="24" s="1"/>
  <c r="BD33" i="24" a="1"/>
  <c r="BD33" i="24" s="1"/>
  <c r="BD34" i="24" a="1"/>
  <c r="BD34" i="24" s="1"/>
  <c r="BD35" i="24" a="1"/>
  <c r="BD35" i="24" s="1"/>
  <c r="BD36" i="24" a="1"/>
  <c r="BD36" i="24" s="1"/>
  <c r="BD37" i="24" a="1"/>
  <c r="BD37" i="24" s="1"/>
  <c r="BD38" i="24" a="1"/>
  <c r="BD38" i="24" s="1"/>
  <c r="BD39" i="24" a="1"/>
  <c r="BD39" i="24" s="1"/>
  <c r="BD40" i="24" a="1"/>
  <c r="BD40" i="24" s="1"/>
  <c r="BD41" i="24" a="1"/>
  <c r="BD41" i="24" s="1"/>
  <c r="BD42" i="24" a="1"/>
  <c r="BD42" i="24" s="1"/>
  <c r="BD43" i="24" a="1"/>
  <c r="BD43" i="24" s="1"/>
  <c r="BD44" i="24" a="1"/>
  <c r="BD44" i="24" s="1"/>
  <c r="BD45" i="24" a="1"/>
  <c r="BD45" i="24" s="1"/>
  <c r="BD46" i="24" a="1"/>
  <c r="BD46" i="24" s="1"/>
  <c r="BD47" i="24" a="1"/>
  <c r="BD47" i="24" s="1"/>
  <c r="BD48" i="24" a="1"/>
  <c r="BD48" i="24" s="1"/>
  <c r="BD49" i="24" a="1"/>
  <c r="BD49" i="24" s="1"/>
  <c r="BD50" i="24" a="1"/>
  <c r="BD50" i="24" s="1"/>
  <c r="BD51" i="24" a="1"/>
  <c r="BD51" i="24" s="1"/>
  <c r="BH45" i="25" l="1" a="1"/>
  <c r="BH45" i="25" s="1"/>
  <c r="BH21" i="25" a="1"/>
  <c r="BH21" i="25" s="1"/>
  <c r="BH44" i="25" a="1"/>
  <c r="BH44" i="25" s="1"/>
  <c r="BH38" i="25" a="1"/>
  <c r="BH38" i="25" s="1"/>
  <c r="BH32" i="25" a="1"/>
  <c r="BH32" i="25" s="1"/>
  <c r="BH26" i="25" a="1"/>
  <c r="BH26" i="25" s="1"/>
  <c r="BH20" i="25" a="1"/>
  <c r="BH20" i="25" s="1"/>
  <c r="BH15" i="25" a="1"/>
  <c r="BH15" i="25" s="1"/>
  <c r="BH60" i="25"/>
  <c r="BH46" i="25" a="1"/>
  <c r="BH46" i="25" s="1"/>
  <c r="BH40" i="25" a="1"/>
  <c r="BH40" i="25" s="1"/>
  <c r="BH34" i="25" a="1"/>
  <c r="BH34" i="25" s="1"/>
  <c r="BH28" i="25" a="1"/>
  <c r="BH28" i="25" s="1"/>
  <c r="BH22" i="25" a="1"/>
  <c r="BH22" i="25" s="1"/>
  <c r="BH16" i="25" a="1"/>
  <c r="BH16" i="25" s="1"/>
  <c r="BH12" i="25" a="1"/>
  <c r="BH12" i="25" s="1"/>
  <c r="BH33" i="25" a="1"/>
  <c r="BH33" i="25" s="1"/>
  <c r="BH50" i="25" a="1"/>
  <c r="BH50" i="25" s="1"/>
  <c r="BH43" i="25" a="1"/>
  <c r="BH43" i="25" s="1"/>
  <c r="BH37" i="25" a="1"/>
  <c r="BH37" i="25" s="1"/>
  <c r="BH31" i="25" a="1"/>
  <c r="BH31" i="25" s="1"/>
  <c r="BH25" i="25" a="1"/>
  <c r="BH25" i="25" s="1"/>
  <c r="BH19" i="25" a="1"/>
  <c r="BH19" i="25" s="1"/>
  <c r="BH14" i="25" a="1"/>
  <c r="BH14" i="25" s="1"/>
  <c r="BH9" i="25" a="1"/>
  <c r="BH9" i="25" s="1"/>
  <c r="BI8" i="25" a="1"/>
  <c r="BI8" i="25" s="1"/>
  <c r="BI9" i="25" s="1" a="1"/>
  <c r="BI9" i="25" s="1"/>
  <c r="BH48" i="25" a="1"/>
  <c r="BH48" i="25" s="1"/>
  <c r="BH42" i="25" a="1"/>
  <c r="BH42" i="25" s="1"/>
  <c r="BH36" i="25" a="1"/>
  <c r="BH36" i="25" s="1"/>
  <c r="BH30" i="25" a="1"/>
  <c r="BH30" i="25" s="1"/>
  <c r="BH24" i="25" a="1"/>
  <c r="BH24" i="25" s="1"/>
  <c r="BH17" i="25" a="1"/>
  <c r="BH17" i="25" s="1"/>
  <c r="BH13" i="25" a="1"/>
  <c r="BH13" i="25" s="1"/>
  <c r="BH61" i="25"/>
  <c r="BH39" i="25" a="1"/>
  <c r="BH39" i="25" s="1"/>
  <c r="BH27" i="25" a="1"/>
  <c r="BH27" i="25" s="1"/>
  <c r="BH10" i="25" a="1"/>
  <c r="BH10" i="25" s="1"/>
  <c r="BH47" i="25" a="1"/>
  <c r="BH47" i="25" s="1"/>
  <c r="BH41" i="25" a="1"/>
  <c r="BH41" i="25" s="1"/>
  <c r="BH35" i="25" a="1"/>
  <c r="BH35" i="25" s="1"/>
  <c r="BH29" i="25" a="1"/>
  <c r="BH29" i="25" s="1"/>
  <c r="BH23" i="25" a="1"/>
  <c r="BH23" i="25" s="1"/>
  <c r="BH18" i="25" a="1"/>
  <c r="BH18" i="25" s="1"/>
  <c r="BH11" i="25" a="1"/>
  <c r="BH11" i="25" s="1"/>
  <c r="AO53" i="24" a="1"/>
  <c r="AO53" i="24" s="1"/>
  <c r="AX53" i="24" a="1"/>
  <c r="AX53" i="24" s="1"/>
  <c r="BA53" i="24" a="1"/>
  <c r="BA53" i="24" s="1"/>
  <c r="BB53" i="24" a="1"/>
  <c r="BB53" i="24" s="1"/>
  <c r="AB53" i="24" a="1"/>
  <c r="AB53" i="24" s="1"/>
  <c r="X53" i="24" a="1"/>
  <c r="X53" i="24" s="1"/>
  <c r="R53" i="24" a="1"/>
  <c r="R53" i="24" s="1"/>
  <c r="AN53" i="24" a="1"/>
  <c r="AN53" i="24" s="1"/>
  <c r="AE53" i="24" a="1"/>
  <c r="AE53" i="24" s="1"/>
  <c r="AK53" i="24" a="1"/>
  <c r="AK53" i="24" s="1"/>
  <c r="AR53" i="24" a="1"/>
  <c r="AR53" i="24" s="1"/>
  <c r="AD53" i="24" a="1"/>
  <c r="AD53" i="24" s="1"/>
  <c r="O53" i="24" a="1"/>
  <c r="O53" i="24" s="1"/>
  <c r="AY53" i="24" a="1"/>
  <c r="AY53" i="24" s="1"/>
  <c r="AJ53" i="24" a="1"/>
  <c r="AJ53" i="24" s="1"/>
  <c r="AT53" i="24" a="1"/>
  <c r="AT53" i="24" s="1"/>
  <c r="AW53" i="24" a="1"/>
  <c r="AW53" i="24" s="1"/>
  <c r="Z53" i="24" a="1"/>
  <c r="Z53" i="24" s="1"/>
  <c r="AC53" i="24" a="1"/>
  <c r="AC53" i="24" s="1"/>
  <c r="N53" i="24" a="1"/>
  <c r="N53" i="24" s="1"/>
  <c r="L54" i="24" a="1"/>
  <c r="L54" i="24" s="1"/>
  <c r="T54" i="24" s="1" a="1"/>
  <c r="T54" i="24" s="1"/>
  <c r="AH53" i="24" a="1"/>
  <c r="AH53" i="24" s="1"/>
  <c r="U53" i="24" a="1"/>
  <c r="U53" i="24" s="1"/>
  <c r="AQ53" i="24" a="1"/>
  <c r="AQ53" i="24" s="1"/>
  <c r="AV53" i="24" a="1"/>
  <c r="AV53" i="24" s="1"/>
  <c r="AG53" i="24" a="1"/>
  <c r="AG53" i="24" s="1"/>
  <c r="AM53" i="24" a="1"/>
  <c r="AM53" i="24" s="1"/>
  <c r="S53" i="24" a="1"/>
  <c r="S53" i="24" s="1"/>
  <c r="V53" i="24" a="1"/>
  <c r="V53" i="24" s="1"/>
  <c r="BC53" i="24" a="1"/>
  <c r="BC53" i="24" s="1"/>
  <c r="AU53" i="24" a="1"/>
  <c r="AU53" i="24" s="1"/>
  <c r="AS53" i="24" a="1"/>
  <c r="AS53" i="24" s="1"/>
  <c r="AP53" i="24" a="1"/>
  <c r="AP53" i="24" s="1"/>
  <c r="AF53" i="24" a="1"/>
  <c r="AF53" i="24" s="1"/>
  <c r="P53" i="24" a="1"/>
  <c r="P53" i="24" s="1"/>
  <c r="Y53" i="24" a="1"/>
  <c r="Y53" i="24" s="1"/>
  <c r="Q53" i="24" a="1"/>
  <c r="Q53" i="24" s="1"/>
  <c r="BD53" i="24" a="1"/>
  <c r="BD53" i="24" s="1"/>
  <c r="AI53" i="24" a="1"/>
  <c r="AI53" i="24" s="1"/>
  <c r="AL53" i="24" a="1"/>
  <c r="AL53" i="24" s="1"/>
  <c r="AZ53" i="24" a="1"/>
  <c r="AZ53" i="24" s="1"/>
  <c r="AA53" i="24" a="1"/>
  <c r="AA53" i="24" s="1"/>
  <c r="W53" i="24" a="1"/>
  <c r="W53" i="24" s="1"/>
  <c r="T53" i="24" a="1"/>
  <c r="T53" i="24" s="1"/>
  <c r="AK52" i="38"/>
  <c r="AG52" i="38"/>
  <c r="AZ52" i="38"/>
  <c r="AT52" i="38"/>
  <c r="AC52" i="38"/>
  <c r="Y52" i="38"/>
  <c r="AJ52" i="38"/>
  <c r="V52" i="38"/>
  <c r="M52" i="38"/>
  <c r="AV52" i="38"/>
  <c r="R52" i="38"/>
  <c r="AA52" i="38"/>
  <c r="AN52" i="38"/>
  <c r="AP52" i="38"/>
  <c r="S52" i="38"/>
  <c r="X52" i="38"/>
  <c r="N52" i="38"/>
  <c r="T52" i="38"/>
  <c r="AL52" i="38"/>
  <c r="AW52" i="38"/>
  <c r="AF52" i="38"/>
  <c r="L52" i="38"/>
  <c r="AO52" i="38"/>
  <c r="P52" i="38"/>
  <c r="Q52" i="38"/>
  <c r="AH52" i="38"/>
  <c r="BA52" i="38"/>
  <c r="AU52" i="38"/>
  <c r="AD52" i="38"/>
  <c r="AS52" i="38"/>
  <c r="AM52" i="38"/>
  <c r="BB52" i="38"/>
  <c r="U52" i="38"/>
  <c r="AE52" i="38"/>
  <c r="AB52" i="38"/>
  <c r="AY52" i="38"/>
  <c r="W52" i="38"/>
  <c r="AX52" i="38"/>
  <c r="AQ52" i="38"/>
  <c r="O52" i="38"/>
  <c r="Z52" i="38"/>
  <c r="AI52" i="38"/>
  <c r="AR52" i="38"/>
  <c r="K53" i="38" a="1"/>
  <c r="K53" i="38" s="1"/>
  <c r="BE9" i="24" a="1"/>
  <c r="BE9" i="24" s="1"/>
  <c r="BE61" i="24"/>
  <c r="BE60" i="24"/>
  <c r="BE10" i="24" a="1"/>
  <c r="BE10" i="24" s="1"/>
  <c r="BE11" i="24" a="1"/>
  <c r="BE11" i="24" s="1"/>
  <c r="BE13" i="24" a="1"/>
  <c r="BE13" i="24" s="1"/>
  <c r="BE12" i="24" a="1"/>
  <c r="BE12" i="24" s="1"/>
  <c r="BE14" i="24" a="1"/>
  <c r="BE14" i="24" s="1"/>
  <c r="BE16" i="24" a="1"/>
  <c r="BE16" i="24" s="1"/>
  <c r="BE17" i="24" a="1"/>
  <c r="BE17" i="24" s="1"/>
  <c r="BE15" i="24" a="1"/>
  <c r="BE15" i="24" s="1"/>
  <c r="BF8" i="24" a="1"/>
  <c r="BF8" i="24" s="1"/>
  <c r="BE19" i="24" a="1"/>
  <c r="BE19" i="24" s="1"/>
  <c r="BE18" i="24" a="1"/>
  <c r="BE18" i="24" s="1"/>
  <c r="BE21" i="24" a="1"/>
  <c r="BE21" i="24" s="1"/>
  <c r="BE20" i="24" a="1"/>
  <c r="BE20" i="24" s="1"/>
  <c r="BE22" i="24" a="1"/>
  <c r="BE22" i="24" s="1"/>
  <c r="BE23" i="24" a="1"/>
  <c r="BE23" i="24" s="1"/>
  <c r="BE24" i="24" a="1"/>
  <c r="BE24" i="24" s="1"/>
  <c r="BE25" i="24" a="1"/>
  <c r="BE25" i="24" s="1"/>
  <c r="BE26" i="24" a="1"/>
  <c r="BE26" i="24" s="1"/>
  <c r="BE27" i="24" a="1"/>
  <c r="BE27" i="24" s="1"/>
  <c r="BE28" i="24" a="1"/>
  <c r="BE28" i="24" s="1"/>
  <c r="BE29" i="24" a="1"/>
  <c r="BE29" i="24" s="1"/>
  <c r="BE30" i="24" a="1"/>
  <c r="BE30" i="24" s="1"/>
  <c r="BE31" i="24" a="1"/>
  <c r="BE31" i="24" s="1"/>
  <c r="BE32" i="24" a="1"/>
  <c r="BE32" i="24" s="1"/>
  <c r="BE33" i="24" a="1"/>
  <c r="BE33" i="24" s="1"/>
  <c r="BE34" i="24" a="1"/>
  <c r="BE34" i="24" s="1"/>
  <c r="BE35" i="24" a="1"/>
  <c r="BE35" i="24" s="1"/>
  <c r="BE36" i="24" a="1"/>
  <c r="BE36" i="24" s="1"/>
  <c r="BE37" i="24" a="1"/>
  <c r="BE37" i="24" s="1"/>
  <c r="BE38" i="24" a="1"/>
  <c r="BE38" i="24" s="1"/>
  <c r="BE39" i="24" a="1"/>
  <c r="BE39" i="24" s="1"/>
  <c r="BE40" i="24" a="1"/>
  <c r="BE40" i="24" s="1"/>
  <c r="BE41" i="24" a="1"/>
  <c r="BE41" i="24" s="1"/>
  <c r="BE42" i="24" a="1"/>
  <c r="BE42" i="24" s="1"/>
  <c r="BE43" i="24" a="1"/>
  <c r="BE43" i="24" s="1"/>
  <c r="BE44" i="24" a="1"/>
  <c r="BE44" i="24" s="1"/>
  <c r="BE45" i="24" a="1"/>
  <c r="BE45" i="24" s="1"/>
  <c r="BE46" i="24" a="1"/>
  <c r="BE46" i="24" s="1"/>
  <c r="BE47" i="24" a="1"/>
  <c r="BE47" i="24" s="1"/>
  <c r="BE48" i="24" a="1"/>
  <c r="BE48" i="24" s="1"/>
  <c r="BE49" i="24" a="1"/>
  <c r="BE49" i="24" s="1"/>
  <c r="BE50" i="24" a="1"/>
  <c r="BE50" i="24" s="1"/>
  <c r="BE51" i="24" a="1"/>
  <c r="BE51" i="24" s="1"/>
  <c r="BE52" i="24" a="1"/>
  <c r="BE52" i="24" s="1"/>
  <c r="BE53" i="24" a="1"/>
  <c r="BE53" i="24" s="1"/>
  <c r="BB9" i="38"/>
  <c r="BB10" i="38"/>
  <c r="BB60" i="38"/>
  <c r="BB61" i="38"/>
  <c r="BB12" i="38"/>
  <c r="BB11" i="38"/>
  <c r="BB13" i="38"/>
  <c r="BB15" i="38"/>
  <c r="BB14" i="38"/>
  <c r="BB16" i="38"/>
  <c r="BB17" i="38"/>
  <c r="BC8" i="38" a="1"/>
  <c r="BC8" i="38" s="1"/>
  <c r="BB18" i="38"/>
  <c r="BB19" i="38"/>
  <c r="BB20" i="38"/>
  <c r="BB21" i="38"/>
  <c r="BB22" i="38"/>
  <c r="BB23" i="38"/>
  <c r="BB24" i="38"/>
  <c r="BB25" i="38"/>
  <c r="BB26" i="38"/>
  <c r="BB27" i="38"/>
  <c r="BB28" i="38"/>
  <c r="BB29" i="38"/>
  <c r="BB30" i="38"/>
  <c r="BB31" i="38"/>
  <c r="BB32" i="38"/>
  <c r="BB33" i="38"/>
  <c r="BB34" i="38"/>
  <c r="BB35" i="38"/>
  <c r="BB36" i="38"/>
  <c r="BB37" i="38"/>
  <c r="BB38" i="38"/>
  <c r="BB39" i="38"/>
  <c r="BB40" i="38"/>
  <c r="BB41" i="38"/>
  <c r="BB42" i="38"/>
  <c r="BB43" i="38"/>
  <c r="BB44" i="38"/>
  <c r="BB45" i="38"/>
  <c r="BB46" i="38"/>
  <c r="BB47" i="38"/>
  <c r="BB48" i="38"/>
  <c r="BB49" i="38"/>
  <c r="BB50" i="38"/>
  <c r="BD63" i="24"/>
  <c r="BD62" i="24"/>
  <c r="C40" i="39"/>
  <c r="A40" i="39" s="1"/>
  <c r="F390" i="22"/>
  <c r="P51" i="25" a="1"/>
  <c r="P51" i="25" s="1"/>
  <c r="S51" i="25" a="1"/>
  <c r="S51" i="25" s="1"/>
  <c r="O51" i="25" a="1"/>
  <c r="O51" i="25" s="1"/>
  <c r="T51" i="25" a="1"/>
  <c r="T51" i="25" s="1"/>
  <c r="U51" i="25" a="1"/>
  <c r="U51" i="25" s="1"/>
  <c r="V51" i="25" a="1"/>
  <c r="V51" i="25" s="1"/>
  <c r="W51" i="25" a="1"/>
  <c r="W51" i="25" s="1"/>
  <c r="R51" i="25" a="1"/>
  <c r="R51" i="25" s="1"/>
  <c r="Q51" i="25" a="1"/>
  <c r="Q51" i="25" s="1"/>
  <c r="X51" i="25" a="1"/>
  <c r="X51" i="25" s="1"/>
  <c r="Z51" i="25" a="1"/>
  <c r="Z51" i="25" s="1"/>
  <c r="AC51" i="25" a="1"/>
  <c r="AC51" i="25" s="1"/>
  <c r="Y51" i="25" a="1"/>
  <c r="Y51" i="25" s="1"/>
  <c r="AD51" i="25" a="1"/>
  <c r="AD51" i="25" s="1"/>
  <c r="AA51" i="25" a="1"/>
  <c r="AA51" i="25" s="1"/>
  <c r="AE51" i="25" a="1"/>
  <c r="AE51" i="25" s="1"/>
  <c r="AB51" i="25" a="1"/>
  <c r="AB51" i="25" s="1"/>
  <c r="AF51" i="25" a="1"/>
  <c r="AF51" i="25" s="1"/>
  <c r="AH51" i="25" a="1"/>
  <c r="AH51" i="25" s="1"/>
  <c r="AG51" i="25" a="1"/>
  <c r="AG51" i="25" s="1"/>
  <c r="AI51" i="25" a="1"/>
  <c r="AI51" i="25" s="1"/>
  <c r="AJ51" i="25" a="1"/>
  <c r="AJ51" i="25" s="1"/>
  <c r="AL51" i="25" a="1"/>
  <c r="AL51" i="25" s="1"/>
  <c r="AN51" i="25" a="1"/>
  <c r="AN51" i="25" s="1"/>
  <c r="AK51" i="25" a="1"/>
  <c r="AK51" i="25" s="1"/>
  <c r="AM51" i="25" a="1"/>
  <c r="AM51" i="25" s="1"/>
  <c r="AO51" i="25" a="1"/>
  <c r="AO51" i="25" s="1"/>
  <c r="AQ51" i="25" a="1"/>
  <c r="AQ51" i="25" s="1"/>
  <c r="AP51" i="25" a="1"/>
  <c r="AP51" i="25" s="1"/>
  <c r="AT51" i="25" a="1"/>
  <c r="AT51" i="25" s="1"/>
  <c r="AR51" i="25" a="1"/>
  <c r="AR51" i="25" s="1"/>
  <c r="AW51" i="25" a="1"/>
  <c r="AW51" i="25" s="1"/>
  <c r="AV51" i="25" a="1"/>
  <c r="AV51" i="25" s="1"/>
  <c r="AS51" i="25" a="1"/>
  <c r="AS51" i="25" s="1"/>
  <c r="AU51" i="25" a="1"/>
  <c r="AU51" i="25" s="1"/>
  <c r="AZ51" i="25" a="1"/>
  <c r="AZ51" i="25" s="1"/>
  <c r="AY51" i="25" a="1"/>
  <c r="AY51" i="25" s="1"/>
  <c r="BD51" i="25" a="1"/>
  <c r="BD51" i="25" s="1"/>
  <c r="BA51" i="25" a="1"/>
  <c r="BA51" i="25" s="1"/>
  <c r="AX51" i="25" a="1"/>
  <c r="AX51" i="25" s="1"/>
  <c r="BB51" i="25" a="1"/>
  <c r="BB51" i="25" s="1"/>
  <c r="BC51" i="25" a="1"/>
  <c r="BC51" i="25" s="1"/>
  <c r="BE51" i="25" a="1"/>
  <c r="BE51" i="25" s="1"/>
  <c r="BG51" i="25" a="1"/>
  <c r="BG51" i="25" s="1"/>
  <c r="BH51" i="25" a="1"/>
  <c r="BH51" i="25" s="1"/>
  <c r="BF51" i="25" a="1"/>
  <c r="BF51" i="25" s="1"/>
  <c r="N52" i="25" a="1"/>
  <c r="N52" i="25" s="1"/>
  <c r="BF61" i="26"/>
  <c r="BF9" i="26" a="1"/>
  <c r="BF9" i="26" s="1"/>
  <c r="BF60" i="26"/>
  <c r="BF10" i="26" a="1"/>
  <c r="BF10" i="26" s="1"/>
  <c r="BF12" i="26" a="1"/>
  <c r="BF12" i="26" s="1"/>
  <c r="BF13" i="26" a="1"/>
  <c r="BF13" i="26" s="1"/>
  <c r="BF11" i="26" a="1"/>
  <c r="BF11" i="26" s="1"/>
  <c r="BF15" i="26" a="1"/>
  <c r="BF15" i="26" s="1"/>
  <c r="BF14" i="26" a="1"/>
  <c r="BF14" i="26" s="1"/>
  <c r="BF16" i="26" a="1"/>
  <c r="BF16" i="26" s="1"/>
  <c r="BF17" i="26" a="1"/>
  <c r="BF17" i="26" s="1"/>
  <c r="BF19" i="26" a="1"/>
  <c r="BF19" i="26" s="1"/>
  <c r="BF18" i="26" a="1"/>
  <c r="BF18" i="26" s="1"/>
  <c r="BF20" i="26" a="1"/>
  <c r="BF20" i="26" s="1"/>
  <c r="BF21" i="26" a="1"/>
  <c r="BF21" i="26" s="1"/>
  <c r="BG8" i="26" a="1"/>
  <c r="BG8" i="26" s="1"/>
  <c r="BG55" i="26" s="1" a="1"/>
  <c r="BG55" i="26" s="1"/>
  <c r="BF22" i="26" a="1"/>
  <c r="BF22" i="26" s="1"/>
  <c r="BF23" i="26" a="1"/>
  <c r="BF23" i="26" s="1"/>
  <c r="BF24" i="26" a="1"/>
  <c r="BF24" i="26" s="1"/>
  <c r="BF25" i="26" a="1"/>
  <c r="BF25" i="26" s="1"/>
  <c r="BF26" i="26" a="1"/>
  <c r="BF26" i="26" s="1"/>
  <c r="BF27" i="26" a="1"/>
  <c r="BF27" i="26" s="1"/>
  <c r="BF28" i="26" a="1"/>
  <c r="BF28" i="26" s="1"/>
  <c r="BF29" i="26" a="1"/>
  <c r="BF29" i="26" s="1"/>
  <c r="BF30" i="26" a="1"/>
  <c r="BF30" i="26" s="1"/>
  <c r="BF31" i="26" a="1"/>
  <c r="BF31" i="26" s="1"/>
  <c r="BF32" i="26" a="1"/>
  <c r="BF32" i="26" s="1"/>
  <c r="BF33" i="26" a="1"/>
  <c r="BF33" i="26" s="1"/>
  <c r="BF34" i="26" a="1"/>
  <c r="BF34" i="26" s="1"/>
  <c r="BF35" i="26" a="1"/>
  <c r="BF35" i="26" s="1"/>
  <c r="BF36" i="26" a="1"/>
  <c r="BF36" i="26" s="1"/>
  <c r="BF37" i="26" a="1"/>
  <c r="BF37" i="26" s="1"/>
  <c r="BF38" i="26" a="1"/>
  <c r="BF38" i="26" s="1"/>
  <c r="BF39" i="26" a="1"/>
  <c r="BF39" i="26" s="1"/>
  <c r="BF40" i="26" a="1"/>
  <c r="BF40" i="26" s="1"/>
  <c r="BF41" i="26" a="1"/>
  <c r="BF41" i="26" s="1"/>
  <c r="BF42" i="26" a="1"/>
  <c r="BF42" i="26" s="1"/>
  <c r="BF43" i="26" a="1"/>
  <c r="BF43" i="26" s="1"/>
  <c r="BF44" i="26" a="1"/>
  <c r="BF44" i="26" s="1"/>
  <c r="BF45" i="26" a="1"/>
  <c r="BF45" i="26" s="1"/>
  <c r="BF46" i="26" a="1"/>
  <c r="BF46" i="26" s="1"/>
  <c r="BF47" i="26" a="1"/>
  <c r="BF47" i="26" s="1"/>
  <c r="BF48" i="26" a="1"/>
  <c r="BF48" i="26" s="1"/>
  <c r="BF49" i="26" a="1"/>
  <c r="BF49" i="26" s="1"/>
  <c r="BF50" i="26" a="1"/>
  <c r="BF50" i="26" s="1"/>
  <c r="BF51" i="26" a="1"/>
  <c r="BF51" i="26" s="1"/>
  <c r="BF52" i="26" a="1"/>
  <c r="BF52" i="26" s="1"/>
  <c r="BF53" i="26" a="1"/>
  <c r="BF53" i="26" s="1"/>
  <c r="AQ55" i="26" a="1"/>
  <c r="AQ55" i="26" s="1"/>
  <c r="AP55" i="26" a="1"/>
  <c r="AP55" i="26" s="1"/>
  <c r="AO55" i="26" a="1"/>
  <c r="AO55" i="26" s="1"/>
  <c r="AN55" i="26" a="1"/>
  <c r="AN55" i="26" s="1"/>
  <c r="AT55" i="26" a="1"/>
  <c r="AT55" i="26" s="1"/>
  <c r="AM55" i="26" a="1"/>
  <c r="AM55" i="26" s="1"/>
  <c r="AL55" i="26" a="1"/>
  <c r="AL55" i="26" s="1"/>
  <c r="N55" i="26" a="1"/>
  <c r="N55" i="26" s="1"/>
  <c r="BB55" i="26" a="1"/>
  <c r="BB55" i="26" s="1"/>
  <c r="W55" i="26" a="1"/>
  <c r="W55" i="26" s="1"/>
  <c r="AX55" i="26" a="1"/>
  <c r="AX55" i="26" s="1"/>
  <c r="M55" i="26" a="1"/>
  <c r="M55" i="26" s="1"/>
  <c r="S55" i="26" a="1"/>
  <c r="S55" i="26" s="1"/>
  <c r="AY55" i="26" a="1"/>
  <c r="AY55" i="26" s="1"/>
  <c r="AI55" i="26" a="1"/>
  <c r="AI55" i="26" s="1"/>
  <c r="Q55" i="26" a="1"/>
  <c r="Q55" i="26" s="1"/>
  <c r="Z55" i="26" a="1"/>
  <c r="Z55" i="26" s="1"/>
  <c r="AV55" i="26" a="1"/>
  <c r="AV55" i="26" s="1"/>
  <c r="AC55" i="26" a="1"/>
  <c r="AC55" i="26" s="1"/>
  <c r="AS55" i="26" a="1"/>
  <c r="AS55" i="26" s="1"/>
  <c r="T55" i="26" a="1"/>
  <c r="T55" i="26" s="1"/>
  <c r="BC55" i="26" a="1"/>
  <c r="BC55" i="26" s="1"/>
  <c r="BF55" i="26" a="1"/>
  <c r="BF55" i="26" s="1"/>
  <c r="AJ55" i="26" a="1"/>
  <c r="AJ55" i="26" s="1"/>
  <c r="R55" i="26" a="1"/>
  <c r="R55" i="26" s="1"/>
  <c r="AG55" i="26" a="1"/>
  <c r="AG55" i="26" s="1"/>
  <c r="AR55" i="26" a="1"/>
  <c r="AR55" i="26" s="1"/>
  <c r="AW55" i="26" a="1"/>
  <c r="AW55" i="26" s="1"/>
  <c r="AD55" i="26" a="1"/>
  <c r="AD55" i="26" s="1"/>
  <c r="AZ55" i="26" a="1"/>
  <c r="AZ55" i="26" s="1"/>
  <c r="AA55" i="26" a="1"/>
  <c r="AA55" i="26" s="1"/>
  <c r="BA55" i="26" a="1"/>
  <c r="BA55" i="26" s="1"/>
  <c r="AF55" i="26" a="1"/>
  <c r="AF55" i="26" s="1"/>
  <c r="AK55" i="26" a="1"/>
  <c r="AK55" i="26" s="1"/>
  <c r="X55" i="26" a="1"/>
  <c r="X55" i="26" s="1"/>
  <c r="AH55" i="26" a="1"/>
  <c r="AH55" i="26" s="1"/>
  <c r="V55" i="26" a="1"/>
  <c r="V55" i="26" s="1"/>
  <c r="AE55" i="26" a="1"/>
  <c r="AE55" i="26" s="1"/>
  <c r="AU55" i="26" a="1"/>
  <c r="AU55" i="26" s="1"/>
  <c r="P55" i="26" a="1"/>
  <c r="P55" i="26" s="1"/>
  <c r="U55" i="26" a="1"/>
  <c r="U55" i="26" s="1"/>
  <c r="O55" i="26" a="1"/>
  <c r="O55" i="26" s="1"/>
  <c r="Y55" i="26" a="1"/>
  <c r="Y55" i="26" s="1"/>
  <c r="AB55" i="26" a="1"/>
  <c r="AB55" i="26" s="1"/>
  <c r="BE55" i="26" a="1"/>
  <c r="BE55" i="26" s="1"/>
  <c r="BD55" i="26" a="1"/>
  <c r="BD55" i="26" s="1"/>
  <c r="L56" i="26" a="1"/>
  <c r="L56" i="26" s="1"/>
  <c r="BB51" i="38"/>
  <c r="BI28" i="25" l="1" a="1"/>
  <c r="BI28" i="25" s="1"/>
  <c r="BI41" i="25" a="1"/>
  <c r="BI41" i="25" s="1"/>
  <c r="BI23" i="25" a="1"/>
  <c r="BI23" i="25" s="1"/>
  <c r="BI49" i="25" a="1"/>
  <c r="BI49" i="25" s="1"/>
  <c r="BI40" i="25" a="1"/>
  <c r="BI40" i="25" s="1"/>
  <c r="BI31" i="25" a="1"/>
  <c r="BI31" i="25" s="1"/>
  <c r="BI22" i="25" a="1"/>
  <c r="BI22" i="25" s="1"/>
  <c r="BI14" i="25" a="1"/>
  <c r="BI14" i="25" s="1"/>
  <c r="BI37" i="25" a="1"/>
  <c r="BI37" i="25" s="1"/>
  <c r="BI50" i="25" a="1"/>
  <c r="BI50" i="25" s="1"/>
  <c r="BI32" i="25" a="1"/>
  <c r="BI32" i="25" s="1"/>
  <c r="BI15" i="25" a="1"/>
  <c r="BI15" i="25" s="1"/>
  <c r="BI51" i="25" a="1"/>
  <c r="BI51" i="25" s="1"/>
  <c r="BI47" i="25" a="1"/>
  <c r="BI47" i="25" s="1"/>
  <c r="BI38" i="25" a="1"/>
  <c r="BI38" i="25" s="1"/>
  <c r="BI29" i="25" a="1"/>
  <c r="BI29" i="25" s="1"/>
  <c r="BI20" i="25" a="1"/>
  <c r="BI20" i="25" s="1"/>
  <c r="BI12" i="25" a="1"/>
  <c r="BI12" i="25" s="1"/>
  <c r="BJ8" i="25" a="1"/>
  <c r="BJ8" i="25" s="1"/>
  <c r="BJ51" i="25" s="1" a="1"/>
  <c r="BJ51" i="25" s="1"/>
  <c r="BI11" i="25" a="1"/>
  <c r="BI11" i="25" s="1"/>
  <c r="BI46" i="25" a="1"/>
  <c r="BI46" i="25" s="1"/>
  <c r="BI44" i="25" a="1"/>
  <c r="BI44" i="25" s="1"/>
  <c r="BI35" i="25" a="1"/>
  <c r="BI35" i="25" s="1"/>
  <c r="BI26" i="25" a="1"/>
  <c r="BI26" i="25" s="1"/>
  <c r="BI17" i="25" a="1"/>
  <c r="BI17" i="25" s="1"/>
  <c r="BI61" i="25"/>
  <c r="BI43" i="25" a="1"/>
  <c r="BI43" i="25" s="1"/>
  <c r="BI34" i="25" a="1"/>
  <c r="BI34" i="25" s="1"/>
  <c r="BI25" i="25" a="1"/>
  <c r="BI25" i="25" s="1"/>
  <c r="BI18" i="25" a="1"/>
  <c r="BI18" i="25" s="1"/>
  <c r="BI60" i="25"/>
  <c r="BI45" i="25" a="1"/>
  <c r="BI45" i="25" s="1"/>
  <c r="BI39" i="25" a="1"/>
  <c r="BI39" i="25" s="1"/>
  <c r="BI33" i="25" a="1"/>
  <c r="BI33" i="25" s="1"/>
  <c r="BI27" i="25" a="1"/>
  <c r="BI27" i="25" s="1"/>
  <c r="BI21" i="25" a="1"/>
  <c r="BI21" i="25" s="1"/>
  <c r="BI16" i="25" a="1"/>
  <c r="BI16" i="25" s="1"/>
  <c r="BI10" i="25" a="1"/>
  <c r="BI10" i="25" s="1"/>
  <c r="BI48" i="25" a="1"/>
  <c r="BI48" i="25" s="1"/>
  <c r="BI42" i="25" a="1"/>
  <c r="BI42" i="25" s="1"/>
  <c r="BI36" i="25" a="1"/>
  <c r="BI36" i="25" s="1"/>
  <c r="BI30" i="25" a="1"/>
  <c r="BI30" i="25" s="1"/>
  <c r="BI24" i="25" a="1"/>
  <c r="BI24" i="25" s="1"/>
  <c r="BI19" i="25" a="1"/>
  <c r="BI19" i="25" s="1"/>
  <c r="BI13" i="25" a="1"/>
  <c r="BI13" i="25" s="1"/>
  <c r="L55" i="24" a="1"/>
  <c r="L55" i="24" s="1"/>
  <c r="N55" i="24" s="1" a="1"/>
  <c r="N55" i="24" s="1"/>
  <c r="BA54" i="24" a="1"/>
  <c r="BA54" i="24" s="1"/>
  <c r="P54" i="24" a="1"/>
  <c r="P54" i="24" s="1"/>
  <c r="BD54" i="24" a="1"/>
  <c r="BD54" i="24" s="1"/>
  <c r="AZ54" i="24" a="1"/>
  <c r="AZ54" i="24" s="1"/>
  <c r="BC54" i="24" a="1"/>
  <c r="BC54" i="24" s="1"/>
  <c r="AH54" i="24" a="1"/>
  <c r="AH54" i="24" s="1"/>
  <c r="AF54" i="24" a="1"/>
  <c r="AF54" i="24" s="1"/>
  <c r="AB54" i="24" a="1"/>
  <c r="AB54" i="24" s="1"/>
  <c r="X54" i="24" a="1"/>
  <c r="X54" i="24" s="1"/>
  <c r="AC54" i="24" a="1"/>
  <c r="AC54" i="24" s="1"/>
  <c r="R54" i="24" a="1"/>
  <c r="R54" i="24" s="1"/>
  <c r="AS54" i="24" a="1"/>
  <c r="AS54" i="24" s="1"/>
  <c r="BE54" i="24" a="1"/>
  <c r="BE54" i="24" s="1"/>
  <c r="AL54" i="24" a="1"/>
  <c r="AL54" i="24" s="1"/>
  <c r="AR54" i="24" a="1"/>
  <c r="AR54" i="24" s="1"/>
  <c r="BB54" i="24" a="1"/>
  <c r="BB54" i="24" s="1"/>
  <c r="W54" i="24" a="1"/>
  <c r="W54" i="24" s="1"/>
  <c r="AA54" i="24" a="1"/>
  <c r="AA54" i="24" s="1"/>
  <c r="V54" i="24" a="1"/>
  <c r="V54" i="24" s="1"/>
  <c r="U54" i="24" a="1"/>
  <c r="U54" i="24" s="1"/>
  <c r="BF54" i="24" a="1"/>
  <c r="BF54" i="24" s="1"/>
  <c r="AM54" i="24" a="1"/>
  <c r="AM54" i="24" s="1"/>
  <c r="AP54" i="24" a="1"/>
  <c r="AP54" i="24" s="1"/>
  <c r="AO54" i="24" a="1"/>
  <c r="AO54" i="24" s="1"/>
  <c r="AG54" i="24" a="1"/>
  <c r="AG54" i="24" s="1"/>
  <c r="N54" i="24" a="1"/>
  <c r="N54" i="24" s="1"/>
  <c r="AT54" i="24" a="1"/>
  <c r="AT54" i="24" s="1"/>
  <c r="AU54" i="24" a="1"/>
  <c r="AU54" i="24" s="1"/>
  <c r="AE54" i="24" a="1"/>
  <c r="AE54" i="24" s="1"/>
  <c r="AW54" i="24" a="1"/>
  <c r="AW54" i="24" s="1"/>
  <c r="Q54" i="24" a="1"/>
  <c r="Q54" i="24" s="1"/>
  <c r="Y54" i="24" a="1"/>
  <c r="Y54" i="24" s="1"/>
  <c r="O54" i="24" a="1"/>
  <c r="O54" i="24" s="1"/>
  <c r="AX54" i="24" a="1"/>
  <c r="AX54" i="24" s="1"/>
  <c r="AK54" i="24" a="1"/>
  <c r="AK54" i="24" s="1"/>
  <c r="Z54" i="24" a="1"/>
  <c r="Z54" i="24" s="1"/>
  <c r="AY54" i="24" a="1"/>
  <c r="AY54" i="24" s="1"/>
  <c r="AQ54" i="24" a="1"/>
  <c r="AQ54" i="24" s="1"/>
  <c r="M54" i="24" a="1"/>
  <c r="M54" i="24" s="1"/>
  <c r="AI54" i="24" a="1"/>
  <c r="AI54" i="24" s="1"/>
  <c r="AJ54" i="24" a="1"/>
  <c r="AJ54" i="24" s="1"/>
  <c r="AV54" i="24" a="1"/>
  <c r="AV54" i="24" s="1"/>
  <c r="AD54" i="24" a="1"/>
  <c r="AD54" i="24" s="1"/>
  <c r="AN54" i="24" a="1"/>
  <c r="AN54" i="24" s="1"/>
  <c r="S54" i="24" a="1"/>
  <c r="S54" i="24" s="1"/>
  <c r="C41" i="39"/>
  <c r="A41" i="39" s="1"/>
  <c r="F391" i="22"/>
  <c r="BE62" i="24"/>
  <c r="BE63" i="24"/>
  <c r="BC9" i="38"/>
  <c r="BC10" i="38"/>
  <c r="BC61" i="38"/>
  <c r="BC60" i="38"/>
  <c r="BC12" i="38"/>
  <c r="BC11" i="38"/>
  <c r="BC13" i="38"/>
  <c r="BC15" i="38"/>
  <c r="BC14" i="38"/>
  <c r="BC16" i="38"/>
  <c r="BC17" i="38"/>
  <c r="BC18" i="38"/>
  <c r="BC19" i="38"/>
  <c r="BD8" i="38" a="1"/>
  <c r="BD8" i="38" s="1"/>
  <c r="BC20" i="38"/>
  <c r="BC21" i="38"/>
  <c r="BC22" i="38"/>
  <c r="BC23" i="38"/>
  <c r="BC24" i="38"/>
  <c r="BC25" i="38"/>
  <c r="BC26" i="38"/>
  <c r="BC27" i="38"/>
  <c r="BC28" i="38"/>
  <c r="BC29" i="38"/>
  <c r="BC30" i="38"/>
  <c r="BC31" i="38"/>
  <c r="BC32" i="38"/>
  <c r="BC33" i="38"/>
  <c r="BC34" i="38"/>
  <c r="BC35" i="38"/>
  <c r="BC36" i="38"/>
  <c r="BC37" i="38"/>
  <c r="BC38" i="38"/>
  <c r="BC39" i="38"/>
  <c r="BC40" i="38"/>
  <c r="BC41" i="38"/>
  <c r="BC42" i="38"/>
  <c r="BC43" i="38"/>
  <c r="BC44" i="38"/>
  <c r="BC45" i="38"/>
  <c r="BC46" i="38"/>
  <c r="BC47" i="38"/>
  <c r="BC48" i="38"/>
  <c r="BC49" i="38"/>
  <c r="BC50" i="38"/>
  <c r="BC51" i="38"/>
  <c r="BF61" i="24"/>
  <c r="BF9" i="24" a="1"/>
  <c r="BF9" i="24" s="1"/>
  <c r="BF60" i="24"/>
  <c r="BF10" i="24" a="1"/>
  <c r="BF10" i="24" s="1"/>
  <c r="BF11" i="24" a="1"/>
  <c r="BF11" i="24" s="1"/>
  <c r="BF13" i="24" a="1"/>
  <c r="BF13" i="24" s="1"/>
  <c r="BF12" i="24" a="1"/>
  <c r="BF12" i="24" s="1"/>
  <c r="BF14" i="24" a="1"/>
  <c r="BF14" i="24" s="1"/>
  <c r="BF15" i="24" a="1"/>
  <c r="BF15" i="24" s="1"/>
  <c r="BF17" i="24" a="1"/>
  <c r="BF17" i="24" s="1"/>
  <c r="BF16" i="24" a="1"/>
  <c r="BF16" i="24" s="1"/>
  <c r="BG8" i="24" a="1"/>
  <c r="BG8" i="24" s="1"/>
  <c r="BF18" i="24" a="1"/>
  <c r="BF18" i="24" s="1"/>
  <c r="BF19" i="24" a="1"/>
  <c r="BF19" i="24" s="1"/>
  <c r="BF21" i="24" a="1"/>
  <c r="BF21" i="24" s="1"/>
  <c r="BF20" i="24" a="1"/>
  <c r="BF20" i="24" s="1"/>
  <c r="BF22" i="24" a="1"/>
  <c r="BF22" i="24" s="1"/>
  <c r="BF23" i="24" a="1"/>
  <c r="BF23" i="24" s="1"/>
  <c r="BF24" i="24" a="1"/>
  <c r="BF24" i="24" s="1"/>
  <c r="BF25" i="24" a="1"/>
  <c r="BF25" i="24" s="1"/>
  <c r="BF26" i="24" a="1"/>
  <c r="BF26" i="24" s="1"/>
  <c r="BF27" i="24" a="1"/>
  <c r="BF27" i="24" s="1"/>
  <c r="BF28" i="24" a="1"/>
  <c r="BF28" i="24" s="1"/>
  <c r="BF29" i="24" a="1"/>
  <c r="BF29" i="24" s="1"/>
  <c r="BF30" i="24" a="1"/>
  <c r="BF30" i="24" s="1"/>
  <c r="BF31" i="24" a="1"/>
  <c r="BF31" i="24" s="1"/>
  <c r="BF32" i="24" a="1"/>
  <c r="BF32" i="24" s="1"/>
  <c r="BF33" i="24" a="1"/>
  <c r="BF33" i="24" s="1"/>
  <c r="BF34" i="24" a="1"/>
  <c r="BF34" i="24" s="1"/>
  <c r="BF35" i="24" a="1"/>
  <c r="BF35" i="24" s="1"/>
  <c r="BF36" i="24" a="1"/>
  <c r="BF36" i="24" s="1"/>
  <c r="BF37" i="24" a="1"/>
  <c r="BF37" i="24" s="1"/>
  <c r="BF38" i="24" a="1"/>
  <c r="BF38" i="24" s="1"/>
  <c r="BF39" i="24" a="1"/>
  <c r="BF39" i="24" s="1"/>
  <c r="BF40" i="24" a="1"/>
  <c r="BF40" i="24" s="1"/>
  <c r="BF41" i="24" a="1"/>
  <c r="BF41" i="24" s="1"/>
  <c r="BF42" i="24" a="1"/>
  <c r="BF42" i="24" s="1"/>
  <c r="BF43" i="24" a="1"/>
  <c r="BF43" i="24" s="1"/>
  <c r="BF44" i="24" a="1"/>
  <c r="BF44" i="24" s="1"/>
  <c r="BF45" i="24" a="1"/>
  <c r="BF45" i="24" s="1"/>
  <c r="BF46" i="24" a="1"/>
  <c r="BF46" i="24" s="1"/>
  <c r="BF47" i="24" a="1"/>
  <c r="BF47" i="24" s="1"/>
  <c r="BF48" i="24" a="1"/>
  <c r="BF48" i="24" s="1"/>
  <c r="BF49" i="24" a="1"/>
  <c r="BF49" i="24" s="1"/>
  <c r="BF50" i="24" a="1"/>
  <c r="BF50" i="24" s="1"/>
  <c r="BF51" i="24" a="1"/>
  <c r="BF51" i="24" s="1"/>
  <c r="BF52" i="24" a="1"/>
  <c r="BF52" i="24" s="1"/>
  <c r="BF53" i="24" a="1"/>
  <c r="BF53" i="24" s="1"/>
  <c r="AE53" i="38"/>
  <c r="AA53" i="38"/>
  <c r="AH53" i="38"/>
  <c r="N53" i="38"/>
  <c r="W53" i="38"/>
  <c r="S53" i="38"/>
  <c r="AL53" i="38"/>
  <c r="O53" i="38"/>
  <c r="AZ53" i="38"/>
  <c r="AD53" i="38"/>
  <c r="BA53" i="38"/>
  <c r="AJ53" i="38"/>
  <c r="BB53" i="38"/>
  <c r="AW53" i="38"/>
  <c r="AS53" i="38"/>
  <c r="T53" i="38"/>
  <c r="Z53" i="38"/>
  <c r="AO53" i="38"/>
  <c r="AK53" i="38"/>
  <c r="AV53" i="38"/>
  <c r="AX53" i="38"/>
  <c r="AG53" i="38"/>
  <c r="AC53" i="38"/>
  <c r="AF53" i="38"/>
  <c r="X53" i="38"/>
  <c r="Y53" i="38"/>
  <c r="U53" i="38"/>
  <c r="P53" i="38"/>
  <c r="AT53" i="38"/>
  <c r="Q53" i="38"/>
  <c r="M53" i="38"/>
  <c r="AR53" i="38"/>
  <c r="V53" i="38"/>
  <c r="BC53" i="38"/>
  <c r="AY53" i="38"/>
  <c r="AB53" i="38"/>
  <c r="AP53" i="38"/>
  <c r="AU53" i="38"/>
  <c r="AQ53" i="38"/>
  <c r="L53" i="38"/>
  <c r="R53" i="38"/>
  <c r="AM53" i="38"/>
  <c r="AI53" i="38"/>
  <c r="AN53" i="38"/>
  <c r="K54" i="38" a="1"/>
  <c r="K54" i="38" s="1"/>
  <c r="R52" i="25" a="1"/>
  <c r="R52" i="25" s="1"/>
  <c r="T52" i="25" a="1"/>
  <c r="T52" i="25" s="1"/>
  <c r="O52" i="25" a="1"/>
  <c r="O52" i="25" s="1"/>
  <c r="P52" i="25" a="1"/>
  <c r="P52" i="25" s="1"/>
  <c r="S52" i="25" a="1"/>
  <c r="S52" i="25" s="1"/>
  <c r="U52" i="25" a="1"/>
  <c r="U52" i="25" s="1"/>
  <c r="V52" i="25" a="1"/>
  <c r="V52" i="25" s="1"/>
  <c r="W52" i="25" a="1"/>
  <c r="W52" i="25" s="1"/>
  <c r="Q52" i="25" a="1"/>
  <c r="Q52" i="25" s="1"/>
  <c r="X52" i="25" a="1"/>
  <c r="X52" i="25" s="1"/>
  <c r="Z52" i="25" a="1"/>
  <c r="Z52" i="25" s="1"/>
  <c r="Y52" i="25" a="1"/>
  <c r="Y52" i="25" s="1"/>
  <c r="AB52" i="25" a="1"/>
  <c r="AB52" i="25" s="1"/>
  <c r="AC52" i="25" a="1"/>
  <c r="AC52" i="25" s="1"/>
  <c r="AD52" i="25" a="1"/>
  <c r="AD52" i="25" s="1"/>
  <c r="AA52" i="25" a="1"/>
  <c r="AA52" i="25" s="1"/>
  <c r="AF52" i="25" a="1"/>
  <c r="AF52" i="25" s="1"/>
  <c r="AE52" i="25" a="1"/>
  <c r="AE52" i="25" s="1"/>
  <c r="AH52" i="25" a="1"/>
  <c r="AH52" i="25" s="1"/>
  <c r="AI52" i="25" a="1"/>
  <c r="AI52" i="25" s="1"/>
  <c r="AG52" i="25" a="1"/>
  <c r="AG52" i="25" s="1"/>
  <c r="AK52" i="25" a="1"/>
  <c r="AK52" i="25" s="1"/>
  <c r="AJ52" i="25" a="1"/>
  <c r="AJ52" i="25" s="1"/>
  <c r="AL52" i="25" a="1"/>
  <c r="AL52" i="25" s="1"/>
  <c r="AN52" i="25" a="1"/>
  <c r="AN52" i="25" s="1"/>
  <c r="AM52" i="25" a="1"/>
  <c r="AM52" i="25" s="1"/>
  <c r="AO52" i="25" a="1"/>
  <c r="AO52" i="25" s="1"/>
  <c r="AP52" i="25" a="1"/>
  <c r="AP52" i="25" s="1"/>
  <c r="AQ52" i="25" a="1"/>
  <c r="AQ52" i="25" s="1"/>
  <c r="AU52" i="25" a="1"/>
  <c r="AU52" i="25" s="1"/>
  <c r="AR52" i="25" a="1"/>
  <c r="AR52" i="25" s="1"/>
  <c r="AS52" i="25" a="1"/>
  <c r="AS52" i="25" s="1"/>
  <c r="AV52" i="25" a="1"/>
  <c r="AV52" i="25" s="1"/>
  <c r="AW52" i="25" a="1"/>
  <c r="AW52" i="25" s="1"/>
  <c r="AY52" i="25" a="1"/>
  <c r="AY52" i="25" s="1"/>
  <c r="AZ52" i="25" a="1"/>
  <c r="AZ52" i="25" s="1"/>
  <c r="AT52" i="25" a="1"/>
  <c r="AT52" i="25" s="1"/>
  <c r="AX52" i="25" a="1"/>
  <c r="AX52" i="25" s="1"/>
  <c r="BA52" i="25" a="1"/>
  <c r="BA52" i="25" s="1"/>
  <c r="BD52" i="25" a="1"/>
  <c r="BD52" i="25" s="1"/>
  <c r="BE52" i="25" a="1"/>
  <c r="BE52" i="25" s="1"/>
  <c r="BB52" i="25" a="1"/>
  <c r="BB52" i="25" s="1"/>
  <c r="BH52" i="25" a="1"/>
  <c r="BH52" i="25" s="1"/>
  <c r="BC52" i="25" a="1"/>
  <c r="BC52" i="25" s="1"/>
  <c r="BF52" i="25" a="1"/>
  <c r="BF52" i="25" s="1"/>
  <c r="BG52" i="25" a="1"/>
  <c r="BG52" i="25" s="1"/>
  <c r="BI52" i="25" a="1"/>
  <c r="BI52" i="25" s="1"/>
  <c r="N53" i="25" a="1"/>
  <c r="N53" i="25" s="1"/>
  <c r="BG60" i="26"/>
  <c r="BG61" i="26"/>
  <c r="BG9" i="26" a="1"/>
  <c r="BG9" i="26" s="1"/>
  <c r="BG10" i="26" a="1"/>
  <c r="BG10" i="26" s="1"/>
  <c r="BG13" i="26" a="1"/>
  <c r="BG13" i="26" s="1"/>
  <c r="BG11" i="26" a="1"/>
  <c r="BG11" i="26" s="1"/>
  <c r="BG12" i="26" a="1"/>
  <c r="BG12" i="26" s="1"/>
  <c r="BG14" i="26" a="1"/>
  <c r="BG14" i="26" s="1"/>
  <c r="BG15" i="26" a="1"/>
  <c r="BG15" i="26" s="1"/>
  <c r="BG16" i="26" a="1"/>
  <c r="BG16" i="26" s="1"/>
  <c r="BG17" i="26" a="1"/>
  <c r="BG17" i="26" s="1"/>
  <c r="BG18" i="26" a="1"/>
  <c r="BG18" i="26" s="1"/>
  <c r="BH8" i="26" a="1"/>
  <c r="BH8" i="26" s="1"/>
  <c r="BG19" i="26" a="1"/>
  <c r="BG19" i="26" s="1"/>
  <c r="BG20" i="26" a="1"/>
  <c r="BG20" i="26" s="1"/>
  <c r="BG21" i="26" a="1"/>
  <c r="BG21" i="26" s="1"/>
  <c r="BG22" i="26" a="1"/>
  <c r="BG22" i="26" s="1"/>
  <c r="BG23" i="26" a="1"/>
  <c r="BG23" i="26" s="1"/>
  <c r="BG24" i="26" a="1"/>
  <c r="BG24" i="26" s="1"/>
  <c r="BG25" i="26" a="1"/>
  <c r="BG25" i="26" s="1"/>
  <c r="BG26" i="26" a="1"/>
  <c r="BG26" i="26" s="1"/>
  <c r="BG27" i="26" a="1"/>
  <c r="BG27" i="26" s="1"/>
  <c r="BG28" i="26" a="1"/>
  <c r="BG28" i="26" s="1"/>
  <c r="BG29" i="26" a="1"/>
  <c r="BG29" i="26" s="1"/>
  <c r="BG30" i="26" a="1"/>
  <c r="BG30" i="26" s="1"/>
  <c r="BG31" i="26" a="1"/>
  <c r="BG31" i="26" s="1"/>
  <c r="BG32" i="26" a="1"/>
  <c r="BG32" i="26" s="1"/>
  <c r="BG33" i="26" a="1"/>
  <c r="BG33" i="26" s="1"/>
  <c r="BG34" i="26" a="1"/>
  <c r="BG34" i="26" s="1"/>
  <c r="BG35" i="26" a="1"/>
  <c r="BG35" i="26" s="1"/>
  <c r="BG36" i="26" a="1"/>
  <c r="BG36" i="26" s="1"/>
  <c r="BG37" i="26" a="1"/>
  <c r="BG37" i="26" s="1"/>
  <c r="BG38" i="26" a="1"/>
  <c r="BG38" i="26" s="1"/>
  <c r="BG39" i="26" a="1"/>
  <c r="BG39" i="26" s="1"/>
  <c r="BG40" i="26" a="1"/>
  <c r="BG40" i="26" s="1"/>
  <c r="BG41" i="26" a="1"/>
  <c r="BG41" i="26" s="1"/>
  <c r="BG42" i="26" a="1"/>
  <c r="BG42" i="26" s="1"/>
  <c r="BG43" i="26" a="1"/>
  <c r="BG43" i="26" s="1"/>
  <c r="BG44" i="26" a="1"/>
  <c r="BG44" i="26" s="1"/>
  <c r="BG45" i="26" a="1"/>
  <c r="BG45" i="26" s="1"/>
  <c r="BG46" i="26" a="1"/>
  <c r="BG46" i="26" s="1"/>
  <c r="BG47" i="26" a="1"/>
  <c r="BG47" i="26" s="1"/>
  <c r="BG48" i="26" a="1"/>
  <c r="BG48" i="26" s="1"/>
  <c r="BG49" i="26" a="1"/>
  <c r="BG49" i="26" s="1"/>
  <c r="BG50" i="26" a="1"/>
  <c r="BG50" i="26" s="1"/>
  <c r="BG51" i="26" a="1"/>
  <c r="BG51" i="26" s="1"/>
  <c r="BG52" i="26" a="1"/>
  <c r="BG52" i="26" s="1"/>
  <c r="BG53" i="26" a="1"/>
  <c r="BG53" i="26" s="1"/>
  <c r="BG54" i="26" a="1"/>
  <c r="BG54" i="26" s="1"/>
  <c r="BC52" i="38"/>
  <c r="AE56" i="26" a="1"/>
  <c r="AE56" i="26" s="1"/>
  <c r="W56" i="26" a="1"/>
  <c r="W56" i="26" s="1"/>
  <c r="Q56" i="26" a="1"/>
  <c r="Q56" i="26" s="1"/>
  <c r="AB56" i="26" a="1"/>
  <c r="AB56" i="26" s="1"/>
  <c r="AH56" i="26" a="1"/>
  <c r="AH56" i="26" s="1"/>
  <c r="U56" i="26" a="1"/>
  <c r="U56" i="26" s="1"/>
  <c r="AF56" i="26" a="1"/>
  <c r="AF56" i="26" s="1"/>
  <c r="T56" i="26" a="1"/>
  <c r="T56" i="26" s="1"/>
  <c r="X56" i="26" a="1"/>
  <c r="X56" i="26" s="1"/>
  <c r="V56" i="26" a="1"/>
  <c r="V56" i="26" s="1"/>
  <c r="AA56" i="26" a="1"/>
  <c r="AA56" i="26" s="1"/>
  <c r="N56" i="26" a="1"/>
  <c r="N56" i="26" s="1"/>
  <c r="Y56" i="26" a="1"/>
  <c r="Y56" i="26" s="1"/>
  <c r="BF56" i="26" a="1"/>
  <c r="BF56" i="26" s="1"/>
  <c r="R56" i="26" a="1"/>
  <c r="R56" i="26" s="1"/>
  <c r="AW56" i="26" a="1"/>
  <c r="AW56" i="26" s="1"/>
  <c r="BB56" i="26" a="1"/>
  <c r="BB56" i="26" s="1"/>
  <c r="P56" i="26" a="1"/>
  <c r="P56" i="26" s="1"/>
  <c r="O56" i="26" a="1"/>
  <c r="O56" i="26" s="1"/>
  <c r="BE56" i="26" a="1"/>
  <c r="BE56" i="26" s="1"/>
  <c r="S56" i="26" a="1"/>
  <c r="S56" i="26" s="1"/>
  <c r="AZ56" i="26" a="1"/>
  <c r="AZ56" i="26" s="1"/>
  <c r="BD56" i="26" a="1"/>
  <c r="BD56" i="26" s="1"/>
  <c r="BC56" i="26" a="1"/>
  <c r="BC56" i="26" s="1"/>
  <c r="AP56" i="26" a="1"/>
  <c r="AP56" i="26" s="1"/>
  <c r="AV56" i="26" a="1"/>
  <c r="AV56" i="26" s="1"/>
  <c r="BG56" i="26" a="1"/>
  <c r="BG56" i="26" s="1"/>
  <c r="BA56" i="26" a="1"/>
  <c r="BA56" i="26" s="1"/>
  <c r="AY56" i="26" a="1"/>
  <c r="AY56" i="26" s="1"/>
  <c r="AS56" i="26" a="1"/>
  <c r="AS56" i="26" s="1"/>
  <c r="M56" i="26" a="1"/>
  <c r="M56" i="26" s="1"/>
  <c r="AX56" i="26" a="1"/>
  <c r="AX56" i="26" s="1"/>
  <c r="AK56" i="26" a="1"/>
  <c r="AK56" i="26" s="1"/>
  <c r="AJ56" i="26" a="1"/>
  <c r="AJ56" i="26" s="1"/>
  <c r="AO56" i="26" a="1"/>
  <c r="AO56" i="26" s="1"/>
  <c r="AU56" i="26" a="1"/>
  <c r="AU56" i="26" s="1"/>
  <c r="AT56" i="26" a="1"/>
  <c r="AT56" i="26" s="1"/>
  <c r="AR56" i="26" a="1"/>
  <c r="AR56" i="26" s="1"/>
  <c r="AG56" i="26" a="1"/>
  <c r="AG56" i="26" s="1"/>
  <c r="AQ56" i="26" a="1"/>
  <c r="AQ56" i="26" s="1"/>
  <c r="AD56" i="26" a="1"/>
  <c r="AD56" i="26" s="1"/>
  <c r="AC56" i="26" a="1"/>
  <c r="AC56" i="26" s="1"/>
  <c r="AI56" i="26" a="1"/>
  <c r="AI56" i="26" s="1"/>
  <c r="AN56" i="26" a="1"/>
  <c r="AN56" i="26" s="1"/>
  <c r="AM56" i="26" a="1"/>
  <c r="AM56" i="26" s="1"/>
  <c r="AL56" i="26" a="1"/>
  <c r="AL56" i="26" s="1"/>
  <c r="Z56" i="26" a="1"/>
  <c r="Z56" i="26" s="1"/>
  <c r="L57" i="26" a="1"/>
  <c r="L57" i="26" s="1"/>
  <c r="BJ35" i="25" l="1" a="1"/>
  <c r="BJ35" i="25" s="1"/>
  <c r="BJ40" i="25" a="1"/>
  <c r="BJ40" i="25" s="1"/>
  <c r="BJ28" i="25" a="1"/>
  <c r="BJ28" i="25" s="1"/>
  <c r="BJ11" i="25" a="1"/>
  <c r="BJ11" i="25" s="1"/>
  <c r="BJ45" i="25" a="1"/>
  <c r="BJ45" i="25" s="1"/>
  <c r="BJ39" i="25" a="1"/>
  <c r="BJ39" i="25" s="1"/>
  <c r="BJ33" i="25" a="1"/>
  <c r="BJ33" i="25" s="1"/>
  <c r="BJ27" i="25" a="1"/>
  <c r="BJ27" i="25" s="1"/>
  <c r="BJ21" i="25" a="1"/>
  <c r="BJ21" i="25" s="1"/>
  <c r="BJ16" i="25" a="1"/>
  <c r="BJ16" i="25" s="1"/>
  <c r="BJ10" i="25" a="1"/>
  <c r="BJ10" i="25" s="1"/>
  <c r="BJ52" i="25" a="1"/>
  <c r="BJ52" i="25" s="1"/>
  <c r="BJ47" i="25" a="1"/>
  <c r="BJ47" i="25" s="1"/>
  <c r="BJ29" i="25" a="1"/>
  <c r="BJ29" i="25" s="1"/>
  <c r="BJ17" i="25" a="1"/>
  <c r="BJ17" i="25" s="1"/>
  <c r="BJ34" i="25" a="1"/>
  <c r="BJ34" i="25" s="1"/>
  <c r="BJ18" i="25" a="1"/>
  <c r="BJ18" i="25" s="1"/>
  <c r="BJ50" i="25" a="1"/>
  <c r="BJ50" i="25" s="1"/>
  <c r="BJ44" i="25" a="1"/>
  <c r="BJ44" i="25" s="1"/>
  <c r="BJ38" i="25" a="1"/>
  <c r="BJ38" i="25" s="1"/>
  <c r="BJ32" i="25" a="1"/>
  <c r="BJ32" i="25" s="1"/>
  <c r="BJ26" i="25" a="1"/>
  <c r="BJ26" i="25" s="1"/>
  <c r="BJ20" i="25" a="1"/>
  <c r="BJ20" i="25" s="1"/>
  <c r="BJ15" i="25" a="1"/>
  <c r="BJ15" i="25" s="1"/>
  <c r="BJ61" i="25"/>
  <c r="BK8" i="25" a="1"/>
  <c r="BK8" i="25" s="1"/>
  <c r="BK12" i="25" s="1" a="1"/>
  <c r="BK12" i="25" s="1"/>
  <c r="BJ14" i="25" a="1"/>
  <c r="BJ14" i="25" s="1"/>
  <c r="BJ60" i="25"/>
  <c r="BJ41" i="25" a="1"/>
  <c r="BJ41" i="25" s="1"/>
  <c r="BJ23" i="25" a="1"/>
  <c r="BJ23" i="25" s="1"/>
  <c r="BJ12" i="25" a="1"/>
  <c r="BJ12" i="25" s="1"/>
  <c r="BJ46" i="25" a="1"/>
  <c r="BJ46" i="25" s="1"/>
  <c r="BJ22" i="25" a="1"/>
  <c r="BJ22" i="25" s="1"/>
  <c r="BJ49" i="25" a="1"/>
  <c r="BJ49" i="25" s="1"/>
  <c r="BJ43" i="25" a="1"/>
  <c r="BJ43" i="25" s="1"/>
  <c r="BJ37" i="25" a="1"/>
  <c r="BJ37" i="25" s="1"/>
  <c r="BJ31" i="25" a="1"/>
  <c r="BJ31" i="25" s="1"/>
  <c r="BJ25" i="25" a="1"/>
  <c r="BJ25" i="25" s="1"/>
  <c r="BJ48" i="25" a="1"/>
  <c r="BJ48" i="25" s="1"/>
  <c r="BJ42" i="25" a="1"/>
  <c r="BJ42" i="25" s="1"/>
  <c r="BJ36" i="25" a="1"/>
  <c r="BJ36" i="25" s="1"/>
  <c r="BJ30" i="25" a="1"/>
  <c r="BJ30" i="25" s="1"/>
  <c r="BJ24" i="25" a="1"/>
  <c r="BJ24" i="25" s="1"/>
  <c r="BJ19" i="25" a="1"/>
  <c r="BJ19" i="25" s="1"/>
  <c r="BJ13" i="25" a="1"/>
  <c r="BJ13" i="25" s="1"/>
  <c r="BJ9" i="25" a="1"/>
  <c r="BJ9" i="25" s="1"/>
  <c r="BB55" i="24" a="1"/>
  <c r="BB55" i="24" s="1"/>
  <c r="Z55" i="24" a="1"/>
  <c r="Z55" i="24" s="1"/>
  <c r="U55" i="24" a="1"/>
  <c r="U55" i="24" s="1"/>
  <c r="BC55" i="24" a="1"/>
  <c r="BC55" i="24" s="1"/>
  <c r="AT55" i="24" a="1"/>
  <c r="AT55" i="24" s="1"/>
  <c r="AZ55" i="24" a="1"/>
  <c r="AZ55" i="24" s="1"/>
  <c r="AD55" i="24" a="1"/>
  <c r="AD55" i="24" s="1"/>
  <c r="AN55" i="24" a="1"/>
  <c r="AN55" i="24" s="1"/>
  <c r="T55" i="24" a="1"/>
  <c r="T55" i="24" s="1"/>
  <c r="V55" i="24" a="1"/>
  <c r="V55" i="24" s="1"/>
  <c r="Q55" i="24" a="1"/>
  <c r="Q55" i="24" s="1"/>
  <c r="AK55" i="24" a="1"/>
  <c r="AK55" i="24" s="1"/>
  <c r="Y55" i="24" a="1"/>
  <c r="Y55" i="24" s="1"/>
  <c r="O55" i="24" a="1"/>
  <c r="O55" i="24" s="1"/>
  <c r="BE55" i="24" a="1"/>
  <c r="BE55" i="24" s="1"/>
  <c r="AJ55" i="24" a="1"/>
  <c r="AJ55" i="24" s="1"/>
  <c r="X55" i="24" a="1"/>
  <c r="X55" i="24" s="1"/>
  <c r="P55" i="24" a="1"/>
  <c r="P55" i="24" s="1"/>
  <c r="BG55" i="24" a="1"/>
  <c r="BG55" i="24" s="1"/>
  <c r="AS55" i="24" a="1"/>
  <c r="AS55" i="24" s="1"/>
  <c r="BF55" i="24" a="1"/>
  <c r="BF55" i="24" s="1"/>
  <c r="AY55" i="24" a="1"/>
  <c r="AY55" i="24" s="1"/>
  <c r="AH55" i="24" a="1"/>
  <c r="AH55" i="24" s="1"/>
  <c r="AL55" i="24" a="1"/>
  <c r="AL55" i="24" s="1"/>
  <c r="AC55" i="24" a="1"/>
  <c r="AC55" i="24" s="1"/>
  <c r="R55" i="24" a="1"/>
  <c r="R55" i="24" s="1"/>
  <c r="M55" i="24" a="1"/>
  <c r="M55" i="24" s="1"/>
  <c r="AU55" i="24" a="1"/>
  <c r="AU55" i="24" s="1"/>
  <c r="AP55" i="24" a="1"/>
  <c r="AP55" i="24" s="1"/>
  <c r="AF55" i="24" a="1"/>
  <c r="AF55" i="24" s="1"/>
  <c r="AV55" i="24" a="1"/>
  <c r="AV55" i="24" s="1"/>
  <c r="AO55" i="24" a="1"/>
  <c r="AO55" i="24" s="1"/>
  <c r="AB55" i="24" a="1"/>
  <c r="AB55" i="24" s="1"/>
  <c r="BD55" i="24" a="1"/>
  <c r="BD55" i="24" s="1"/>
  <c r="BA55" i="24" a="1"/>
  <c r="BA55" i="24" s="1"/>
  <c r="AR55" i="24" a="1"/>
  <c r="AR55" i="24" s="1"/>
  <c r="AE55" i="24" a="1"/>
  <c r="AE55" i="24" s="1"/>
  <c r="AI55" i="24" a="1"/>
  <c r="AI55" i="24" s="1"/>
  <c r="AQ55" i="24" a="1"/>
  <c r="AQ55" i="24" s="1"/>
  <c r="S55" i="24" a="1"/>
  <c r="S55" i="24" s="1"/>
  <c r="L56" i="24" a="1"/>
  <c r="L56" i="24" s="1"/>
  <c r="O56" i="24" s="1" a="1"/>
  <c r="O56" i="24" s="1"/>
  <c r="AW55" i="24" a="1"/>
  <c r="AW55" i="24" s="1"/>
  <c r="AM55" i="24" a="1"/>
  <c r="AM55" i="24" s="1"/>
  <c r="AX55" i="24" a="1"/>
  <c r="AX55" i="24" s="1"/>
  <c r="AA55" i="24" a="1"/>
  <c r="AA55" i="24" s="1"/>
  <c r="W55" i="24" a="1"/>
  <c r="W55" i="24" s="1"/>
  <c r="AG55" i="24" a="1"/>
  <c r="AG55" i="24" s="1"/>
  <c r="AK54" i="38"/>
  <c r="AO54" i="38"/>
  <c r="P54" i="38"/>
  <c r="AH54" i="38"/>
  <c r="AC54" i="38"/>
  <c r="AG54" i="38"/>
  <c r="AR54" i="38"/>
  <c r="AD54" i="38"/>
  <c r="U54" i="38"/>
  <c r="Y54" i="38"/>
  <c r="AB54" i="38"/>
  <c r="BB54" i="38"/>
  <c r="M54" i="38"/>
  <c r="Q54" i="38"/>
  <c r="L54" i="38"/>
  <c r="V54" i="38"/>
  <c r="BC54" i="38"/>
  <c r="AZ54" i="38"/>
  <c r="AY54" i="38"/>
  <c r="AU54" i="38"/>
  <c r="AP54" i="38"/>
  <c r="T54" i="38"/>
  <c r="AQ54" i="38"/>
  <c r="AM54" i="38"/>
  <c r="Z54" i="38"/>
  <c r="AX54" i="38"/>
  <c r="AI54" i="38"/>
  <c r="AE54" i="38"/>
  <c r="BD54" i="38"/>
  <c r="R54" i="38"/>
  <c r="AA54" i="38"/>
  <c r="W54" i="38"/>
  <c r="AN54" i="38"/>
  <c r="AT54" i="38"/>
  <c r="S54" i="38"/>
  <c r="O54" i="38"/>
  <c r="X54" i="38"/>
  <c r="N54" i="38"/>
  <c r="BA54" i="38"/>
  <c r="AV54" i="38"/>
  <c r="AL54" i="38"/>
  <c r="AS54" i="38"/>
  <c r="AW54" i="38"/>
  <c r="AF54" i="38"/>
  <c r="AJ54" i="38"/>
  <c r="K55" i="38" a="1"/>
  <c r="K55" i="38" s="1"/>
  <c r="BH9" i="26" a="1"/>
  <c r="BH9" i="26" s="1"/>
  <c r="BH61" i="26"/>
  <c r="BH60" i="26"/>
  <c r="BH10" i="26" a="1"/>
  <c r="BH10" i="26" s="1"/>
  <c r="BH13" i="26" a="1"/>
  <c r="BH13" i="26" s="1"/>
  <c r="BH11" i="26" a="1"/>
  <c r="BH11" i="26" s="1"/>
  <c r="BH12" i="26" a="1"/>
  <c r="BH12" i="26" s="1"/>
  <c r="BH15" i="26" a="1"/>
  <c r="BH15" i="26" s="1"/>
  <c r="BH14" i="26" a="1"/>
  <c r="BH14" i="26" s="1"/>
  <c r="BH16" i="26" a="1"/>
  <c r="BH16" i="26" s="1"/>
  <c r="BH17" i="26" a="1"/>
  <c r="BH17" i="26" s="1"/>
  <c r="BH18" i="26" a="1"/>
  <c r="BH18" i="26" s="1"/>
  <c r="BH19" i="26" a="1"/>
  <c r="BH19" i="26" s="1"/>
  <c r="BI8" i="26" a="1"/>
  <c r="BI8" i="26" s="1"/>
  <c r="BH20" i="26" a="1"/>
  <c r="BH20" i="26" s="1"/>
  <c r="BH21" i="26" a="1"/>
  <c r="BH21" i="26" s="1"/>
  <c r="BH22" i="26" a="1"/>
  <c r="BH22" i="26" s="1"/>
  <c r="BH23" i="26" a="1"/>
  <c r="BH23" i="26" s="1"/>
  <c r="BH24" i="26" a="1"/>
  <c r="BH24" i="26" s="1"/>
  <c r="BH25" i="26" a="1"/>
  <c r="BH25" i="26" s="1"/>
  <c r="BH26" i="26" a="1"/>
  <c r="BH26" i="26" s="1"/>
  <c r="BH27" i="26" a="1"/>
  <c r="BH27" i="26" s="1"/>
  <c r="BH28" i="26" a="1"/>
  <c r="BH28" i="26" s="1"/>
  <c r="BH29" i="26" a="1"/>
  <c r="BH29" i="26" s="1"/>
  <c r="BH30" i="26" a="1"/>
  <c r="BH30" i="26" s="1"/>
  <c r="BH31" i="26" a="1"/>
  <c r="BH31" i="26" s="1"/>
  <c r="BH32" i="26" a="1"/>
  <c r="BH32" i="26" s="1"/>
  <c r="BH33" i="26" a="1"/>
  <c r="BH33" i="26" s="1"/>
  <c r="BH34" i="26" a="1"/>
  <c r="BH34" i="26" s="1"/>
  <c r="BH35" i="26" a="1"/>
  <c r="BH35" i="26" s="1"/>
  <c r="BH36" i="26" a="1"/>
  <c r="BH36" i="26" s="1"/>
  <c r="BH37" i="26" a="1"/>
  <c r="BH37" i="26" s="1"/>
  <c r="BH38" i="26" a="1"/>
  <c r="BH38" i="26" s="1"/>
  <c r="BH39" i="26" a="1"/>
  <c r="BH39" i="26" s="1"/>
  <c r="BH40" i="26" a="1"/>
  <c r="BH40" i="26" s="1"/>
  <c r="BH41" i="26" a="1"/>
  <c r="BH41" i="26" s="1"/>
  <c r="BH42" i="26" a="1"/>
  <c r="BH42" i="26" s="1"/>
  <c r="BH43" i="26" a="1"/>
  <c r="BH43" i="26" s="1"/>
  <c r="BH44" i="26" a="1"/>
  <c r="BH44" i="26" s="1"/>
  <c r="BH45" i="26" a="1"/>
  <c r="BH45" i="26" s="1"/>
  <c r="BH46" i="26" a="1"/>
  <c r="BH46" i="26" s="1"/>
  <c r="BH47" i="26" a="1"/>
  <c r="BH47" i="26" s="1"/>
  <c r="BH48" i="26" a="1"/>
  <c r="BH48" i="26" s="1"/>
  <c r="BH49" i="26" a="1"/>
  <c r="BH49" i="26" s="1"/>
  <c r="BH50" i="26" a="1"/>
  <c r="BH50" i="26" s="1"/>
  <c r="BH51" i="26" a="1"/>
  <c r="BH51" i="26" s="1"/>
  <c r="BH52" i="26" a="1"/>
  <c r="BH52" i="26" s="1"/>
  <c r="BH53" i="26" a="1"/>
  <c r="BH53" i="26" s="1"/>
  <c r="BH54" i="26" a="1"/>
  <c r="BH54" i="26" s="1"/>
  <c r="BH55" i="26" a="1"/>
  <c r="BH55" i="26" s="1"/>
  <c r="BD10" i="38"/>
  <c r="BD9" i="38"/>
  <c r="BD60" i="38"/>
  <c r="BD61" i="38"/>
  <c r="BD11" i="38"/>
  <c r="BD12" i="38"/>
  <c r="BD13" i="38"/>
  <c r="BD15" i="38"/>
  <c r="BD14" i="38"/>
  <c r="BD16" i="38"/>
  <c r="BD17" i="38"/>
  <c r="BE8" i="38" a="1"/>
  <c r="BE8" i="38" s="1"/>
  <c r="BD18" i="38"/>
  <c r="BD19" i="38"/>
  <c r="BD20" i="38"/>
  <c r="BD21" i="38"/>
  <c r="BD22" i="38"/>
  <c r="BD23" i="38"/>
  <c r="BD24" i="38"/>
  <c r="BD25" i="38"/>
  <c r="BD26" i="38"/>
  <c r="BD27" i="38"/>
  <c r="BD28" i="38"/>
  <c r="BD29" i="38"/>
  <c r="BD30" i="38"/>
  <c r="BD31" i="38"/>
  <c r="BD32" i="38"/>
  <c r="BD33" i="38"/>
  <c r="BD34" i="38"/>
  <c r="BD35" i="38"/>
  <c r="BD36" i="38"/>
  <c r="BD37" i="38"/>
  <c r="BD38" i="38"/>
  <c r="BD39" i="38"/>
  <c r="BD40" i="38"/>
  <c r="BD41" i="38"/>
  <c r="BD42" i="38"/>
  <c r="BD43" i="38"/>
  <c r="BD44" i="38"/>
  <c r="BD45" i="38"/>
  <c r="BD46" i="38"/>
  <c r="BD47" i="38"/>
  <c r="BD48" i="38"/>
  <c r="BD49" i="38"/>
  <c r="BD50" i="38"/>
  <c r="BD51" i="38"/>
  <c r="BD52" i="38"/>
  <c r="R53" i="25" a="1"/>
  <c r="R53" i="25" s="1"/>
  <c r="P53" i="25" a="1"/>
  <c r="P53" i="25" s="1"/>
  <c r="Q53" i="25" a="1"/>
  <c r="Q53" i="25" s="1"/>
  <c r="T53" i="25" a="1"/>
  <c r="T53" i="25" s="1"/>
  <c r="O53" i="25" a="1"/>
  <c r="O53" i="25" s="1"/>
  <c r="S53" i="25" a="1"/>
  <c r="S53" i="25" s="1"/>
  <c r="U53" i="25" a="1"/>
  <c r="U53" i="25" s="1"/>
  <c r="V53" i="25" a="1"/>
  <c r="V53" i="25" s="1"/>
  <c r="W53" i="25" a="1"/>
  <c r="W53" i="25" s="1"/>
  <c r="X53" i="25" a="1"/>
  <c r="X53" i="25" s="1"/>
  <c r="Z53" i="25" a="1"/>
  <c r="Z53" i="25" s="1"/>
  <c r="AB53" i="25" a="1"/>
  <c r="AB53" i="25" s="1"/>
  <c r="AC53" i="25" a="1"/>
  <c r="AC53" i="25" s="1"/>
  <c r="AD53" i="25" a="1"/>
  <c r="AD53" i="25" s="1"/>
  <c r="AA53" i="25" a="1"/>
  <c r="AA53" i="25" s="1"/>
  <c r="Y53" i="25" a="1"/>
  <c r="Y53" i="25" s="1"/>
  <c r="AG53" i="25" a="1"/>
  <c r="AG53" i="25" s="1"/>
  <c r="AE53" i="25" a="1"/>
  <c r="AE53" i="25" s="1"/>
  <c r="AK53" i="25" a="1"/>
  <c r="AK53" i="25" s="1"/>
  <c r="AJ53" i="25" a="1"/>
  <c r="AJ53" i="25" s="1"/>
  <c r="AI53" i="25" a="1"/>
  <c r="AI53" i="25" s="1"/>
  <c r="AH53" i="25" a="1"/>
  <c r="AH53" i="25" s="1"/>
  <c r="AF53" i="25" a="1"/>
  <c r="AF53" i="25" s="1"/>
  <c r="AL53" i="25" a="1"/>
  <c r="AL53" i="25" s="1"/>
  <c r="AN53" i="25" a="1"/>
  <c r="AN53" i="25" s="1"/>
  <c r="AM53" i="25" a="1"/>
  <c r="AM53" i="25" s="1"/>
  <c r="AO53" i="25" a="1"/>
  <c r="AO53" i="25" s="1"/>
  <c r="AP53" i="25" a="1"/>
  <c r="AP53" i="25" s="1"/>
  <c r="AQ53" i="25" a="1"/>
  <c r="AQ53" i="25" s="1"/>
  <c r="AR53" i="25" a="1"/>
  <c r="AR53" i="25" s="1"/>
  <c r="AS53" i="25" a="1"/>
  <c r="AS53" i="25" s="1"/>
  <c r="AT53" i="25" a="1"/>
  <c r="AT53" i="25" s="1"/>
  <c r="AV53" i="25" a="1"/>
  <c r="AV53" i="25" s="1"/>
  <c r="AX53" i="25" a="1"/>
  <c r="AX53" i="25" s="1"/>
  <c r="AY53" i="25" a="1"/>
  <c r="AY53" i="25" s="1"/>
  <c r="AU53" i="25" a="1"/>
  <c r="AU53" i="25" s="1"/>
  <c r="AW53" i="25" a="1"/>
  <c r="AW53" i="25" s="1"/>
  <c r="AZ53" i="25" a="1"/>
  <c r="AZ53" i="25" s="1"/>
  <c r="BB53" i="25" a="1"/>
  <c r="BB53" i="25" s="1"/>
  <c r="BE53" i="25" a="1"/>
  <c r="BE53" i="25" s="1"/>
  <c r="BC53" i="25" a="1"/>
  <c r="BC53" i="25" s="1"/>
  <c r="BA53" i="25" a="1"/>
  <c r="BA53" i="25" s="1"/>
  <c r="BH53" i="25" a="1"/>
  <c r="BH53" i="25" s="1"/>
  <c r="BF53" i="25" a="1"/>
  <c r="BF53" i="25" s="1"/>
  <c r="BD53" i="25" a="1"/>
  <c r="BD53" i="25" s="1"/>
  <c r="BG53" i="25" a="1"/>
  <c r="BG53" i="25" s="1"/>
  <c r="BJ53" i="25" a="1"/>
  <c r="BJ53" i="25" s="1"/>
  <c r="BI53" i="25" a="1"/>
  <c r="BI53" i="25" s="1"/>
  <c r="N54" i="25" a="1"/>
  <c r="N54" i="25" s="1"/>
  <c r="BH56" i="26" a="1"/>
  <c r="BH56" i="26" s="1"/>
  <c r="BF62" i="24"/>
  <c r="BF63" i="24"/>
  <c r="S57" i="26" a="1"/>
  <c r="S57" i="26" s="1"/>
  <c r="R57" i="26" a="1"/>
  <c r="R57" i="26" s="1"/>
  <c r="W57" i="26" a="1"/>
  <c r="W57" i="26" s="1"/>
  <c r="V57" i="26" a="1"/>
  <c r="V57" i="26" s="1"/>
  <c r="U57" i="26" a="1"/>
  <c r="U57" i="26" s="1"/>
  <c r="P57" i="26" a="1"/>
  <c r="P57" i="26" s="1"/>
  <c r="BC57" i="26" a="1"/>
  <c r="BC57" i="26" s="1"/>
  <c r="BB57" i="26" a="1"/>
  <c r="BB57" i="26" s="1"/>
  <c r="BA57" i="26" a="1"/>
  <c r="BA57" i="26" s="1"/>
  <c r="BH57" i="26" a="1"/>
  <c r="BH57" i="26" s="1"/>
  <c r="BG57" i="26" a="1"/>
  <c r="BG57" i="26" s="1"/>
  <c r="Q57" i="26" a="1"/>
  <c r="Q57" i="26" s="1"/>
  <c r="BD57" i="26" a="1"/>
  <c r="BD57" i="26" s="1"/>
  <c r="O57" i="26" a="1"/>
  <c r="O57" i="26" s="1"/>
  <c r="BE57" i="26" a="1"/>
  <c r="BE57" i="26" s="1"/>
  <c r="AP57" i="26" a="1"/>
  <c r="AP57" i="26" s="1"/>
  <c r="AV57" i="26" a="1"/>
  <c r="AV57" i="26" s="1"/>
  <c r="AU57" i="26" a="1"/>
  <c r="AU57" i="26" s="1"/>
  <c r="AT57" i="26" a="1"/>
  <c r="AT57" i="26" s="1"/>
  <c r="AZ57" i="26" a="1"/>
  <c r="AZ57" i="26" s="1"/>
  <c r="BF57" i="26" a="1"/>
  <c r="BF57" i="26" s="1"/>
  <c r="AW57" i="26" a="1"/>
  <c r="AW57" i="26" s="1"/>
  <c r="AX57" i="26" a="1"/>
  <c r="AX57" i="26" s="1"/>
  <c r="M57" i="26" a="1"/>
  <c r="M57" i="26" s="1"/>
  <c r="AH57" i="26" a="1"/>
  <c r="AH57" i="26" s="1"/>
  <c r="AO57" i="26" a="1"/>
  <c r="AO57" i="26" s="1"/>
  <c r="AN57" i="26" a="1"/>
  <c r="AN57" i="26" s="1"/>
  <c r="AM57" i="26" a="1"/>
  <c r="AM57" i="26" s="1"/>
  <c r="AS57" i="26" a="1"/>
  <c r="AS57" i="26" s="1"/>
  <c r="AY57" i="26" a="1"/>
  <c r="AY57" i="26" s="1"/>
  <c r="AQ57" i="26" a="1"/>
  <c r="AQ57" i="26" s="1"/>
  <c r="AR57" i="26" a="1"/>
  <c r="AR57" i="26" s="1"/>
  <c r="Z57" i="26" a="1"/>
  <c r="Z57" i="26" s="1"/>
  <c r="AG57" i="26" a="1"/>
  <c r="AG57" i="26" s="1"/>
  <c r="AF57" i="26" a="1"/>
  <c r="AF57" i="26" s="1"/>
  <c r="AE57" i="26" a="1"/>
  <c r="AE57" i="26" s="1"/>
  <c r="AL57" i="26" a="1"/>
  <c r="AL57" i="26" s="1"/>
  <c r="AK57" i="26" a="1"/>
  <c r="AK57" i="26" s="1"/>
  <c r="AI57" i="26" a="1"/>
  <c r="AI57" i="26" s="1"/>
  <c r="AJ57" i="26" a="1"/>
  <c r="AJ57" i="26" s="1"/>
  <c r="N57" i="26" a="1"/>
  <c r="N57" i="26" s="1"/>
  <c r="T57" i="26" a="1"/>
  <c r="T57" i="26" s="1"/>
  <c r="Y57" i="26" a="1"/>
  <c r="Y57" i="26" s="1"/>
  <c r="X57" i="26" a="1"/>
  <c r="X57" i="26" s="1"/>
  <c r="AD57" i="26" a="1"/>
  <c r="AD57" i="26" s="1"/>
  <c r="AC57" i="26" a="1"/>
  <c r="AC57" i="26" s="1"/>
  <c r="AA57" i="26" a="1"/>
  <c r="AA57" i="26" s="1"/>
  <c r="AB57" i="26" a="1"/>
  <c r="AB57" i="26" s="1"/>
  <c r="L58" i="26" a="1"/>
  <c r="L58" i="26" s="1"/>
  <c r="BD53" i="38"/>
  <c r="BG61" i="24"/>
  <c r="BG9" i="24" a="1"/>
  <c r="BG9" i="24" s="1"/>
  <c r="BG60" i="24"/>
  <c r="BG10" i="24" a="1"/>
  <c r="BG10" i="24" s="1"/>
  <c r="BG11" i="24" a="1"/>
  <c r="BG11" i="24" s="1"/>
  <c r="BG12" i="24" a="1"/>
  <c r="BG12" i="24" s="1"/>
  <c r="BG13" i="24" a="1"/>
  <c r="BG13" i="24" s="1"/>
  <c r="BG14" i="24" a="1"/>
  <c r="BG14" i="24" s="1"/>
  <c r="BG16" i="24" a="1"/>
  <c r="BG16" i="24" s="1"/>
  <c r="BG15" i="24" a="1"/>
  <c r="BG15" i="24" s="1"/>
  <c r="BG17" i="24" a="1"/>
  <c r="BG17" i="24" s="1"/>
  <c r="BG18" i="24" a="1"/>
  <c r="BG18" i="24" s="1"/>
  <c r="BH8" i="24" a="1"/>
  <c r="BH8" i="24" s="1"/>
  <c r="BG19" i="24" a="1"/>
  <c r="BG19" i="24" s="1"/>
  <c r="BG21" i="24" a="1"/>
  <c r="BG21" i="24" s="1"/>
  <c r="BG20" i="24" a="1"/>
  <c r="BG20" i="24" s="1"/>
  <c r="BG22" i="24" a="1"/>
  <c r="BG22" i="24" s="1"/>
  <c r="BG23" i="24" a="1"/>
  <c r="BG23" i="24" s="1"/>
  <c r="BG24" i="24" a="1"/>
  <c r="BG24" i="24" s="1"/>
  <c r="BG25" i="24" a="1"/>
  <c r="BG25" i="24" s="1"/>
  <c r="BG26" i="24" a="1"/>
  <c r="BG26" i="24" s="1"/>
  <c r="BG27" i="24" a="1"/>
  <c r="BG27" i="24" s="1"/>
  <c r="BG28" i="24" a="1"/>
  <c r="BG28" i="24" s="1"/>
  <c r="BG29" i="24" a="1"/>
  <c r="BG29" i="24" s="1"/>
  <c r="BG30" i="24" a="1"/>
  <c r="BG30" i="24" s="1"/>
  <c r="BG31" i="24" a="1"/>
  <c r="BG31" i="24" s="1"/>
  <c r="BG32" i="24" a="1"/>
  <c r="BG32" i="24" s="1"/>
  <c r="BG33" i="24" a="1"/>
  <c r="BG33" i="24" s="1"/>
  <c r="BG34" i="24" a="1"/>
  <c r="BG34" i="24" s="1"/>
  <c r="BG35" i="24" a="1"/>
  <c r="BG35" i="24" s="1"/>
  <c r="BG36" i="24" a="1"/>
  <c r="BG36" i="24" s="1"/>
  <c r="BG37" i="24" a="1"/>
  <c r="BG37" i="24" s="1"/>
  <c r="BG38" i="24" a="1"/>
  <c r="BG38" i="24" s="1"/>
  <c r="BG39" i="24" a="1"/>
  <c r="BG39" i="24" s="1"/>
  <c r="BG40" i="24" a="1"/>
  <c r="BG40" i="24" s="1"/>
  <c r="BG41" i="24" a="1"/>
  <c r="BG41" i="24" s="1"/>
  <c r="BG42" i="24" a="1"/>
  <c r="BG42" i="24" s="1"/>
  <c r="BG43" i="24" a="1"/>
  <c r="BG43" i="24" s="1"/>
  <c r="BG44" i="24" a="1"/>
  <c r="BG44" i="24" s="1"/>
  <c r="BG45" i="24" a="1"/>
  <c r="BG45" i="24" s="1"/>
  <c r="BG46" i="24" a="1"/>
  <c r="BG46" i="24" s="1"/>
  <c r="BG47" i="24" a="1"/>
  <c r="BG47" i="24" s="1"/>
  <c r="BG48" i="24" a="1"/>
  <c r="BG48" i="24" s="1"/>
  <c r="BG49" i="24" a="1"/>
  <c r="BG49" i="24" s="1"/>
  <c r="BG50" i="24" a="1"/>
  <c r="BG50" i="24" s="1"/>
  <c r="BG51" i="24" a="1"/>
  <c r="BG51" i="24" s="1"/>
  <c r="BG52" i="24" a="1"/>
  <c r="BG52" i="24" s="1"/>
  <c r="BG53" i="24" a="1"/>
  <c r="BG53" i="24" s="1"/>
  <c r="BG54" i="24" a="1"/>
  <c r="BG54" i="24" s="1"/>
  <c r="C42" i="39"/>
  <c r="A42" i="39" s="1"/>
  <c r="F392" i="22"/>
  <c r="BK24" i="25" l="1" a="1"/>
  <c r="BK24" i="25" s="1"/>
  <c r="BK53" i="25" a="1"/>
  <c r="BK53" i="25" s="1"/>
  <c r="BK34" i="25" a="1"/>
  <c r="BK34" i="25" s="1"/>
  <c r="BK18" i="25" a="1"/>
  <c r="BK18" i="25" s="1"/>
  <c r="BK51" i="25" a="1"/>
  <c r="BK51" i="25" s="1"/>
  <c r="BK45" i="25" a="1"/>
  <c r="BK45" i="25" s="1"/>
  <c r="BK39" i="25" a="1"/>
  <c r="BK39" i="25" s="1"/>
  <c r="BK33" i="25" a="1"/>
  <c r="BK33" i="25" s="1"/>
  <c r="BK27" i="25" a="1"/>
  <c r="BK27" i="25" s="1"/>
  <c r="BK21" i="25" a="1"/>
  <c r="BK21" i="25" s="1"/>
  <c r="BK16" i="25" a="1"/>
  <c r="BK16" i="25" s="1"/>
  <c r="BK10" i="25" a="1"/>
  <c r="BK10" i="25" s="1"/>
  <c r="BK42" i="25" a="1"/>
  <c r="BK42" i="25" s="1"/>
  <c r="BK36" i="25" a="1"/>
  <c r="BK36" i="25" s="1"/>
  <c r="BK46" i="25" a="1"/>
  <c r="BK46" i="25" s="1"/>
  <c r="BK11" i="25" a="1"/>
  <c r="BK11" i="25" s="1"/>
  <c r="BK50" i="25" a="1"/>
  <c r="BK50" i="25" s="1"/>
  <c r="BK44" i="25" a="1"/>
  <c r="BK44" i="25" s="1"/>
  <c r="BK38" i="25" a="1"/>
  <c r="BK38" i="25" s="1"/>
  <c r="BK32" i="25" a="1"/>
  <c r="BK32" i="25" s="1"/>
  <c r="BK26" i="25" a="1"/>
  <c r="BK26" i="25" s="1"/>
  <c r="BK20" i="25" a="1"/>
  <c r="BK20" i="25" s="1"/>
  <c r="BK15" i="25" a="1"/>
  <c r="BK15" i="25" s="1"/>
  <c r="BK9" i="25" a="1"/>
  <c r="BK9" i="25" s="1"/>
  <c r="BK48" i="25" a="1"/>
  <c r="BK48" i="25" s="1"/>
  <c r="BK30" i="25" a="1"/>
  <c r="BK30" i="25" s="1"/>
  <c r="BK40" i="25" a="1"/>
  <c r="BK40" i="25" s="1"/>
  <c r="BK28" i="25" a="1"/>
  <c r="BK28" i="25" s="1"/>
  <c r="BK22" i="25" a="1"/>
  <c r="BK22" i="25" s="1"/>
  <c r="BK52" i="25" a="1"/>
  <c r="BK52" i="25" s="1"/>
  <c r="BK49" i="25" a="1"/>
  <c r="BK49" i="25" s="1"/>
  <c r="BK43" i="25" a="1"/>
  <c r="BK43" i="25" s="1"/>
  <c r="BK37" i="25" a="1"/>
  <c r="BK37" i="25" s="1"/>
  <c r="BK31" i="25" a="1"/>
  <c r="BK31" i="25" s="1"/>
  <c r="BK25" i="25" a="1"/>
  <c r="BK25" i="25" s="1"/>
  <c r="BK19" i="25" a="1"/>
  <c r="BK19" i="25" s="1"/>
  <c r="BK14" i="25" a="1"/>
  <c r="BK14" i="25" s="1"/>
  <c r="BK60" i="25"/>
  <c r="BL8" i="25" a="1"/>
  <c r="BL8" i="25" s="1"/>
  <c r="BL53" i="25" s="1" a="1"/>
  <c r="BL53" i="25" s="1"/>
  <c r="BK13" i="25" a="1"/>
  <c r="BK13" i="25" s="1"/>
  <c r="BK61" i="25"/>
  <c r="BK47" i="25" a="1"/>
  <c r="BK47" i="25" s="1"/>
  <c r="BK41" i="25" a="1"/>
  <c r="BK41" i="25" s="1"/>
  <c r="BK35" i="25" a="1"/>
  <c r="BK35" i="25" s="1"/>
  <c r="BK29" i="25" a="1"/>
  <c r="BK29" i="25" s="1"/>
  <c r="BK23" i="25" a="1"/>
  <c r="BK23" i="25" s="1"/>
  <c r="BK17" i="25" a="1"/>
  <c r="BK17" i="25" s="1"/>
  <c r="BB56" i="24" a="1"/>
  <c r="BB56" i="24" s="1"/>
  <c r="T56" i="24" a="1"/>
  <c r="T56" i="24" s="1"/>
  <c r="P56" i="24" a="1"/>
  <c r="P56" i="24" s="1"/>
  <c r="AO56" i="24" a="1"/>
  <c r="AO56" i="24" s="1"/>
  <c r="AQ56" i="24" a="1"/>
  <c r="AQ56" i="24" s="1"/>
  <c r="AJ56" i="24" a="1"/>
  <c r="AJ56" i="24" s="1"/>
  <c r="N56" i="24" a="1"/>
  <c r="N56" i="24" s="1"/>
  <c r="BH56" i="24" a="1"/>
  <c r="BH56" i="24" s="1"/>
  <c r="AZ56" i="24" a="1"/>
  <c r="AZ56" i="24" s="1"/>
  <c r="AN56" i="24" a="1"/>
  <c r="AN56" i="24" s="1"/>
  <c r="AR56" i="24" a="1"/>
  <c r="AR56" i="24" s="1"/>
  <c r="AG56" i="24" a="1"/>
  <c r="AG56" i="24" s="1"/>
  <c r="AD56" i="24" a="1"/>
  <c r="AD56" i="24" s="1"/>
  <c r="V56" i="24" a="1"/>
  <c r="V56" i="24" s="1"/>
  <c r="Q56" i="24" a="1"/>
  <c r="Q56" i="24" s="1"/>
  <c r="S56" i="24" a="1"/>
  <c r="S56" i="24" s="1"/>
  <c r="BC56" i="24" a="1"/>
  <c r="BC56" i="24" s="1"/>
  <c r="AP56" i="24" a="1"/>
  <c r="AP56" i="24" s="1"/>
  <c r="R56" i="24" a="1"/>
  <c r="R56" i="24" s="1"/>
  <c r="BA56" i="24" a="1"/>
  <c r="BA56" i="24" s="1"/>
  <c r="AS56" i="24" a="1"/>
  <c r="AS56" i="24" s="1"/>
  <c r="AC56" i="24" a="1"/>
  <c r="AC56" i="24" s="1"/>
  <c r="Y56" i="24" a="1"/>
  <c r="Y56" i="24" s="1"/>
  <c r="BG56" i="24" a="1"/>
  <c r="BG56" i="24" s="1"/>
  <c r="W56" i="24" a="1"/>
  <c r="W56" i="24" s="1"/>
  <c r="AM56" i="24" a="1"/>
  <c r="AM56" i="24" s="1"/>
  <c r="AL56" i="24" a="1"/>
  <c r="AL56" i="24" s="1"/>
  <c r="AA56" i="24" a="1"/>
  <c r="AA56" i="24" s="1"/>
  <c r="AF56" i="24" a="1"/>
  <c r="AF56" i="24" s="1"/>
  <c r="X56" i="24" a="1"/>
  <c r="X56" i="24" s="1"/>
  <c r="M56" i="24" a="1"/>
  <c r="M56" i="24" s="1"/>
  <c r="L57" i="24" a="1"/>
  <c r="L57" i="24" s="1"/>
  <c r="V57" i="24" s="1" a="1"/>
  <c r="V57" i="24" s="1"/>
  <c r="AU56" i="24" a="1"/>
  <c r="AU56" i="24" s="1"/>
  <c r="AW56" i="24" a="1"/>
  <c r="AW56" i="24" s="1"/>
  <c r="AH56" i="24" a="1"/>
  <c r="AH56" i="24" s="1"/>
  <c r="AY56" i="24" a="1"/>
  <c r="AY56" i="24" s="1"/>
  <c r="AK56" i="24" a="1"/>
  <c r="AK56" i="24" s="1"/>
  <c r="AE56" i="24" a="1"/>
  <c r="AE56" i="24" s="1"/>
  <c r="U56" i="24" a="1"/>
  <c r="U56" i="24" s="1"/>
  <c r="AX56" i="24" a="1"/>
  <c r="AX56" i="24" s="1"/>
  <c r="AI56" i="24" a="1"/>
  <c r="AI56" i="24" s="1"/>
  <c r="BD56" i="24" a="1"/>
  <c r="BD56" i="24" s="1"/>
  <c r="BE56" i="24" a="1"/>
  <c r="BE56" i="24" s="1"/>
  <c r="AT56" i="24" a="1"/>
  <c r="AT56" i="24" s="1"/>
  <c r="BF56" i="24" a="1"/>
  <c r="BF56" i="24" s="1"/>
  <c r="AV56" i="24" a="1"/>
  <c r="AV56" i="24" s="1"/>
  <c r="Z56" i="24" a="1"/>
  <c r="Z56" i="24" s="1"/>
  <c r="AB56" i="24" a="1"/>
  <c r="AB56" i="24" s="1"/>
  <c r="R54" i="25" a="1"/>
  <c r="R54" i="25" s="1"/>
  <c r="Q54" i="25" a="1"/>
  <c r="Q54" i="25" s="1"/>
  <c r="O54" i="25" a="1"/>
  <c r="O54" i="25" s="1"/>
  <c r="P54" i="25" a="1"/>
  <c r="P54" i="25" s="1"/>
  <c r="S54" i="25" a="1"/>
  <c r="S54" i="25" s="1"/>
  <c r="U54" i="25" a="1"/>
  <c r="U54" i="25" s="1"/>
  <c r="T54" i="25" a="1"/>
  <c r="T54" i="25" s="1"/>
  <c r="V54" i="25" a="1"/>
  <c r="V54" i="25" s="1"/>
  <c r="W54" i="25" a="1"/>
  <c r="W54" i="25" s="1"/>
  <c r="X54" i="25" a="1"/>
  <c r="X54" i="25" s="1"/>
  <c r="AA54" i="25" a="1"/>
  <c r="AA54" i="25" s="1"/>
  <c r="Z54" i="25" a="1"/>
  <c r="Z54" i="25" s="1"/>
  <c r="AB54" i="25" a="1"/>
  <c r="AB54" i="25" s="1"/>
  <c r="Y54" i="25" a="1"/>
  <c r="Y54" i="25" s="1"/>
  <c r="AD54" i="25" a="1"/>
  <c r="AD54" i="25" s="1"/>
  <c r="AC54" i="25" a="1"/>
  <c r="AC54" i="25" s="1"/>
  <c r="AE54" i="25" a="1"/>
  <c r="AE54" i="25" s="1"/>
  <c r="AF54" i="25" a="1"/>
  <c r="AF54" i="25" s="1"/>
  <c r="AK54" i="25" a="1"/>
  <c r="AK54" i="25" s="1"/>
  <c r="AH54" i="25" a="1"/>
  <c r="AH54" i="25" s="1"/>
  <c r="AI54" i="25" a="1"/>
  <c r="AI54" i="25" s="1"/>
  <c r="AG54" i="25" a="1"/>
  <c r="AG54" i="25" s="1"/>
  <c r="AM54" i="25" a="1"/>
  <c r="AM54" i="25" s="1"/>
  <c r="AJ54" i="25" a="1"/>
  <c r="AJ54" i="25" s="1"/>
  <c r="AO54" i="25" a="1"/>
  <c r="AO54" i="25" s="1"/>
  <c r="AN54" i="25" a="1"/>
  <c r="AN54" i="25" s="1"/>
  <c r="AL54" i="25" a="1"/>
  <c r="AL54" i="25" s="1"/>
  <c r="AP54" i="25" a="1"/>
  <c r="AP54" i="25" s="1"/>
  <c r="AT54" i="25" a="1"/>
  <c r="AT54" i="25" s="1"/>
  <c r="AU54" i="25" a="1"/>
  <c r="AU54" i="25" s="1"/>
  <c r="AR54" i="25" a="1"/>
  <c r="AR54" i="25" s="1"/>
  <c r="AQ54" i="25" a="1"/>
  <c r="AQ54" i="25" s="1"/>
  <c r="AV54" i="25" a="1"/>
  <c r="AV54" i="25" s="1"/>
  <c r="AS54" i="25" a="1"/>
  <c r="AS54" i="25" s="1"/>
  <c r="AY54" i="25" a="1"/>
  <c r="AY54" i="25" s="1"/>
  <c r="AX54" i="25" a="1"/>
  <c r="AX54" i="25" s="1"/>
  <c r="AW54" i="25" a="1"/>
  <c r="AW54" i="25" s="1"/>
  <c r="AZ54" i="25" a="1"/>
  <c r="AZ54" i="25" s="1"/>
  <c r="BB54" i="25" a="1"/>
  <c r="BB54" i="25" s="1"/>
  <c r="BD54" i="25" a="1"/>
  <c r="BD54" i="25" s="1"/>
  <c r="BC54" i="25" a="1"/>
  <c r="BC54" i="25" s="1"/>
  <c r="BA54" i="25" a="1"/>
  <c r="BA54" i="25" s="1"/>
  <c r="BE54" i="25" a="1"/>
  <c r="BE54" i="25" s="1"/>
  <c r="BG54" i="25" a="1"/>
  <c r="BG54" i="25" s="1"/>
  <c r="BF54" i="25" a="1"/>
  <c r="BF54" i="25" s="1"/>
  <c r="BH54" i="25" a="1"/>
  <c r="BH54" i="25" s="1"/>
  <c r="BI54" i="25" a="1"/>
  <c r="BI54" i="25" s="1"/>
  <c r="BJ54" i="25" a="1"/>
  <c r="BJ54" i="25" s="1"/>
  <c r="BK54" i="25" a="1"/>
  <c r="BK54" i="25" s="1"/>
  <c r="N55" i="25" a="1"/>
  <c r="N55" i="25" s="1"/>
  <c r="BC55" i="38"/>
  <c r="Z55" i="38"/>
  <c r="P55" i="38"/>
  <c r="AU55" i="38"/>
  <c r="AY55" i="38"/>
  <c r="BD55" i="38"/>
  <c r="AX55" i="38"/>
  <c r="AM55" i="38"/>
  <c r="AQ55" i="38"/>
  <c r="AN55" i="38"/>
  <c r="N55" i="38"/>
  <c r="AE55" i="38"/>
  <c r="AI55" i="38"/>
  <c r="X55" i="38"/>
  <c r="AV55" i="38"/>
  <c r="W55" i="38"/>
  <c r="AA55" i="38"/>
  <c r="BB55" i="38"/>
  <c r="AT55" i="38"/>
  <c r="O55" i="38"/>
  <c r="S55" i="38"/>
  <c r="AL55" i="38"/>
  <c r="AH55" i="38"/>
  <c r="BE55" i="38"/>
  <c r="BA55" i="38"/>
  <c r="V55" i="38"/>
  <c r="AF55" i="38"/>
  <c r="AW55" i="38"/>
  <c r="AS55" i="38"/>
  <c r="AR55" i="38"/>
  <c r="AZ55" i="38"/>
  <c r="AO55" i="38"/>
  <c r="AK55" i="38"/>
  <c r="AB55" i="38"/>
  <c r="AJ55" i="38"/>
  <c r="AG55" i="38"/>
  <c r="AC55" i="38"/>
  <c r="L55" i="38"/>
  <c r="T55" i="38"/>
  <c r="Y55" i="38"/>
  <c r="U55" i="38"/>
  <c r="AD55" i="38"/>
  <c r="Q55" i="38"/>
  <c r="M55" i="38"/>
  <c r="AP55" i="38"/>
  <c r="R55" i="38"/>
  <c r="K56" i="38" a="1"/>
  <c r="K56" i="38" s="1"/>
  <c r="BE9" i="38"/>
  <c r="BE10" i="38"/>
  <c r="BE60" i="38"/>
  <c r="BE61" i="38"/>
  <c r="BE12" i="38"/>
  <c r="BE11" i="38"/>
  <c r="BE13" i="38"/>
  <c r="BE15" i="38"/>
  <c r="BE14" i="38"/>
  <c r="BE16" i="38"/>
  <c r="BE17" i="38"/>
  <c r="BF8" i="38" a="1"/>
  <c r="BF8" i="38" s="1"/>
  <c r="BF55" i="38" s="1"/>
  <c r="BE18" i="38"/>
  <c r="BE19" i="38"/>
  <c r="BE20" i="38"/>
  <c r="BE21" i="38"/>
  <c r="BE22" i="38"/>
  <c r="BE23" i="38"/>
  <c r="BE24" i="38"/>
  <c r="BE25" i="38"/>
  <c r="BE26" i="38"/>
  <c r="BE27" i="38"/>
  <c r="BE28" i="38"/>
  <c r="BE29" i="38"/>
  <c r="BE30" i="38"/>
  <c r="BE31" i="38"/>
  <c r="BE32" i="38"/>
  <c r="BE33" i="38"/>
  <c r="BE34" i="38"/>
  <c r="BE35" i="38"/>
  <c r="BE36" i="38"/>
  <c r="BE37" i="38"/>
  <c r="BE38" i="38"/>
  <c r="BE39" i="38"/>
  <c r="BE40" i="38"/>
  <c r="BE41" i="38"/>
  <c r="BE42" i="38"/>
  <c r="BE43" i="38"/>
  <c r="BE44" i="38"/>
  <c r="BE45" i="38"/>
  <c r="BE46" i="38"/>
  <c r="BE47" i="38"/>
  <c r="BE48" i="38"/>
  <c r="BE49" i="38"/>
  <c r="BE50" i="38"/>
  <c r="BE51" i="38"/>
  <c r="BE52" i="38"/>
  <c r="BE53" i="38"/>
  <c r="BI61" i="26"/>
  <c r="BI9" i="26" a="1"/>
  <c r="BI9" i="26" s="1"/>
  <c r="BI10" i="26" a="1"/>
  <c r="BI10" i="26" s="1"/>
  <c r="BI60" i="26"/>
  <c r="BI12" i="26" a="1"/>
  <c r="BI12" i="26" s="1"/>
  <c r="BI13" i="26" a="1"/>
  <c r="BI13" i="26" s="1"/>
  <c r="BI11" i="26" a="1"/>
  <c r="BI11" i="26" s="1"/>
  <c r="BI14" i="26" a="1"/>
  <c r="BI14" i="26" s="1"/>
  <c r="BI15" i="26" a="1"/>
  <c r="BI15" i="26" s="1"/>
  <c r="BI16" i="26" a="1"/>
  <c r="BI16" i="26" s="1"/>
  <c r="BI17" i="26" a="1"/>
  <c r="BI17" i="26" s="1"/>
  <c r="BI19" i="26" a="1"/>
  <c r="BI19" i="26" s="1"/>
  <c r="BI18" i="26" a="1"/>
  <c r="BI18" i="26" s="1"/>
  <c r="BI20" i="26" a="1"/>
  <c r="BI20" i="26" s="1"/>
  <c r="BI21" i="26" a="1"/>
  <c r="BI21" i="26" s="1"/>
  <c r="BI22" i="26" a="1"/>
  <c r="BI22" i="26" s="1"/>
  <c r="BI23" i="26" a="1"/>
  <c r="BI23" i="26" s="1"/>
  <c r="BJ8" i="26" a="1"/>
  <c r="BJ8" i="26" s="1"/>
  <c r="BJ58" i="26" s="1" a="1"/>
  <c r="BJ58" i="26" s="1"/>
  <c r="BI24" i="26" a="1"/>
  <c r="BI24" i="26" s="1"/>
  <c r="BI25" i="26" a="1"/>
  <c r="BI25" i="26" s="1"/>
  <c r="BI26" i="26" a="1"/>
  <c r="BI26" i="26" s="1"/>
  <c r="BI27" i="26" a="1"/>
  <c r="BI27" i="26" s="1"/>
  <c r="BI28" i="26" a="1"/>
  <c r="BI28" i="26" s="1"/>
  <c r="BI29" i="26" a="1"/>
  <c r="BI29" i="26" s="1"/>
  <c r="BI30" i="26" a="1"/>
  <c r="BI30" i="26" s="1"/>
  <c r="BI31" i="26" a="1"/>
  <c r="BI31" i="26" s="1"/>
  <c r="BI32" i="26" a="1"/>
  <c r="BI32" i="26" s="1"/>
  <c r="BI33" i="26" a="1"/>
  <c r="BI33" i="26" s="1"/>
  <c r="BI34" i="26" a="1"/>
  <c r="BI34" i="26" s="1"/>
  <c r="BI35" i="26" a="1"/>
  <c r="BI35" i="26" s="1"/>
  <c r="BI36" i="26" a="1"/>
  <c r="BI36" i="26" s="1"/>
  <c r="BI37" i="26" a="1"/>
  <c r="BI37" i="26" s="1"/>
  <c r="BI38" i="26" a="1"/>
  <c r="BI38" i="26" s="1"/>
  <c r="BI39" i="26" a="1"/>
  <c r="BI39" i="26" s="1"/>
  <c r="BI40" i="26" a="1"/>
  <c r="BI40" i="26" s="1"/>
  <c r="BI41" i="26" a="1"/>
  <c r="BI41" i="26" s="1"/>
  <c r="BI42" i="26" a="1"/>
  <c r="BI42" i="26" s="1"/>
  <c r="BI43" i="26" a="1"/>
  <c r="BI43" i="26" s="1"/>
  <c r="BI44" i="26" a="1"/>
  <c r="BI44" i="26" s="1"/>
  <c r="BI45" i="26" a="1"/>
  <c r="BI45" i="26" s="1"/>
  <c r="BI46" i="26" a="1"/>
  <c r="BI46" i="26" s="1"/>
  <c r="BI47" i="26" a="1"/>
  <c r="BI47" i="26" s="1"/>
  <c r="BI48" i="26" a="1"/>
  <c r="BI48" i="26" s="1"/>
  <c r="BI49" i="26" a="1"/>
  <c r="BI49" i="26" s="1"/>
  <c r="BI50" i="26" a="1"/>
  <c r="BI50" i="26" s="1"/>
  <c r="BI51" i="26" a="1"/>
  <c r="BI51" i="26" s="1"/>
  <c r="BI52" i="26" a="1"/>
  <c r="BI52" i="26" s="1"/>
  <c r="BI53" i="26" a="1"/>
  <c r="BI53" i="26" s="1"/>
  <c r="BI54" i="26" a="1"/>
  <c r="BI54" i="26" s="1"/>
  <c r="BI55" i="26" a="1"/>
  <c r="BI55" i="26" s="1"/>
  <c r="BI56" i="26" a="1"/>
  <c r="BI56" i="26" s="1"/>
  <c r="C43" i="39"/>
  <c r="A43" i="39" s="1"/>
  <c r="F393" i="22"/>
  <c r="BI57" i="26" a="1"/>
  <c r="BI57" i="26" s="1"/>
  <c r="BG63" i="24"/>
  <c r="BG62" i="24"/>
  <c r="BH9" i="24" a="1"/>
  <c r="BH9" i="24" s="1"/>
  <c r="BH61" i="24"/>
  <c r="BH60" i="24"/>
  <c r="BH10" i="24" a="1"/>
  <c r="BH10" i="24" s="1"/>
  <c r="BH11" i="24" a="1"/>
  <c r="BH11" i="24" s="1"/>
  <c r="BH13" i="24" a="1"/>
  <c r="BH13" i="24" s="1"/>
  <c r="BH12" i="24" a="1"/>
  <c r="BH12" i="24" s="1"/>
  <c r="BH14" i="24" a="1"/>
  <c r="BH14" i="24" s="1"/>
  <c r="BH16" i="24" a="1"/>
  <c r="BH16" i="24" s="1"/>
  <c r="BH15" i="24" a="1"/>
  <c r="BH15" i="24" s="1"/>
  <c r="BH17" i="24" a="1"/>
  <c r="BH17" i="24" s="1"/>
  <c r="BI8" i="24" a="1"/>
  <c r="BI8" i="24" s="1"/>
  <c r="BH18" i="24" a="1"/>
  <c r="BH18" i="24" s="1"/>
  <c r="BH19" i="24" a="1"/>
  <c r="BH19" i="24" s="1"/>
  <c r="BH21" i="24" a="1"/>
  <c r="BH21" i="24" s="1"/>
  <c r="BH20" i="24" a="1"/>
  <c r="BH20" i="24" s="1"/>
  <c r="BH22" i="24" a="1"/>
  <c r="BH22" i="24" s="1"/>
  <c r="BH23" i="24" a="1"/>
  <c r="BH23" i="24" s="1"/>
  <c r="BH24" i="24" a="1"/>
  <c r="BH24" i="24" s="1"/>
  <c r="BH25" i="24" a="1"/>
  <c r="BH25" i="24" s="1"/>
  <c r="BH26" i="24" a="1"/>
  <c r="BH26" i="24" s="1"/>
  <c r="BH27" i="24" a="1"/>
  <c r="BH27" i="24" s="1"/>
  <c r="BH28" i="24" a="1"/>
  <c r="BH28" i="24" s="1"/>
  <c r="BH29" i="24" a="1"/>
  <c r="BH29" i="24" s="1"/>
  <c r="BH30" i="24" a="1"/>
  <c r="BH30" i="24" s="1"/>
  <c r="BH31" i="24" a="1"/>
  <c r="BH31" i="24" s="1"/>
  <c r="BH32" i="24" a="1"/>
  <c r="BH32" i="24" s="1"/>
  <c r="BH33" i="24" a="1"/>
  <c r="BH33" i="24" s="1"/>
  <c r="BH34" i="24" a="1"/>
  <c r="BH34" i="24" s="1"/>
  <c r="BH35" i="24" a="1"/>
  <c r="BH35" i="24" s="1"/>
  <c r="BH36" i="24" a="1"/>
  <c r="BH36" i="24" s="1"/>
  <c r="BH37" i="24" a="1"/>
  <c r="BH37" i="24" s="1"/>
  <c r="BH38" i="24" a="1"/>
  <c r="BH38" i="24" s="1"/>
  <c r="BH39" i="24" a="1"/>
  <c r="BH39" i="24" s="1"/>
  <c r="BH40" i="24" a="1"/>
  <c r="BH40" i="24" s="1"/>
  <c r="BH41" i="24" a="1"/>
  <c r="BH41" i="24" s="1"/>
  <c r="BH42" i="24" a="1"/>
  <c r="BH42" i="24" s="1"/>
  <c r="BH43" i="24" a="1"/>
  <c r="BH43" i="24" s="1"/>
  <c r="BH44" i="24" a="1"/>
  <c r="BH44" i="24" s="1"/>
  <c r="BH45" i="24" a="1"/>
  <c r="BH45" i="24" s="1"/>
  <c r="BH46" i="24" a="1"/>
  <c r="BH46" i="24" s="1"/>
  <c r="BH47" i="24" a="1"/>
  <c r="BH47" i="24" s="1"/>
  <c r="BH48" i="24" a="1"/>
  <c r="BH48" i="24" s="1"/>
  <c r="BH49" i="24" a="1"/>
  <c r="BH49" i="24" s="1"/>
  <c r="BH50" i="24" a="1"/>
  <c r="BH50" i="24" s="1"/>
  <c r="BH51" i="24" a="1"/>
  <c r="BH51" i="24" s="1"/>
  <c r="BH52" i="24" a="1"/>
  <c r="BH52" i="24" s="1"/>
  <c r="BH53" i="24" a="1"/>
  <c r="BH53" i="24" s="1"/>
  <c r="BH54" i="24" a="1"/>
  <c r="BH54" i="24" s="1"/>
  <c r="BH55" i="24" a="1"/>
  <c r="BH55" i="24" s="1"/>
  <c r="Q58" i="26" a="1"/>
  <c r="Q58" i="26" s="1"/>
  <c r="Q62" i="26" s="1"/>
  <c r="O58" i="26" a="1"/>
  <c r="O58" i="26" s="1"/>
  <c r="O62" i="26" s="1"/>
  <c r="X58" i="26" a="1"/>
  <c r="X58" i="26" s="1"/>
  <c r="X62" i="26" s="1"/>
  <c r="BI58" i="26" a="1"/>
  <c r="BI58" i="26" s="1"/>
  <c r="U58" i="26" a="1"/>
  <c r="U58" i="26" s="1"/>
  <c r="U62" i="26" s="1"/>
  <c r="BA58" i="26" a="1"/>
  <c r="BA58" i="26" s="1"/>
  <c r="BA62" i="26" s="1"/>
  <c r="BG58" i="26" a="1"/>
  <c r="BG58" i="26" s="1"/>
  <c r="BG62" i="26" s="1"/>
  <c r="R58" i="26" a="1"/>
  <c r="R58" i="26" s="1"/>
  <c r="R62" i="26" s="1"/>
  <c r="BD58" i="26" a="1"/>
  <c r="BD58" i="26" s="1"/>
  <c r="BD62" i="26" s="1"/>
  <c r="BE58" i="26" a="1"/>
  <c r="BE58" i="26" s="1"/>
  <c r="BE62" i="26" s="1"/>
  <c r="P58" i="26" a="1"/>
  <c r="P58" i="26" s="1"/>
  <c r="P62" i="26" s="1"/>
  <c r="AW58" i="26" a="1"/>
  <c r="AW58" i="26" s="1"/>
  <c r="AW62" i="26" s="1"/>
  <c r="BC58" i="26" a="1"/>
  <c r="BC58" i="26" s="1"/>
  <c r="BC62" i="26" s="1"/>
  <c r="BH58" i="26" a="1"/>
  <c r="BH58" i="26" s="1"/>
  <c r="BH62" i="26" s="1"/>
  <c r="AU58" i="26" a="1"/>
  <c r="AU58" i="26" s="1"/>
  <c r="AU62" i="26" s="1"/>
  <c r="AZ58" i="26" a="1"/>
  <c r="AZ58" i="26" s="1"/>
  <c r="AZ62" i="26" s="1"/>
  <c r="BF58" i="26" a="1"/>
  <c r="BF58" i="26" s="1"/>
  <c r="BF62" i="26" s="1"/>
  <c r="AX58" i="26" a="1"/>
  <c r="AX58" i="26" s="1"/>
  <c r="AX62" i="26" s="1"/>
  <c r="AY58" i="26" a="1"/>
  <c r="AY58" i="26" s="1"/>
  <c r="AY62" i="26" s="1"/>
  <c r="M58" i="26" a="1"/>
  <c r="M58" i="26" s="1"/>
  <c r="M62" i="26" s="1"/>
  <c r="AQ58" i="26" a="1"/>
  <c r="AQ58" i="26" s="1"/>
  <c r="AQ62" i="26" s="1"/>
  <c r="AV58" i="26" a="1"/>
  <c r="AV58" i="26" s="1"/>
  <c r="AV62" i="26" s="1"/>
  <c r="BB58" i="26" a="1"/>
  <c r="BB58" i="26" s="1"/>
  <c r="BB62" i="26" s="1"/>
  <c r="AN58" i="26" a="1"/>
  <c r="AN58" i="26" s="1"/>
  <c r="AN62" i="26" s="1"/>
  <c r="AT58" i="26" a="1"/>
  <c r="AT58" i="26" s="1"/>
  <c r="AT62" i="26" s="1"/>
  <c r="AS58" i="26" a="1"/>
  <c r="AS58" i="26" s="1"/>
  <c r="AS62" i="26" s="1"/>
  <c r="AJ58" i="26" a="1"/>
  <c r="AJ58" i="26" s="1"/>
  <c r="AJ62" i="26" s="1"/>
  <c r="AR58" i="26" a="1"/>
  <c r="AR58" i="26" s="1"/>
  <c r="AR62" i="26" s="1"/>
  <c r="AC58" i="26" a="1"/>
  <c r="AC58" i="26" s="1"/>
  <c r="AC62" i="26" s="1"/>
  <c r="AP58" i="26" a="1"/>
  <c r="AP58" i="26" s="1"/>
  <c r="AP62" i="26" s="1"/>
  <c r="AO58" i="26" a="1"/>
  <c r="AO58" i="26" s="1"/>
  <c r="AO62" i="26" s="1"/>
  <c r="AG58" i="26" a="1"/>
  <c r="AG58" i="26" s="1"/>
  <c r="AG62" i="26" s="1"/>
  <c r="AM58" i="26" a="1"/>
  <c r="AM58" i="26" s="1"/>
  <c r="AM62" i="26" s="1"/>
  <c r="AL58" i="26" a="1"/>
  <c r="AL58" i="26" s="1"/>
  <c r="AL62" i="26" s="1"/>
  <c r="AD58" i="26" a="1"/>
  <c r="AD58" i="26" s="1"/>
  <c r="AD62" i="26" s="1"/>
  <c r="AK58" i="26" a="1"/>
  <c r="AK58" i="26" s="1"/>
  <c r="AK62" i="26" s="1"/>
  <c r="V58" i="26" a="1"/>
  <c r="V58" i="26" s="1"/>
  <c r="V62" i="26" s="1"/>
  <c r="AI58" i="26" a="1"/>
  <c r="AI58" i="26" s="1"/>
  <c r="AI62" i="26" s="1"/>
  <c r="AH58" i="26" a="1"/>
  <c r="AH58" i="26" s="1"/>
  <c r="AH62" i="26" s="1"/>
  <c r="AA58" i="26" a="1"/>
  <c r="AA58" i="26" s="1"/>
  <c r="AA62" i="26" s="1"/>
  <c r="AF58" i="26" a="1"/>
  <c r="AF58" i="26" s="1"/>
  <c r="AF62" i="26" s="1"/>
  <c r="Y58" i="26" a="1"/>
  <c r="Y58" i="26" s="1"/>
  <c r="Y62" i="26" s="1"/>
  <c r="W58" i="26" a="1"/>
  <c r="W58" i="26" s="1"/>
  <c r="W62" i="26" s="1"/>
  <c r="AE58" i="26" a="1"/>
  <c r="AE58" i="26" s="1"/>
  <c r="AE62" i="26" s="1"/>
  <c r="AB58" i="26" a="1"/>
  <c r="AB58" i="26" s="1"/>
  <c r="AB62" i="26" s="1"/>
  <c r="T58" i="26" a="1"/>
  <c r="T58" i="26" s="1"/>
  <c r="T62" i="26" s="1"/>
  <c r="S58" i="26" a="1"/>
  <c r="S58" i="26" s="1"/>
  <c r="S62" i="26" s="1"/>
  <c r="Z58" i="26" a="1"/>
  <c r="Z58" i="26" s="1"/>
  <c r="Z62" i="26" s="1"/>
  <c r="N58" i="26" a="1"/>
  <c r="N58" i="26" s="1"/>
  <c r="N62" i="26" s="1"/>
  <c r="BE54" i="38"/>
  <c r="BL47" i="25" l="1" a="1"/>
  <c r="BL47" i="25" s="1"/>
  <c r="BL11" i="25" a="1"/>
  <c r="BL11" i="25" s="1"/>
  <c r="BL52" i="25" a="1"/>
  <c r="BL52" i="25" s="1"/>
  <c r="BL46" i="25" a="1"/>
  <c r="BL46" i="25" s="1"/>
  <c r="BL40" i="25" a="1"/>
  <c r="BL40" i="25" s="1"/>
  <c r="BL34" i="25" a="1"/>
  <c r="BL34" i="25" s="1"/>
  <c r="BL28" i="25" a="1"/>
  <c r="BL28" i="25" s="1"/>
  <c r="BL22" i="25" a="1"/>
  <c r="BL22" i="25" s="1"/>
  <c r="BL16" i="25" a="1"/>
  <c r="BL16" i="25" s="1"/>
  <c r="BL10" i="25" a="1"/>
  <c r="BL10" i="25" s="1"/>
  <c r="BL54" i="25" a="1"/>
  <c r="BL54" i="25" s="1"/>
  <c r="BL18" i="25" a="1"/>
  <c r="BL18" i="25" s="1"/>
  <c r="BL51" i="25" a="1"/>
  <c r="BL51" i="25" s="1"/>
  <c r="BL45" i="25" a="1"/>
  <c r="BL45" i="25" s="1"/>
  <c r="BL39" i="25" a="1"/>
  <c r="BL39" i="25" s="1"/>
  <c r="BL33" i="25" a="1"/>
  <c r="BL33" i="25" s="1"/>
  <c r="BL27" i="25" a="1"/>
  <c r="BL27" i="25" s="1"/>
  <c r="BL21" i="25" a="1"/>
  <c r="BL21" i="25" s="1"/>
  <c r="BL15" i="25" a="1"/>
  <c r="BL15" i="25" s="1"/>
  <c r="BL60" i="25"/>
  <c r="BL41" i="25" a="1"/>
  <c r="BL41" i="25" s="1"/>
  <c r="BL23" i="25" a="1"/>
  <c r="BL23" i="25" s="1"/>
  <c r="BL50" i="25" a="1"/>
  <c r="BL50" i="25" s="1"/>
  <c r="BL44" i="25" a="1"/>
  <c r="BL44" i="25" s="1"/>
  <c r="BL32" i="25" a="1"/>
  <c r="BL32" i="25" s="1"/>
  <c r="BL20" i="25" a="1"/>
  <c r="BL20" i="25" s="1"/>
  <c r="BL14" i="25" a="1"/>
  <c r="BL14" i="25" s="1"/>
  <c r="BL49" i="25" a="1"/>
  <c r="BL49" i="25" s="1"/>
  <c r="BL43" i="25" a="1"/>
  <c r="BL43" i="25" s="1"/>
  <c r="BL37" i="25" a="1"/>
  <c r="BL37" i="25" s="1"/>
  <c r="BL31" i="25" a="1"/>
  <c r="BL31" i="25" s="1"/>
  <c r="BL25" i="25" a="1"/>
  <c r="BL25" i="25" s="1"/>
  <c r="BL19" i="25" a="1"/>
  <c r="BL19" i="25" s="1"/>
  <c r="BL13" i="25" a="1"/>
  <c r="BL13" i="25" s="1"/>
  <c r="BL61" i="25"/>
  <c r="B355" i="39" s="1" a="1"/>
  <c r="BL35" i="25" a="1"/>
  <c r="BL35" i="25" s="1"/>
  <c r="BL29" i="25" a="1"/>
  <c r="BL29" i="25" s="1"/>
  <c r="BL38" i="25" a="1"/>
  <c r="BL38" i="25" s="1"/>
  <c r="BL26" i="25" a="1"/>
  <c r="BL26" i="25" s="1"/>
  <c r="BL9" i="25" a="1"/>
  <c r="BL9" i="25" s="1"/>
  <c r="BL48" i="25" a="1"/>
  <c r="BL48" i="25" s="1"/>
  <c r="BL42" i="25" a="1"/>
  <c r="BL42" i="25" s="1"/>
  <c r="BL36" i="25" a="1"/>
  <c r="BL36" i="25" s="1"/>
  <c r="BL30" i="25" a="1"/>
  <c r="BL30" i="25" s="1"/>
  <c r="BL24" i="25" a="1"/>
  <c r="BL24" i="25" s="1"/>
  <c r="BL17" i="25" a="1"/>
  <c r="BL17" i="25" s="1"/>
  <c r="BL12" i="25" a="1"/>
  <c r="BL12" i="25" s="1"/>
  <c r="AS57" i="24" a="1"/>
  <c r="AS57" i="24" s="1"/>
  <c r="AX57" i="24" a="1"/>
  <c r="AX57" i="24" s="1"/>
  <c r="BF57" i="24" a="1"/>
  <c r="BF57" i="24" s="1"/>
  <c r="AC57" i="24" a="1"/>
  <c r="AC57" i="24" s="1"/>
  <c r="Q57" i="24" a="1"/>
  <c r="Q57" i="24" s="1"/>
  <c r="AH57" i="24" a="1"/>
  <c r="AH57" i="24" s="1"/>
  <c r="AW57" i="24" a="1"/>
  <c r="AW57" i="24" s="1"/>
  <c r="AR57" i="24" a="1"/>
  <c r="AR57" i="24" s="1"/>
  <c r="AK57" i="24" a="1"/>
  <c r="AK57" i="24" s="1"/>
  <c r="AP57" i="24" a="1"/>
  <c r="AP57" i="24" s="1"/>
  <c r="O57" i="24" a="1"/>
  <c r="O57" i="24" s="1"/>
  <c r="R57" i="24" a="1"/>
  <c r="R57" i="24" s="1"/>
  <c r="BD57" i="24" a="1"/>
  <c r="BD57" i="24" s="1"/>
  <c r="AQ57" i="24" a="1"/>
  <c r="AQ57" i="24" s="1"/>
  <c r="AO57" i="24" a="1"/>
  <c r="AO57" i="24" s="1"/>
  <c r="X57" i="24" a="1"/>
  <c r="X57" i="24" s="1"/>
  <c r="W57" i="24" a="1"/>
  <c r="W57" i="24" s="1"/>
  <c r="BH57" i="24" a="1"/>
  <c r="BH57" i="24" s="1"/>
  <c r="BE57" i="24" a="1"/>
  <c r="BE57" i="24" s="1"/>
  <c r="AD57" i="24" a="1"/>
  <c r="AD57" i="24" s="1"/>
  <c r="AN57" i="24" a="1"/>
  <c r="AN57" i="24" s="1"/>
  <c r="AU57" i="24" a="1"/>
  <c r="AU57" i="24" s="1"/>
  <c r="AB57" i="24" a="1"/>
  <c r="AB57" i="24" s="1"/>
  <c r="AF57" i="24" a="1"/>
  <c r="AF57" i="24" s="1"/>
  <c r="AE57" i="24" a="1"/>
  <c r="AE57" i="24" s="1"/>
  <c r="U57" i="24" a="1"/>
  <c r="U57" i="24" s="1"/>
  <c r="L58" i="24" a="1"/>
  <c r="L58" i="24" s="1"/>
  <c r="M58" i="24" s="1" a="1"/>
  <c r="M58" i="24" s="1"/>
  <c r="AZ57" i="24" a="1"/>
  <c r="AZ57" i="24" s="1"/>
  <c r="BB57" i="24" a="1"/>
  <c r="BB57" i="24" s="1"/>
  <c r="AM57" i="24" a="1"/>
  <c r="AM57" i="24" s="1"/>
  <c r="AL57" i="24" a="1"/>
  <c r="AL57" i="24" s="1"/>
  <c r="T57" i="24" a="1"/>
  <c r="T57" i="24" s="1"/>
  <c r="P57" i="24" a="1"/>
  <c r="P57" i="24" s="1"/>
  <c r="S57" i="24" a="1"/>
  <c r="S57" i="24" s="1"/>
  <c r="M57" i="24" a="1"/>
  <c r="M57" i="24" s="1"/>
  <c r="AY57" i="24" a="1"/>
  <c r="AY57" i="24" s="1"/>
  <c r="AJ57" i="24" a="1"/>
  <c r="AJ57" i="24" s="1"/>
  <c r="BC57" i="24" a="1"/>
  <c r="BC57" i="24" s="1"/>
  <c r="Z57" i="24" a="1"/>
  <c r="Z57" i="24" s="1"/>
  <c r="AA57" i="24" a="1"/>
  <c r="AA57" i="24" s="1"/>
  <c r="N57" i="24" a="1"/>
  <c r="N57" i="24" s="1"/>
  <c r="BA57" i="24" a="1"/>
  <c r="BA57" i="24" s="1"/>
  <c r="BG57" i="24" a="1"/>
  <c r="BG57" i="24" s="1"/>
  <c r="AT57" i="24" a="1"/>
  <c r="AT57" i="24" s="1"/>
  <c r="AI57" i="24" a="1"/>
  <c r="AI57" i="24" s="1"/>
  <c r="AV57" i="24" a="1"/>
  <c r="AV57" i="24" s="1"/>
  <c r="AG57" i="24" a="1"/>
  <c r="AG57" i="24" s="1"/>
  <c r="Y57" i="24" a="1"/>
  <c r="Y57" i="24" s="1"/>
  <c r="B301" i="39" a="1"/>
  <c r="P55" i="25" a="1"/>
  <c r="P55" i="25" s="1"/>
  <c r="Q55" i="25" a="1"/>
  <c r="Q55" i="25" s="1"/>
  <c r="O55" i="25" a="1"/>
  <c r="O55" i="25" s="1"/>
  <c r="U55" i="25" a="1"/>
  <c r="U55" i="25" s="1"/>
  <c r="V55" i="25" a="1"/>
  <c r="V55" i="25" s="1"/>
  <c r="S55" i="25" a="1"/>
  <c r="S55" i="25" s="1"/>
  <c r="R55" i="25" a="1"/>
  <c r="R55" i="25" s="1"/>
  <c r="T55" i="25" a="1"/>
  <c r="T55" i="25" s="1"/>
  <c r="W55" i="25" a="1"/>
  <c r="W55" i="25" s="1"/>
  <c r="Y55" i="25" a="1"/>
  <c r="Y55" i="25" s="1"/>
  <c r="AD55" i="25" a="1"/>
  <c r="AD55" i="25" s="1"/>
  <c r="AA55" i="25" a="1"/>
  <c r="AA55" i="25" s="1"/>
  <c r="Z55" i="25" a="1"/>
  <c r="Z55" i="25" s="1"/>
  <c r="X55" i="25" a="1"/>
  <c r="X55" i="25" s="1"/>
  <c r="AB55" i="25" a="1"/>
  <c r="AB55" i="25" s="1"/>
  <c r="AC55" i="25" a="1"/>
  <c r="AC55" i="25" s="1"/>
  <c r="AE55" i="25" a="1"/>
  <c r="AE55" i="25" s="1"/>
  <c r="AI55" i="25" a="1"/>
  <c r="AI55" i="25" s="1"/>
  <c r="AK55" i="25" a="1"/>
  <c r="AK55" i="25" s="1"/>
  <c r="AH55" i="25" a="1"/>
  <c r="AH55" i="25" s="1"/>
  <c r="AF55" i="25" a="1"/>
  <c r="AF55" i="25" s="1"/>
  <c r="AM55" i="25" a="1"/>
  <c r="AM55" i="25" s="1"/>
  <c r="AJ55" i="25" a="1"/>
  <c r="AJ55" i="25" s="1"/>
  <c r="AG55" i="25" a="1"/>
  <c r="AG55" i="25" s="1"/>
  <c r="AP55" i="25" a="1"/>
  <c r="AP55" i="25" s="1"/>
  <c r="AO55" i="25" a="1"/>
  <c r="AO55" i="25" s="1"/>
  <c r="AN55" i="25" a="1"/>
  <c r="AN55" i="25" s="1"/>
  <c r="AQ55" i="25" a="1"/>
  <c r="AQ55" i="25" s="1"/>
  <c r="AL55" i="25" a="1"/>
  <c r="AL55" i="25" s="1"/>
  <c r="AW55" i="25" a="1"/>
  <c r="AW55" i="25" s="1"/>
  <c r="AR55" i="25" a="1"/>
  <c r="AR55" i="25" s="1"/>
  <c r="AT55" i="25" a="1"/>
  <c r="AT55" i="25" s="1"/>
  <c r="AU55" i="25" a="1"/>
  <c r="AU55" i="25" s="1"/>
  <c r="AY55" i="25" a="1"/>
  <c r="AY55" i="25" s="1"/>
  <c r="AV55" i="25" a="1"/>
  <c r="AV55" i="25" s="1"/>
  <c r="AS55" i="25" a="1"/>
  <c r="AS55" i="25" s="1"/>
  <c r="AX55" i="25" a="1"/>
  <c r="AX55" i="25" s="1"/>
  <c r="AZ55" i="25" a="1"/>
  <c r="AZ55" i="25" s="1"/>
  <c r="BE55" i="25" a="1"/>
  <c r="BE55" i="25" s="1"/>
  <c r="BB55" i="25" a="1"/>
  <c r="BB55" i="25" s="1"/>
  <c r="BA55" i="25" a="1"/>
  <c r="BA55" i="25" s="1"/>
  <c r="BC55" i="25" a="1"/>
  <c r="BC55" i="25" s="1"/>
  <c r="BD55" i="25" a="1"/>
  <c r="BD55" i="25" s="1"/>
  <c r="BG55" i="25" a="1"/>
  <c r="BG55" i="25" s="1"/>
  <c r="BF55" i="25" a="1"/>
  <c r="BF55" i="25" s="1"/>
  <c r="BH55" i="25" a="1"/>
  <c r="BH55" i="25" s="1"/>
  <c r="BK55" i="25" a="1"/>
  <c r="BK55" i="25" s="1"/>
  <c r="BI55" i="25" a="1"/>
  <c r="BI55" i="25" s="1"/>
  <c r="BL55" i="25" a="1"/>
  <c r="BL55" i="25" s="1"/>
  <c r="BJ55" i="25" a="1"/>
  <c r="BJ55" i="25" s="1"/>
  <c r="N56" i="25" a="1"/>
  <c r="N56" i="25" s="1"/>
  <c r="C44" i="39"/>
  <c r="A44" i="39" s="1"/>
  <c r="F394" i="22"/>
  <c r="BI60" i="24"/>
  <c r="BI61" i="24"/>
  <c r="BI9" i="24" a="1"/>
  <c r="BI9" i="24" s="1"/>
  <c r="BI10" i="24" a="1"/>
  <c r="BI10" i="24" s="1"/>
  <c r="BI11" i="24" a="1"/>
  <c r="BI11" i="24" s="1"/>
  <c r="BI12" i="24" a="1"/>
  <c r="BI12" i="24" s="1"/>
  <c r="BI13" i="24" a="1"/>
  <c r="BI13" i="24" s="1"/>
  <c r="BI14" i="24" a="1"/>
  <c r="BI14" i="24" s="1"/>
  <c r="BI16" i="24" a="1"/>
  <c r="BI16" i="24" s="1"/>
  <c r="BI17" i="24" a="1"/>
  <c r="BI17" i="24" s="1"/>
  <c r="BI15" i="24" a="1"/>
  <c r="BI15" i="24" s="1"/>
  <c r="BJ8" i="24" a="1"/>
  <c r="BJ8" i="24" s="1"/>
  <c r="BI18" i="24" a="1"/>
  <c r="BI18" i="24" s="1"/>
  <c r="BI19" i="24" a="1"/>
  <c r="BI19" i="24" s="1"/>
  <c r="BI20" i="24" a="1"/>
  <c r="BI20" i="24" s="1"/>
  <c r="BI21" i="24" a="1"/>
  <c r="BI21" i="24" s="1"/>
  <c r="BI22" i="24" a="1"/>
  <c r="BI22" i="24" s="1"/>
  <c r="BI23" i="24" a="1"/>
  <c r="BI23" i="24" s="1"/>
  <c r="BI24" i="24" a="1"/>
  <c r="BI24" i="24" s="1"/>
  <c r="BI25" i="24" a="1"/>
  <c r="BI25" i="24" s="1"/>
  <c r="BI26" i="24" a="1"/>
  <c r="BI26" i="24" s="1"/>
  <c r="BI27" i="24" a="1"/>
  <c r="BI27" i="24" s="1"/>
  <c r="BI28" i="24" a="1"/>
  <c r="BI28" i="24" s="1"/>
  <c r="BI29" i="24" a="1"/>
  <c r="BI29" i="24" s="1"/>
  <c r="BI30" i="24" a="1"/>
  <c r="BI30" i="24" s="1"/>
  <c r="BI31" i="24" a="1"/>
  <c r="BI31" i="24" s="1"/>
  <c r="BI32" i="24" a="1"/>
  <c r="BI32" i="24" s="1"/>
  <c r="BI33" i="24" a="1"/>
  <c r="BI33" i="24" s="1"/>
  <c r="BI34" i="24" a="1"/>
  <c r="BI34" i="24" s="1"/>
  <c r="BI35" i="24" a="1"/>
  <c r="BI35" i="24" s="1"/>
  <c r="BI36" i="24" a="1"/>
  <c r="BI36" i="24" s="1"/>
  <c r="BI37" i="24" a="1"/>
  <c r="BI37" i="24" s="1"/>
  <c r="BI38" i="24" a="1"/>
  <c r="BI38" i="24" s="1"/>
  <c r="BI39" i="24" a="1"/>
  <c r="BI39" i="24" s="1"/>
  <c r="BI40" i="24" a="1"/>
  <c r="BI40" i="24" s="1"/>
  <c r="BI41" i="24" a="1"/>
  <c r="BI41" i="24" s="1"/>
  <c r="BI42" i="24" a="1"/>
  <c r="BI42" i="24" s="1"/>
  <c r="BI43" i="24" a="1"/>
  <c r="BI43" i="24" s="1"/>
  <c r="BI44" i="24" a="1"/>
  <c r="BI44" i="24" s="1"/>
  <c r="BI45" i="24" a="1"/>
  <c r="BI45" i="24" s="1"/>
  <c r="BI46" i="24" a="1"/>
  <c r="BI46" i="24" s="1"/>
  <c r="BI47" i="24" a="1"/>
  <c r="BI47" i="24" s="1"/>
  <c r="BI48" i="24" a="1"/>
  <c r="BI48" i="24" s="1"/>
  <c r="BI49" i="24" a="1"/>
  <c r="BI49" i="24" s="1"/>
  <c r="BI50" i="24" a="1"/>
  <c r="BI50" i="24" s="1"/>
  <c r="BI51" i="24" a="1"/>
  <c r="BI51" i="24" s="1"/>
  <c r="BI52" i="24" a="1"/>
  <c r="BI52" i="24" s="1"/>
  <c r="BI53" i="24" a="1"/>
  <c r="BI53" i="24" s="1"/>
  <c r="BI54" i="24" a="1"/>
  <c r="BI54" i="24" s="1"/>
  <c r="BI55" i="24" a="1"/>
  <c r="BI55" i="24" s="1"/>
  <c r="BI56" i="24" a="1"/>
  <c r="BI56" i="24" s="1"/>
  <c r="BI62" i="26"/>
  <c r="BJ9" i="26" a="1"/>
  <c r="BJ9" i="26" s="1"/>
  <c r="BJ10" i="26" a="1"/>
  <c r="BJ10" i="26" s="1"/>
  <c r="BJ60" i="26"/>
  <c r="B516" i="39" s="1" a="1"/>
  <c r="BJ61" i="26"/>
  <c r="BJ11" i="26" a="1"/>
  <c r="BJ11" i="26" s="1"/>
  <c r="BJ13" i="26" a="1"/>
  <c r="BJ13" i="26" s="1"/>
  <c r="BJ12" i="26" a="1"/>
  <c r="BJ12" i="26" s="1"/>
  <c r="BJ14" i="26" a="1"/>
  <c r="BJ14" i="26" s="1"/>
  <c r="BJ15" i="26" a="1"/>
  <c r="BJ15" i="26" s="1"/>
  <c r="BJ16" i="26" a="1"/>
  <c r="BJ16" i="26" s="1"/>
  <c r="BJ17" i="26" a="1"/>
  <c r="BJ17" i="26" s="1"/>
  <c r="BJ19" i="26" a="1"/>
  <c r="BJ19" i="26" s="1"/>
  <c r="BJ18" i="26" a="1"/>
  <c r="BJ18" i="26" s="1"/>
  <c r="BJ20" i="26" a="1"/>
  <c r="BJ20" i="26" s="1"/>
  <c r="BJ21" i="26" a="1"/>
  <c r="BJ21" i="26" s="1"/>
  <c r="BJ22" i="26" a="1"/>
  <c r="BJ22" i="26" s="1"/>
  <c r="BJ23" i="26" a="1"/>
  <c r="BJ23" i="26" s="1"/>
  <c r="BJ24" i="26" a="1"/>
  <c r="BJ24" i="26" s="1"/>
  <c r="BJ25" i="26" a="1"/>
  <c r="BJ25" i="26" s="1"/>
  <c r="BJ26" i="26" a="1"/>
  <c r="BJ26" i="26" s="1"/>
  <c r="BJ27" i="26" a="1"/>
  <c r="BJ27" i="26" s="1"/>
  <c r="BJ28" i="26" a="1"/>
  <c r="BJ28" i="26" s="1"/>
  <c r="BJ29" i="26" a="1"/>
  <c r="BJ29" i="26" s="1"/>
  <c r="BJ30" i="26" a="1"/>
  <c r="BJ30" i="26" s="1"/>
  <c r="BJ31" i="26" a="1"/>
  <c r="BJ31" i="26" s="1"/>
  <c r="BJ32" i="26" a="1"/>
  <c r="BJ32" i="26" s="1"/>
  <c r="BJ33" i="26" a="1"/>
  <c r="BJ33" i="26" s="1"/>
  <c r="BJ34" i="26" a="1"/>
  <c r="BJ34" i="26" s="1"/>
  <c r="BJ35" i="26" a="1"/>
  <c r="BJ35" i="26" s="1"/>
  <c r="BJ36" i="26" a="1"/>
  <c r="BJ36" i="26" s="1"/>
  <c r="BJ37" i="26" a="1"/>
  <c r="BJ37" i="26" s="1"/>
  <c r="BJ38" i="26" a="1"/>
  <c r="BJ38" i="26" s="1"/>
  <c r="BJ39" i="26" a="1"/>
  <c r="BJ39" i="26" s="1"/>
  <c r="BJ40" i="26" a="1"/>
  <c r="BJ40" i="26" s="1"/>
  <c r="BJ41" i="26" a="1"/>
  <c r="BJ41" i="26" s="1"/>
  <c r="BJ42" i="26" a="1"/>
  <c r="BJ42" i="26" s="1"/>
  <c r="BJ43" i="26" a="1"/>
  <c r="BJ43" i="26" s="1"/>
  <c r="BJ44" i="26" a="1"/>
  <c r="BJ44" i="26" s="1"/>
  <c r="BJ45" i="26" a="1"/>
  <c r="BJ45" i="26" s="1"/>
  <c r="BJ46" i="26" a="1"/>
  <c r="BJ46" i="26" s="1"/>
  <c r="BJ47" i="26" a="1"/>
  <c r="BJ47" i="26" s="1"/>
  <c r="BJ48" i="26" a="1"/>
  <c r="BJ48" i="26" s="1"/>
  <c r="BJ49" i="26" a="1"/>
  <c r="BJ49" i="26" s="1"/>
  <c r="BJ50" i="26" a="1"/>
  <c r="BJ50" i="26" s="1"/>
  <c r="BJ51" i="26" a="1"/>
  <c r="BJ51" i="26" s="1"/>
  <c r="BJ52" i="26" a="1"/>
  <c r="BJ52" i="26" s="1"/>
  <c r="BJ53" i="26" a="1"/>
  <c r="BJ53" i="26" s="1"/>
  <c r="BJ54" i="26" a="1"/>
  <c r="BJ54" i="26" s="1"/>
  <c r="BJ55" i="26" a="1"/>
  <c r="BJ55" i="26" s="1"/>
  <c r="BJ56" i="26" a="1"/>
  <c r="BJ56" i="26" s="1"/>
  <c r="BJ57" i="26" a="1"/>
  <c r="BJ57" i="26" s="1"/>
  <c r="BH63" i="24"/>
  <c r="BH62" i="24"/>
  <c r="AA56" i="38"/>
  <c r="W56" i="38"/>
  <c r="AJ56" i="38"/>
  <c r="AT56" i="38"/>
  <c r="S56" i="38"/>
  <c r="O56" i="38"/>
  <c r="T56" i="38"/>
  <c r="AR56" i="38"/>
  <c r="BA56" i="38"/>
  <c r="BE56" i="38"/>
  <c r="BF56" i="38"/>
  <c r="AX56" i="38"/>
  <c r="AD56" i="38"/>
  <c r="AS56" i="38"/>
  <c r="AW56" i="38"/>
  <c r="AP56" i="38"/>
  <c r="AH56" i="38"/>
  <c r="AK56" i="38"/>
  <c r="AO56" i="38"/>
  <c r="Z56" i="38"/>
  <c r="R56" i="38"/>
  <c r="AC56" i="38"/>
  <c r="AG56" i="38"/>
  <c r="BD56" i="38"/>
  <c r="AV56" i="38"/>
  <c r="U56" i="38"/>
  <c r="Y56" i="38"/>
  <c r="AN56" i="38"/>
  <c r="AF56" i="38"/>
  <c r="M56" i="38"/>
  <c r="Q56" i="38"/>
  <c r="X56" i="38"/>
  <c r="P56" i="38"/>
  <c r="BC56" i="38"/>
  <c r="BB56" i="38"/>
  <c r="AB56" i="38"/>
  <c r="AY56" i="38"/>
  <c r="AU56" i="38"/>
  <c r="AL56" i="38"/>
  <c r="N56" i="38"/>
  <c r="AQ56" i="38"/>
  <c r="AM56" i="38"/>
  <c r="V56" i="38"/>
  <c r="L56" i="38"/>
  <c r="AI56" i="38"/>
  <c r="AE56" i="38"/>
  <c r="AZ56" i="38"/>
  <c r="K57" i="38" a="1"/>
  <c r="K57" i="38" s="1"/>
  <c r="BF10" i="38"/>
  <c r="BF9" i="38"/>
  <c r="BF61" i="38"/>
  <c r="BF60" i="38"/>
  <c r="BF11" i="38"/>
  <c r="BF12" i="38"/>
  <c r="BF13" i="38"/>
  <c r="BF14" i="38"/>
  <c r="BF15" i="38"/>
  <c r="BF16" i="38"/>
  <c r="BF17" i="38"/>
  <c r="BG8" i="38" a="1"/>
  <c r="BG8" i="38" s="1"/>
  <c r="BF18" i="38"/>
  <c r="BF19" i="38"/>
  <c r="BF20" i="38"/>
  <c r="BF21" i="38"/>
  <c r="BF22" i="38"/>
  <c r="BF23" i="38"/>
  <c r="BF24" i="38"/>
  <c r="BF25" i="38"/>
  <c r="BF26" i="38"/>
  <c r="BF27" i="38"/>
  <c r="BF28" i="38"/>
  <c r="BF29" i="38"/>
  <c r="BF30" i="38"/>
  <c r="BF31" i="38"/>
  <c r="BF32" i="38"/>
  <c r="BF33" i="38"/>
  <c r="BF34" i="38"/>
  <c r="BF35" i="38"/>
  <c r="BF36" i="38"/>
  <c r="BF37" i="38"/>
  <c r="BF38" i="38"/>
  <c r="BF39" i="38"/>
  <c r="BF40" i="38"/>
  <c r="BF41" i="38"/>
  <c r="BF42" i="38"/>
  <c r="BF43" i="38"/>
  <c r="BF44" i="38"/>
  <c r="BF45" i="38"/>
  <c r="BF46" i="38"/>
  <c r="BF47" i="38"/>
  <c r="BF48" i="38"/>
  <c r="BF49" i="38"/>
  <c r="BF50" i="38"/>
  <c r="BF51" i="38"/>
  <c r="BF52" i="38"/>
  <c r="BF53" i="38"/>
  <c r="BF54" i="38"/>
  <c r="BI57" i="24" a="1"/>
  <c r="BI57" i="24" s="1"/>
  <c r="M65" i="24" a="1"/>
  <c r="AI58" i="24" l="1" a="1"/>
  <c r="AI58" i="24" s="1"/>
  <c r="AI64" i="24" s="1"/>
  <c r="AD58" i="24" a="1"/>
  <c r="AD58" i="24" s="1"/>
  <c r="AD64" i="24" s="1"/>
  <c r="BE58" i="24" a="1"/>
  <c r="BE58" i="24" s="1"/>
  <c r="BE64" i="24" s="1"/>
  <c r="BA58" i="24" a="1"/>
  <c r="BA58" i="24" s="1"/>
  <c r="AX58" i="24" a="1"/>
  <c r="AX58" i="24" s="1"/>
  <c r="AX64" i="24" s="1"/>
  <c r="AU58" i="24" a="1"/>
  <c r="AU58" i="24" s="1"/>
  <c r="AU64" i="24" s="1"/>
  <c r="AN58" i="24" a="1"/>
  <c r="AN58" i="24" s="1"/>
  <c r="AN64" i="24" s="1"/>
  <c r="AC58" i="24" a="1"/>
  <c r="AC58" i="24" s="1"/>
  <c r="AC64" i="24" s="1"/>
  <c r="T58" i="24" a="1"/>
  <c r="T58" i="24" s="1"/>
  <c r="T64" i="24" s="1"/>
  <c r="S58" i="24" a="1"/>
  <c r="S58" i="24" s="1"/>
  <c r="S64" i="24" s="1"/>
  <c r="BB58" i="24" a="1"/>
  <c r="BB58" i="24" s="1"/>
  <c r="BB64" i="24" s="1"/>
  <c r="AF58" i="24" a="1"/>
  <c r="AF58" i="24" s="1"/>
  <c r="AF64" i="24" s="1"/>
  <c r="AK58" i="24" a="1"/>
  <c r="AK58" i="24" s="1"/>
  <c r="AK64" i="24" s="1"/>
  <c r="R58" i="24" a="1"/>
  <c r="R58" i="24" s="1"/>
  <c r="R64" i="24" s="1"/>
  <c r="BF58" i="24" a="1"/>
  <c r="BF58" i="24" s="1"/>
  <c r="AY58" i="24" a="1"/>
  <c r="AY58" i="24" s="1"/>
  <c r="AW58" i="24" a="1"/>
  <c r="AW58" i="24" s="1"/>
  <c r="AW64" i="24" s="1"/>
  <c r="AT58" i="24" a="1"/>
  <c r="AT58" i="24" s="1"/>
  <c r="AT64" i="24" s="1"/>
  <c r="AH58" i="24" a="1"/>
  <c r="AH58" i="24" s="1"/>
  <c r="AH64" i="24" s="1"/>
  <c r="Y58" i="24" a="1"/>
  <c r="Y58" i="24" s="1"/>
  <c r="Y64" i="24" s="1"/>
  <c r="W58" i="24" a="1"/>
  <c r="W58" i="24" s="1"/>
  <c r="W64" i="24" s="1"/>
  <c r="N58" i="24" a="1"/>
  <c r="N58" i="24" s="1"/>
  <c r="AG58" i="24" a="1"/>
  <c r="AG58" i="24" s="1"/>
  <c r="AG64" i="24" s="1"/>
  <c r="AE58" i="24" a="1"/>
  <c r="AE58" i="24" s="1"/>
  <c r="AE64" i="24" s="1"/>
  <c r="BC58" i="24" a="1"/>
  <c r="BC58" i="24" s="1"/>
  <c r="BC64" i="24" s="1"/>
  <c r="AV58" i="24" a="1"/>
  <c r="AV58" i="24" s="1"/>
  <c r="AV64" i="24" s="1"/>
  <c r="AL58" i="24" a="1"/>
  <c r="AL58" i="24" s="1"/>
  <c r="AL64" i="24" s="1"/>
  <c r="Z58" i="24" a="1"/>
  <c r="Z58" i="24" s="1"/>
  <c r="Z64" i="24" s="1"/>
  <c r="BH58" i="24" a="1"/>
  <c r="BH58" i="24" s="1"/>
  <c r="BH64" i="24" s="1"/>
  <c r="AS58" i="24" a="1"/>
  <c r="AS58" i="24" s="1"/>
  <c r="AS64" i="24" s="1"/>
  <c r="AO58" i="24" a="1"/>
  <c r="AO58" i="24" s="1"/>
  <c r="AO64" i="24" s="1"/>
  <c r="BG58" i="24" a="1"/>
  <c r="BG58" i="24" s="1"/>
  <c r="BG64" i="24" s="1"/>
  <c r="AZ58" i="24" a="1"/>
  <c r="AZ58" i="24" s="1"/>
  <c r="AZ64" i="24" s="1"/>
  <c r="Q58" i="24" a="1"/>
  <c r="Q58" i="24" s="1"/>
  <c r="O58" i="24" a="1"/>
  <c r="O58" i="24" s="1"/>
  <c r="O64" i="24" s="1"/>
  <c r="X58" i="24" a="1"/>
  <c r="X58" i="24" s="1"/>
  <c r="X64" i="24" s="1"/>
  <c r="BD58" i="24" a="1"/>
  <c r="BD58" i="24" s="1"/>
  <c r="BD64" i="24" s="1"/>
  <c r="AR58" i="24" a="1"/>
  <c r="AR58" i="24" s="1"/>
  <c r="AR64" i="24" s="1"/>
  <c r="V58" i="24" a="1"/>
  <c r="V58" i="24" s="1"/>
  <c r="P58" i="24" a="1"/>
  <c r="P58" i="24" s="1"/>
  <c r="P64" i="24" s="1"/>
  <c r="BI58" i="24" a="1"/>
  <c r="BI58" i="24" s="1"/>
  <c r="BI64" i="24" s="1"/>
  <c r="AQ58" i="24" a="1"/>
  <c r="AQ58" i="24" s="1"/>
  <c r="AQ64" i="24" s="1"/>
  <c r="AP58" i="24" a="1"/>
  <c r="AP58" i="24" s="1"/>
  <c r="AP64" i="24" s="1"/>
  <c r="AJ58" i="24" a="1"/>
  <c r="AJ58" i="24" s="1"/>
  <c r="AJ64" i="24" s="1"/>
  <c r="AM58" i="24" a="1"/>
  <c r="AM58" i="24" s="1"/>
  <c r="AM64" i="24" s="1"/>
  <c r="AA58" i="24" a="1"/>
  <c r="AA58" i="24" s="1"/>
  <c r="AA64" i="24" s="1"/>
  <c r="AB58" i="24" a="1"/>
  <c r="AB58" i="24" s="1"/>
  <c r="AB64" i="24" s="1"/>
  <c r="U58" i="24" a="1"/>
  <c r="U58" i="24" s="1"/>
  <c r="U64" i="24" s="1"/>
  <c r="M65" i="24"/>
  <c r="V64" i="24"/>
  <c r="Q64" i="24"/>
  <c r="BF64" i="24"/>
  <c r="N64" i="24"/>
  <c r="M64" i="24"/>
  <c r="BA64" i="24"/>
  <c r="AY64" i="24"/>
  <c r="B549" i="39"/>
  <c r="B559" i="39"/>
  <c r="B544" i="39"/>
  <c r="B547" i="39"/>
  <c r="B534" i="39"/>
  <c r="B522" i="39"/>
  <c r="B565" i="39"/>
  <c r="B535" i="39"/>
  <c r="B526" i="39"/>
  <c r="B538" i="39"/>
  <c r="B520" i="39"/>
  <c r="B518" i="39"/>
  <c r="B528" i="39"/>
  <c r="B553" i="39"/>
  <c r="B542" i="39"/>
  <c r="B533" i="39"/>
  <c r="B537" i="39"/>
  <c r="B527" i="39"/>
  <c r="B560" i="39"/>
  <c r="B529" i="39"/>
  <c r="B519" i="39"/>
  <c r="B531" i="39"/>
  <c r="B539" i="39"/>
  <c r="B563" i="39"/>
  <c r="B521" i="39"/>
  <c r="B561" i="39"/>
  <c r="B545" i="39"/>
  <c r="B546" i="39"/>
  <c r="B548" i="39"/>
  <c r="B523" i="39"/>
  <c r="B557" i="39"/>
  <c r="B536" i="39"/>
  <c r="B540" i="39"/>
  <c r="B558" i="39"/>
  <c r="B564" i="39"/>
  <c r="B541" i="39"/>
  <c r="B550" i="39"/>
  <c r="B562" i="39"/>
  <c r="B530" i="39"/>
  <c r="B556" i="39"/>
  <c r="B552" i="39"/>
  <c r="B532" i="39"/>
  <c r="B525" i="39"/>
  <c r="B517" i="39"/>
  <c r="B524" i="39"/>
  <c r="B551" i="39"/>
  <c r="B516" i="39"/>
  <c r="B554" i="39"/>
  <c r="B543" i="39"/>
  <c r="B555" i="39"/>
  <c r="P56" i="25" a="1"/>
  <c r="P56" i="25" s="1"/>
  <c r="S56" i="25" a="1"/>
  <c r="S56" i="25" s="1"/>
  <c r="Q56" i="25" a="1"/>
  <c r="Q56" i="25" s="1"/>
  <c r="O56" i="25" a="1"/>
  <c r="O56" i="25" s="1"/>
  <c r="R56" i="25" a="1"/>
  <c r="R56" i="25" s="1"/>
  <c r="U56" i="25" a="1"/>
  <c r="U56" i="25" s="1"/>
  <c r="T56" i="25" a="1"/>
  <c r="T56" i="25" s="1"/>
  <c r="V56" i="25" a="1"/>
  <c r="V56" i="25" s="1"/>
  <c r="W56" i="25" a="1"/>
  <c r="W56" i="25" s="1"/>
  <c r="Z56" i="25" a="1"/>
  <c r="Z56" i="25" s="1"/>
  <c r="Y56" i="25" a="1"/>
  <c r="Y56" i="25" s="1"/>
  <c r="AB56" i="25" a="1"/>
  <c r="AB56" i="25" s="1"/>
  <c r="AC56" i="25" a="1"/>
  <c r="AC56" i="25" s="1"/>
  <c r="AD56" i="25" a="1"/>
  <c r="AD56" i="25" s="1"/>
  <c r="AA56" i="25" a="1"/>
  <c r="AA56" i="25" s="1"/>
  <c r="X56" i="25" a="1"/>
  <c r="X56" i="25" s="1"/>
  <c r="AF56" i="25" a="1"/>
  <c r="AF56" i="25" s="1"/>
  <c r="AE56" i="25" a="1"/>
  <c r="AE56" i="25" s="1"/>
  <c r="AG56" i="25" a="1"/>
  <c r="AG56" i="25" s="1"/>
  <c r="AK56" i="25" a="1"/>
  <c r="AK56" i="25" s="1"/>
  <c r="AH56" i="25" a="1"/>
  <c r="AH56" i="25" s="1"/>
  <c r="AI56" i="25" a="1"/>
  <c r="AI56" i="25" s="1"/>
  <c r="AL56" i="25" a="1"/>
  <c r="AL56" i="25" s="1"/>
  <c r="AJ56" i="25" a="1"/>
  <c r="AJ56" i="25" s="1"/>
  <c r="AP56" i="25" a="1"/>
  <c r="AP56" i="25" s="1"/>
  <c r="AO56" i="25" a="1"/>
  <c r="AO56" i="25" s="1"/>
  <c r="AM56" i="25" a="1"/>
  <c r="AM56" i="25" s="1"/>
  <c r="AN56" i="25" a="1"/>
  <c r="AN56" i="25" s="1"/>
  <c r="AR56" i="25" a="1"/>
  <c r="AR56" i="25" s="1"/>
  <c r="AT56" i="25" a="1"/>
  <c r="AT56" i="25" s="1"/>
  <c r="AU56" i="25" a="1"/>
  <c r="AU56" i="25" s="1"/>
  <c r="AQ56" i="25" a="1"/>
  <c r="AQ56" i="25" s="1"/>
  <c r="AS56" i="25" a="1"/>
  <c r="AS56" i="25" s="1"/>
  <c r="AW56" i="25" a="1"/>
  <c r="AW56" i="25" s="1"/>
  <c r="AX56" i="25" a="1"/>
  <c r="AX56" i="25" s="1"/>
  <c r="AY56" i="25" a="1"/>
  <c r="AY56" i="25" s="1"/>
  <c r="AV56" i="25" a="1"/>
  <c r="AV56" i="25" s="1"/>
  <c r="AZ56" i="25" a="1"/>
  <c r="AZ56" i="25" s="1"/>
  <c r="BD56" i="25" a="1"/>
  <c r="BD56" i="25" s="1"/>
  <c r="BE56" i="25" a="1"/>
  <c r="BE56" i="25" s="1"/>
  <c r="BB56" i="25" a="1"/>
  <c r="BB56" i="25" s="1"/>
  <c r="BC56" i="25" a="1"/>
  <c r="BC56" i="25" s="1"/>
  <c r="BA56" i="25" a="1"/>
  <c r="BA56" i="25" s="1"/>
  <c r="BG56" i="25" a="1"/>
  <c r="BG56" i="25" s="1"/>
  <c r="BF56" i="25" a="1"/>
  <c r="BF56" i="25" s="1"/>
  <c r="BH56" i="25" a="1"/>
  <c r="BH56" i="25" s="1"/>
  <c r="BI56" i="25" a="1"/>
  <c r="BI56" i="25" s="1"/>
  <c r="BJ56" i="25" a="1"/>
  <c r="BJ56" i="25" s="1"/>
  <c r="BL56" i="25" a="1"/>
  <c r="BL56" i="25" s="1"/>
  <c r="BK56" i="25" a="1"/>
  <c r="BK56" i="25" s="1"/>
  <c r="N57" i="25" a="1"/>
  <c r="N57" i="25" s="1"/>
  <c r="BG10" i="38"/>
  <c r="BG9" i="38"/>
  <c r="BG60" i="38"/>
  <c r="BG61" i="38"/>
  <c r="BG11" i="38"/>
  <c r="BG12" i="38"/>
  <c r="BG13" i="38"/>
  <c r="BG15" i="38"/>
  <c r="BG14" i="38"/>
  <c r="BG16" i="38"/>
  <c r="BG17" i="38"/>
  <c r="BH8" i="38" a="1"/>
  <c r="BH8" i="38" s="1"/>
  <c r="BH57" i="38" s="1"/>
  <c r="BG18" i="38"/>
  <c r="BG19" i="38"/>
  <c r="BG20" i="38"/>
  <c r="BG21" i="38"/>
  <c r="BG22" i="38"/>
  <c r="BG23" i="38"/>
  <c r="BG24" i="38"/>
  <c r="BG25" i="38"/>
  <c r="BG26" i="38"/>
  <c r="BG27" i="38"/>
  <c r="BG28" i="38"/>
  <c r="BG29" i="38"/>
  <c r="BG30" i="38"/>
  <c r="BG31" i="38"/>
  <c r="BG32" i="38"/>
  <c r="BG33" i="38"/>
  <c r="BG34" i="38"/>
  <c r="BG35" i="38"/>
  <c r="BG36" i="38"/>
  <c r="BG37" i="38"/>
  <c r="BG38" i="38"/>
  <c r="BG39" i="38"/>
  <c r="BG40" i="38"/>
  <c r="BG41" i="38"/>
  <c r="BG42" i="38"/>
  <c r="BG43" i="38"/>
  <c r="BG44" i="38"/>
  <c r="BG45" i="38"/>
  <c r="BG46" i="38"/>
  <c r="BG47" i="38"/>
  <c r="BG48" i="38"/>
  <c r="BG49" i="38"/>
  <c r="BG50" i="38"/>
  <c r="BG51" i="38"/>
  <c r="BG52" i="38"/>
  <c r="BG53" i="38"/>
  <c r="BG54" i="38"/>
  <c r="BG55" i="38"/>
  <c r="B462" i="39" a="1"/>
  <c r="BG56" i="38"/>
  <c r="B390" i="39"/>
  <c r="B400" i="39"/>
  <c r="B401" i="39"/>
  <c r="B392" i="39"/>
  <c r="B365" i="39"/>
  <c r="B396" i="39"/>
  <c r="B398" i="39"/>
  <c r="B385" i="39"/>
  <c r="B355" i="39"/>
  <c r="B383" i="39"/>
  <c r="B402" i="39"/>
  <c r="B362" i="39"/>
  <c r="B389" i="39"/>
  <c r="B367" i="39"/>
  <c r="B375" i="39"/>
  <c r="B363" i="39"/>
  <c r="B376" i="39"/>
  <c r="B356" i="39"/>
  <c r="B382" i="39"/>
  <c r="B395" i="39"/>
  <c r="B377" i="39"/>
  <c r="B360" i="39"/>
  <c r="B371" i="39"/>
  <c r="B388" i="39"/>
  <c r="B374" i="39"/>
  <c r="B366" i="39"/>
  <c r="B403" i="39"/>
  <c r="B379" i="39"/>
  <c r="B364" i="39"/>
  <c r="B359" i="39"/>
  <c r="B380" i="39"/>
  <c r="B361" i="39"/>
  <c r="B373" i="39"/>
  <c r="B397" i="39"/>
  <c r="B387" i="39"/>
  <c r="B404" i="39"/>
  <c r="B381" i="39"/>
  <c r="B386" i="39"/>
  <c r="B368" i="39"/>
  <c r="B394" i="39"/>
  <c r="B357" i="39"/>
  <c r="B393" i="39"/>
  <c r="B370" i="39"/>
  <c r="B358" i="39"/>
  <c r="B391" i="39"/>
  <c r="B378" i="39"/>
  <c r="B372" i="39"/>
  <c r="B369" i="39"/>
  <c r="B399" i="39"/>
  <c r="B384" i="39"/>
  <c r="BI63" i="24"/>
  <c r="BI62" i="24"/>
  <c r="B345" i="39"/>
  <c r="B310" i="39"/>
  <c r="B346" i="39"/>
  <c r="B320" i="39"/>
  <c r="B334" i="39"/>
  <c r="B322" i="39"/>
  <c r="B328" i="39"/>
  <c r="B327" i="39"/>
  <c r="B308" i="39"/>
  <c r="B350" i="39"/>
  <c r="B312" i="39"/>
  <c r="B337" i="39"/>
  <c r="B302" i="39"/>
  <c r="B309" i="39"/>
  <c r="B317" i="39"/>
  <c r="B349" i="39"/>
  <c r="B316" i="39"/>
  <c r="B323" i="39"/>
  <c r="B318" i="39"/>
  <c r="B339" i="39"/>
  <c r="B324" i="39"/>
  <c r="B303" i="39"/>
  <c r="B321" i="39"/>
  <c r="B306" i="39"/>
  <c r="B336" i="39"/>
  <c r="B342" i="39"/>
  <c r="B326" i="39"/>
  <c r="B304" i="39"/>
  <c r="B330" i="39"/>
  <c r="B347" i="39"/>
  <c r="B301" i="39"/>
  <c r="B338" i="39"/>
  <c r="B315" i="39"/>
  <c r="B329" i="39"/>
  <c r="B344" i="39"/>
  <c r="B343" i="39"/>
  <c r="B319" i="39"/>
  <c r="B313" i="39"/>
  <c r="B348" i="39"/>
  <c r="B307" i="39"/>
  <c r="B340" i="39"/>
  <c r="B331" i="39"/>
  <c r="B335" i="39"/>
  <c r="B325" i="39"/>
  <c r="B333" i="39"/>
  <c r="B332" i="39"/>
  <c r="B305" i="39"/>
  <c r="B311" i="39"/>
  <c r="B341" i="39"/>
  <c r="B314" i="39"/>
  <c r="BJ61" i="24"/>
  <c r="BJ9" i="24" a="1"/>
  <c r="BJ9" i="24" s="1"/>
  <c r="BJ60" i="24"/>
  <c r="BJ10" i="24" a="1"/>
  <c r="BJ10" i="24" s="1"/>
  <c r="BJ11" i="24" a="1"/>
  <c r="BJ11" i="24" s="1"/>
  <c r="BJ12" i="24" a="1"/>
  <c r="BJ12" i="24" s="1"/>
  <c r="BJ13" i="24" a="1"/>
  <c r="BJ13" i="24" s="1"/>
  <c r="BJ14" i="24" a="1"/>
  <c r="BJ14" i="24" s="1"/>
  <c r="BJ17" i="24" a="1"/>
  <c r="BJ17" i="24" s="1"/>
  <c r="BJ16" i="24" a="1"/>
  <c r="BJ16" i="24" s="1"/>
  <c r="BJ15" i="24" a="1"/>
  <c r="BJ15" i="24" s="1"/>
  <c r="BJ19" i="24" a="1"/>
  <c r="BJ19" i="24" s="1"/>
  <c r="BJ18" i="24" a="1"/>
  <c r="BJ18" i="24" s="1"/>
  <c r="BJ20" i="24" a="1"/>
  <c r="BJ20" i="24" s="1"/>
  <c r="BJ21" i="24" a="1"/>
  <c r="BJ21" i="24" s="1"/>
  <c r="BJ22" i="24" a="1"/>
  <c r="BJ22" i="24" s="1"/>
  <c r="BJ23" i="24" a="1"/>
  <c r="BJ23" i="24" s="1"/>
  <c r="BJ24" i="24" a="1"/>
  <c r="BJ24" i="24" s="1"/>
  <c r="BJ25" i="24" a="1"/>
  <c r="BJ25" i="24" s="1"/>
  <c r="BJ26" i="24" a="1"/>
  <c r="BJ26" i="24" s="1"/>
  <c r="BJ27" i="24" a="1"/>
  <c r="BJ27" i="24" s="1"/>
  <c r="BJ28" i="24" a="1"/>
  <c r="BJ28" i="24" s="1"/>
  <c r="BJ29" i="24" a="1"/>
  <c r="BJ29" i="24" s="1"/>
  <c r="BJ30" i="24" a="1"/>
  <c r="BJ30" i="24" s="1"/>
  <c r="BJ31" i="24" a="1"/>
  <c r="BJ31" i="24" s="1"/>
  <c r="BJ32" i="24" a="1"/>
  <c r="BJ32" i="24" s="1"/>
  <c r="BJ33" i="24" a="1"/>
  <c r="BJ33" i="24" s="1"/>
  <c r="BJ34" i="24" a="1"/>
  <c r="BJ34" i="24" s="1"/>
  <c r="BJ35" i="24" a="1"/>
  <c r="BJ35" i="24" s="1"/>
  <c r="BJ36" i="24" a="1"/>
  <c r="BJ36" i="24" s="1"/>
  <c r="BJ37" i="24" a="1"/>
  <c r="BJ37" i="24" s="1"/>
  <c r="BJ38" i="24" a="1"/>
  <c r="BJ38" i="24" s="1"/>
  <c r="BJ39" i="24" a="1"/>
  <c r="BJ39" i="24" s="1"/>
  <c r="BJ40" i="24" a="1"/>
  <c r="BJ40" i="24" s="1"/>
  <c r="BJ41" i="24" a="1"/>
  <c r="BJ41" i="24" s="1"/>
  <c r="BJ42" i="24" a="1"/>
  <c r="BJ42" i="24" s="1"/>
  <c r="BJ43" i="24" a="1"/>
  <c r="BJ43" i="24" s="1"/>
  <c r="BJ44" i="24" a="1"/>
  <c r="BJ44" i="24" s="1"/>
  <c r="BJ45" i="24" a="1"/>
  <c r="BJ45" i="24" s="1"/>
  <c r="BJ46" i="24" a="1"/>
  <c r="BJ46" i="24" s="1"/>
  <c r="BJ47" i="24" a="1"/>
  <c r="BJ47" i="24" s="1"/>
  <c r="BJ48" i="24" a="1"/>
  <c r="BJ48" i="24" s="1"/>
  <c r="BJ49" i="24" a="1"/>
  <c r="BJ49" i="24" s="1"/>
  <c r="BJ50" i="24" a="1"/>
  <c r="BJ50" i="24" s="1"/>
  <c r="BJ51" i="24" a="1"/>
  <c r="BJ51" i="24" s="1"/>
  <c r="BJ52" i="24" a="1"/>
  <c r="BJ52" i="24" s="1"/>
  <c r="BJ53" i="24" a="1"/>
  <c r="BJ53" i="24" s="1"/>
  <c r="BJ54" i="24" a="1"/>
  <c r="BJ54" i="24" s="1"/>
  <c r="BJ55" i="24" a="1"/>
  <c r="BJ55" i="24" s="1"/>
  <c r="BJ56" i="24" a="1"/>
  <c r="BJ56" i="24" s="1"/>
  <c r="BJ57" i="24" a="1"/>
  <c r="BJ57" i="24" s="1"/>
  <c r="BC57" i="38"/>
  <c r="M57" i="38"/>
  <c r="T57" i="38"/>
  <c r="AB57" i="38"/>
  <c r="AU57" i="38"/>
  <c r="BG57" i="38"/>
  <c r="AX57" i="38"/>
  <c r="L57" i="38"/>
  <c r="AM57" i="38"/>
  <c r="AY57" i="38"/>
  <c r="AH57" i="38"/>
  <c r="BF57" i="38"/>
  <c r="AE57" i="38"/>
  <c r="AQ57" i="38"/>
  <c r="R57" i="38"/>
  <c r="AP57" i="38"/>
  <c r="W57" i="38"/>
  <c r="AI57" i="38"/>
  <c r="AV57" i="38"/>
  <c r="Z57" i="38"/>
  <c r="O57" i="38"/>
  <c r="AA57" i="38"/>
  <c r="AF57" i="38"/>
  <c r="BD57" i="38"/>
  <c r="BE57" i="38"/>
  <c r="S57" i="38"/>
  <c r="P57" i="38"/>
  <c r="AN57" i="38"/>
  <c r="AW57" i="38"/>
  <c r="BA57" i="38"/>
  <c r="BB57" i="38"/>
  <c r="AT57" i="38"/>
  <c r="X57" i="38"/>
  <c r="AO57" i="38"/>
  <c r="AS57" i="38"/>
  <c r="AL57" i="38"/>
  <c r="AD57" i="38"/>
  <c r="AG57" i="38"/>
  <c r="AK57" i="38"/>
  <c r="V57" i="38"/>
  <c r="N57" i="38"/>
  <c r="Y57" i="38"/>
  <c r="AC57" i="38"/>
  <c r="AZ57" i="38"/>
  <c r="Q57" i="38"/>
  <c r="U57" i="38"/>
  <c r="AJ57" i="38"/>
  <c r="AR57" i="38"/>
  <c r="K58" i="38" a="1"/>
  <c r="K58" i="38" s="1"/>
  <c r="D462" i="39" a="1"/>
  <c r="D516" i="39" a="1"/>
  <c r="BJ58" i="24" a="1"/>
  <c r="BJ58" i="24" s="1"/>
  <c r="BJ62" i="26"/>
  <c r="C516" i="39" s="1" a="1"/>
  <c r="C45" i="39"/>
  <c r="A45" i="39" s="1"/>
  <c r="F395" i="22"/>
  <c r="AO65" i="24" a="1"/>
  <c r="Y65" i="24" a="1"/>
  <c r="T65" i="24" a="1"/>
  <c r="AM65" i="24" a="1"/>
  <c r="Q65" i="24" a="1"/>
  <c r="AG65" i="24" a="1"/>
  <c r="AF65" i="24" a="1"/>
  <c r="U65" i="24" a="1"/>
  <c r="V65" i="24" a="1"/>
  <c r="AQ65" i="24" a="1"/>
  <c r="AI65" i="24" a="1"/>
  <c r="BD65" i="24" a="1"/>
  <c r="AV65" i="24" a="1"/>
  <c r="BF65" i="24" a="1"/>
  <c r="BA65" i="24" a="1"/>
  <c r="P65" i="24" a="1"/>
  <c r="BH65" i="24" a="1"/>
  <c r="AT65" i="24" a="1"/>
  <c r="BJ65" i="24" a="1"/>
  <c r="R65" i="24" a="1"/>
  <c r="AW65" i="24" a="1"/>
  <c r="AN65" i="24" a="1"/>
  <c r="AP65" i="24" a="1"/>
  <c r="BG65" i="24" a="1"/>
  <c r="W65" i="24" a="1"/>
  <c r="S65" i="24" a="1"/>
  <c r="AA65" i="24" a="1"/>
  <c r="O65" i="24" a="1"/>
  <c r="AE65" i="24" a="1"/>
  <c r="BC65" i="24" a="1"/>
  <c r="AU65" i="24" a="1"/>
  <c r="AK65" i="24" a="1"/>
  <c r="AD65" i="24" a="1"/>
  <c r="AR65" i="24" a="1"/>
  <c r="AL65" i="24" a="1"/>
  <c r="AY65" i="24" a="1"/>
  <c r="AX65" i="24" a="1"/>
  <c r="BI65" i="24" a="1"/>
  <c r="AS65" i="24" a="1"/>
  <c r="BE65" i="24" a="1"/>
  <c r="AH65" i="24" a="1"/>
  <c r="AC65" i="24" a="1"/>
  <c r="AJ65" i="24" a="1"/>
  <c r="AZ65" i="24" a="1"/>
  <c r="N65" i="24" a="1"/>
  <c r="BB65" i="24" a="1"/>
  <c r="AB65" i="24" a="1"/>
  <c r="X65" i="24" a="1"/>
  <c r="Z65" i="24" a="1"/>
  <c r="U65" i="24" l="1"/>
  <c r="AQ65" i="24"/>
  <c r="X65" i="24"/>
  <c r="AS65" i="24"/>
  <c r="AE65" i="24"/>
  <c r="AT65" i="24"/>
  <c r="AF65" i="24"/>
  <c r="AU65" i="24"/>
  <c r="AB65" i="24"/>
  <c r="BI65" i="24"/>
  <c r="O65" i="24"/>
  <c r="BH65" i="24"/>
  <c r="AG65" i="24"/>
  <c r="AW65" i="24"/>
  <c r="BB65" i="24"/>
  <c r="AX65" i="24"/>
  <c r="AA65" i="24"/>
  <c r="P65" i="24"/>
  <c r="Q65" i="24"/>
  <c r="Z65" i="24"/>
  <c r="N65" i="24"/>
  <c r="AY65" i="24"/>
  <c r="S65" i="24"/>
  <c r="BA65" i="24"/>
  <c r="AM65" i="24"/>
  <c r="V65" i="24"/>
  <c r="AZ65" i="24"/>
  <c r="AL65" i="24"/>
  <c r="W65" i="24"/>
  <c r="BF65" i="24"/>
  <c r="T65" i="24"/>
  <c r="BE65" i="24"/>
  <c r="AJ65" i="24"/>
  <c r="AR65" i="24"/>
  <c r="BG65" i="24"/>
  <c r="AV65" i="24"/>
  <c r="Y65" i="24"/>
  <c r="R65" i="24"/>
  <c r="AC65" i="24"/>
  <c r="AD65" i="24"/>
  <c r="AP65" i="24"/>
  <c r="BD65" i="24"/>
  <c r="AO65" i="24"/>
  <c r="BC65" i="24"/>
  <c r="AH65" i="24"/>
  <c r="AK65" i="24"/>
  <c r="AN65" i="24"/>
  <c r="AI65" i="24"/>
  <c r="BJ65" i="24"/>
  <c r="C532" i="39"/>
  <c r="A532" i="39" s="1"/>
  <c r="C533" i="39"/>
  <c r="A533" i="39" s="1"/>
  <c r="C525" i="39"/>
  <c r="A525" i="39" s="1"/>
  <c r="C526" i="39"/>
  <c r="A526" i="39" s="1"/>
  <c r="C535" i="39"/>
  <c r="A535" i="39" s="1"/>
  <c r="C527" i="39"/>
  <c r="A527" i="39" s="1"/>
  <c r="C519" i="39"/>
  <c r="A519" i="39" s="1"/>
  <c r="C558" i="39"/>
  <c r="A558" i="39" s="1"/>
  <c r="C550" i="39"/>
  <c r="A550" i="39" s="1"/>
  <c r="C547" i="39"/>
  <c r="A547" i="39" s="1"/>
  <c r="C539" i="39"/>
  <c r="A539" i="39" s="1"/>
  <c r="C564" i="39"/>
  <c r="A564" i="39" s="1"/>
  <c r="C517" i="39"/>
  <c r="A517" i="39" s="1"/>
  <c r="C518" i="39"/>
  <c r="A518" i="39" s="1"/>
  <c r="C565" i="39"/>
  <c r="A565" i="39" s="1"/>
  <c r="C557" i="39"/>
  <c r="A557" i="39" s="1"/>
  <c r="C549" i="39"/>
  <c r="A549" i="39" s="1"/>
  <c r="C541" i="39"/>
  <c r="A541" i="39" s="1"/>
  <c r="C545" i="39"/>
  <c r="A545" i="39" s="1"/>
  <c r="C537" i="39"/>
  <c r="A537" i="39" s="1"/>
  <c r="C531" i="39"/>
  <c r="A531" i="39" s="1"/>
  <c r="C548" i="39"/>
  <c r="A548" i="39" s="1"/>
  <c r="C540" i="39"/>
  <c r="A540" i="39" s="1"/>
  <c r="C516" i="39"/>
  <c r="A516" i="39" s="1"/>
  <c r="C563" i="39"/>
  <c r="A563" i="39" s="1"/>
  <c r="C555" i="39"/>
  <c r="A555" i="39" s="1"/>
  <c r="C560" i="39"/>
  <c r="A560" i="39" s="1"/>
  <c r="C552" i="39"/>
  <c r="A552" i="39" s="1"/>
  <c r="C529" i="39"/>
  <c r="A529" i="39" s="1"/>
  <c r="C523" i="39"/>
  <c r="A523" i="39" s="1"/>
  <c r="C546" i="39"/>
  <c r="A546" i="39" s="1"/>
  <c r="C522" i="39"/>
  <c r="A522" i="39" s="1"/>
  <c r="C561" i="39"/>
  <c r="A561" i="39" s="1"/>
  <c r="C553" i="39"/>
  <c r="A553" i="39" s="1"/>
  <c r="C559" i="39"/>
  <c r="A559" i="39" s="1"/>
  <c r="C551" i="39"/>
  <c r="A551" i="39" s="1"/>
  <c r="C544" i="39"/>
  <c r="A544" i="39" s="1"/>
  <c r="C521" i="39"/>
  <c r="A521" i="39" s="1"/>
  <c r="C562" i="39"/>
  <c r="A562" i="39" s="1"/>
  <c r="C554" i="39"/>
  <c r="A554" i="39" s="1"/>
  <c r="C538" i="39"/>
  <c r="A538" i="39" s="1"/>
  <c r="C530" i="39"/>
  <c r="A530" i="39" s="1"/>
  <c r="C542" i="39"/>
  <c r="A542" i="39" s="1"/>
  <c r="C534" i="39"/>
  <c r="A534" i="39" s="1"/>
  <c r="C543" i="39"/>
  <c r="A543" i="39" s="1"/>
  <c r="C536" i="39"/>
  <c r="A536" i="39" s="1"/>
  <c r="C528" i="39"/>
  <c r="A528" i="39" s="1"/>
  <c r="C520" i="39"/>
  <c r="A520" i="39" s="1"/>
  <c r="C556" i="39"/>
  <c r="A556" i="39" s="1"/>
  <c r="C524" i="39"/>
  <c r="A524" i="39" s="1"/>
  <c r="C46" i="39"/>
  <c r="A46" i="39" s="1"/>
  <c r="F396" i="22"/>
  <c r="P57" i="25" a="1"/>
  <c r="P57" i="25" s="1"/>
  <c r="O57" i="25" a="1"/>
  <c r="O57" i="25" s="1"/>
  <c r="S57" i="25" a="1"/>
  <c r="S57" i="25" s="1"/>
  <c r="Q57" i="25" a="1"/>
  <c r="Q57" i="25" s="1"/>
  <c r="R57" i="25" a="1"/>
  <c r="R57" i="25" s="1"/>
  <c r="T57" i="25" a="1"/>
  <c r="T57" i="25" s="1"/>
  <c r="U57" i="25" a="1"/>
  <c r="U57" i="25" s="1"/>
  <c r="W57" i="25" a="1"/>
  <c r="W57" i="25" s="1"/>
  <c r="V57" i="25" a="1"/>
  <c r="V57" i="25" s="1"/>
  <c r="X57" i="25" a="1"/>
  <c r="X57" i="25" s="1"/>
  <c r="Z57" i="25" a="1"/>
  <c r="Z57" i="25" s="1"/>
  <c r="AC57" i="25" a="1"/>
  <c r="AC57" i="25" s="1"/>
  <c r="Y57" i="25" a="1"/>
  <c r="Y57" i="25" s="1"/>
  <c r="AD57" i="25" a="1"/>
  <c r="AD57" i="25" s="1"/>
  <c r="AA57" i="25" a="1"/>
  <c r="AA57" i="25" s="1"/>
  <c r="AB57" i="25" a="1"/>
  <c r="AB57" i="25" s="1"/>
  <c r="AE57" i="25" a="1"/>
  <c r="AE57" i="25" s="1"/>
  <c r="AF57" i="25" a="1"/>
  <c r="AF57" i="25" s="1"/>
  <c r="AG57" i="25" a="1"/>
  <c r="AG57" i="25" s="1"/>
  <c r="AH57" i="25" a="1"/>
  <c r="AH57" i="25" s="1"/>
  <c r="AK57" i="25" a="1"/>
  <c r="AK57" i="25" s="1"/>
  <c r="AI57" i="25" a="1"/>
  <c r="AI57" i="25" s="1"/>
  <c r="AL57" i="25" a="1"/>
  <c r="AL57" i="25" s="1"/>
  <c r="AN57" i="25" a="1"/>
  <c r="AN57" i="25" s="1"/>
  <c r="AQ57" i="25" a="1"/>
  <c r="AQ57" i="25" s="1"/>
  <c r="AM57" i="25" a="1"/>
  <c r="AM57" i="25" s="1"/>
  <c r="AJ57" i="25" a="1"/>
  <c r="AJ57" i="25" s="1"/>
  <c r="AP57" i="25" a="1"/>
  <c r="AP57" i="25" s="1"/>
  <c r="AO57" i="25" a="1"/>
  <c r="AO57" i="25" s="1"/>
  <c r="AT57" i="25" a="1"/>
  <c r="AT57" i="25" s="1"/>
  <c r="AR57" i="25" a="1"/>
  <c r="AR57" i="25" s="1"/>
  <c r="AS57" i="25" a="1"/>
  <c r="AS57" i="25" s="1"/>
  <c r="AW57" i="25" a="1"/>
  <c r="AW57" i="25" s="1"/>
  <c r="AX57" i="25" a="1"/>
  <c r="AX57" i="25" s="1"/>
  <c r="AU57" i="25" a="1"/>
  <c r="AU57" i="25" s="1"/>
  <c r="AV57" i="25" a="1"/>
  <c r="AV57" i="25" s="1"/>
  <c r="AZ57" i="25" a="1"/>
  <c r="AZ57" i="25" s="1"/>
  <c r="BB57" i="25" a="1"/>
  <c r="BB57" i="25" s="1"/>
  <c r="BA57" i="25" a="1"/>
  <c r="BA57" i="25" s="1"/>
  <c r="BD57" i="25" a="1"/>
  <c r="BD57" i="25" s="1"/>
  <c r="AY57" i="25" a="1"/>
  <c r="AY57" i="25" s="1"/>
  <c r="BE57" i="25" a="1"/>
  <c r="BE57" i="25" s="1"/>
  <c r="BG57" i="25" a="1"/>
  <c r="BG57" i="25" s="1"/>
  <c r="BH57" i="25" a="1"/>
  <c r="BH57" i="25" s="1"/>
  <c r="BC57" i="25" a="1"/>
  <c r="BC57" i="25" s="1"/>
  <c r="BF57" i="25" a="1"/>
  <c r="BF57" i="25" s="1"/>
  <c r="BI57" i="25" a="1"/>
  <c r="BI57" i="25" s="1"/>
  <c r="BJ57" i="25" a="1"/>
  <c r="BJ57" i="25" s="1"/>
  <c r="BK57" i="25" a="1"/>
  <c r="BK57" i="25" s="1"/>
  <c r="BL57" i="25" a="1"/>
  <c r="BL57" i="25" s="1"/>
  <c r="N58" i="25" a="1"/>
  <c r="N58" i="25" s="1"/>
  <c r="D538" i="39"/>
  <c r="D520" i="39"/>
  <c r="D541" i="39"/>
  <c r="D551" i="39"/>
  <c r="D555" i="39"/>
  <c r="D537" i="39"/>
  <c r="D542" i="39"/>
  <c r="D552" i="39"/>
  <c r="D517" i="39"/>
  <c r="D554" i="39"/>
  <c r="D543" i="39"/>
  <c r="D522" i="39"/>
  <c r="D518" i="39"/>
  <c r="D524" i="39"/>
  <c r="D548" i="39"/>
  <c r="D539" i="39"/>
  <c r="D558" i="39"/>
  <c r="D544" i="39"/>
  <c r="D533" i="39"/>
  <c r="D557" i="39"/>
  <c r="D556" i="39"/>
  <c r="D559" i="39"/>
  <c r="D529" i="39"/>
  <c r="D534" i="39"/>
  <c r="D535" i="39"/>
  <c r="D565" i="39"/>
  <c r="D560" i="39"/>
  <c r="D546" i="39"/>
  <c r="D531" i="39"/>
  <c r="D536" i="39"/>
  <c r="D530" i="39"/>
  <c r="D563" i="39"/>
  <c r="D527" i="39"/>
  <c r="D553" i="39"/>
  <c r="D547" i="39"/>
  <c r="D516" i="39"/>
  <c r="D528" i="39"/>
  <c r="D523" i="39"/>
  <c r="D564" i="39"/>
  <c r="D525" i="39"/>
  <c r="D545" i="39"/>
  <c r="D540" i="39"/>
  <c r="D561" i="39"/>
  <c r="D526" i="39"/>
  <c r="D562" i="39"/>
  <c r="D549" i="39"/>
  <c r="D521" i="39"/>
  <c r="D519" i="39"/>
  <c r="D532" i="39"/>
  <c r="D550" i="39"/>
  <c r="D510" i="39"/>
  <c r="D465" i="39"/>
  <c r="D477" i="39"/>
  <c r="D470" i="39"/>
  <c r="D471" i="39"/>
  <c r="D503" i="39"/>
  <c r="D466" i="39"/>
  <c r="D475" i="39"/>
  <c r="D468" i="39"/>
  <c r="D494" i="39"/>
  <c r="D496" i="39"/>
  <c r="D492" i="39"/>
  <c r="D501" i="39"/>
  <c r="D499" i="39"/>
  <c r="D487" i="39"/>
  <c r="D467" i="39"/>
  <c r="D490" i="39"/>
  <c r="D485" i="39"/>
  <c r="D478" i="39"/>
  <c r="D506" i="39"/>
  <c r="D473" i="39"/>
  <c r="D474" i="39"/>
  <c r="D497" i="39"/>
  <c r="D489" i="39"/>
  <c r="D462" i="39"/>
  <c r="D511" i="39"/>
  <c r="D504" i="39"/>
  <c r="D508" i="39"/>
  <c r="D472" i="39"/>
  <c r="D484" i="39"/>
  <c r="D502" i="39"/>
  <c r="D495" i="39"/>
  <c r="D483" i="39"/>
  <c r="D463" i="39"/>
  <c r="D509" i="39"/>
  <c r="D476" i="39"/>
  <c r="D486" i="39"/>
  <c r="D469" i="39"/>
  <c r="D498" i="39"/>
  <c r="D507" i="39"/>
  <c r="D500" i="39"/>
  <c r="D505" i="39"/>
  <c r="D481" i="39"/>
  <c r="D493" i="39"/>
  <c r="D480" i="39"/>
  <c r="D488" i="39"/>
  <c r="D482" i="39"/>
  <c r="D491" i="39"/>
  <c r="D479" i="39"/>
  <c r="D464" i="39"/>
  <c r="C462" i="39" a="1"/>
  <c r="BH9" i="38"/>
  <c r="BH10" i="38"/>
  <c r="BH60" i="38"/>
  <c r="BH61" i="38"/>
  <c r="BH12" i="38"/>
  <c r="BH11" i="38"/>
  <c r="BH13" i="38"/>
  <c r="BH14" i="38"/>
  <c r="BH15" i="38"/>
  <c r="BH16" i="38"/>
  <c r="BI8" i="38" a="1"/>
  <c r="BI8" i="38" s="1"/>
  <c r="BH17" i="38"/>
  <c r="BH18" i="38"/>
  <c r="BH19" i="38"/>
  <c r="BH20" i="38"/>
  <c r="BH21" i="38"/>
  <c r="BH22" i="38"/>
  <c r="BH23" i="38"/>
  <c r="BH24" i="38"/>
  <c r="BH25" i="38"/>
  <c r="BH26" i="38"/>
  <c r="BH27" i="38"/>
  <c r="BH28" i="38"/>
  <c r="BH29" i="38"/>
  <c r="BH30" i="38"/>
  <c r="BH31" i="38"/>
  <c r="BH32" i="38"/>
  <c r="BH33" i="38"/>
  <c r="BH34" i="38"/>
  <c r="BH35" i="38"/>
  <c r="BH36" i="38"/>
  <c r="BH37" i="38"/>
  <c r="BH38" i="38"/>
  <c r="BH39" i="38"/>
  <c r="BH40" i="38"/>
  <c r="BH41" i="38"/>
  <c r="BH42" i="38"/>
  <c r="BH43" i="38"/>
  <c r="BH44" i="38"/>
  <c r="BH45" i="38"/>
  <c r="BH46" i="38"/>
  <c r="BH47" i="38"/>
  <c r="BH48" i="38"/>
  <c r="BH49" i="38"/>
  <c r="BH50" i="38"/>
  <c r="BH51" i="38"/>
  <c r="BH52" i="38"/>
  <c r="BH53" i="38"/>
  <c r="BH54" i="38"/>
  <c r="BH55" i="38"/>
  <c r="BH56" i="38"/>
  <c r="AC58" i="38"/>
  <c r="AC62" i="38" s="1"/>
  <c r="AX58" i="38"/>
  <c r="AX62" i="38" s="1"/>
  <c r="AV58" i="38"/>
  <c r="AV62" i="38" s="1"/>
  <c r="T58" i="38"/>
  <c r="T62" i="38" s="1"/>
  <c r="U58" i="38"/>
  <c r="U62" i="38" s="1"/>
  <c r="AP58" i="38"/>
  <c r="AP62" i="38" s="1"/>
  <c r="AN58" i="38"/>
  <c r="AN62" i="38" s="1"/>
  <c r="AR58" i="38"/>
  <c r="AR62" i="38" s="1"/>
  <c r="M58" i="38"/>
  <c r="M62" i="38" s="1"/>
  <c r="AH58" i="38"/>
  <c r="AH62" i="38" s="1"/>
  <c r="AF58" i="38"/>
  <c r="AF62" i="38" s="1"/>
  <c r="P58" i="38"/>
  <c r="P62" i="38" s="1"/>
  <c r="BH58" i="38"/>
  <c r="Z58" i="38"/>
  <c r="Z62" i="38" s="1"/>
  <c r="BC58" i="38"/>
  <c r="BC62" i="38" s="1"/>
  <c r="AL58" i="38"/>
  <c r="AL62" i="38" s="1"/>
  <c r="AZ58" i="38"/>
  <c r="AZ62" i="38" s="1"/>
  <c r="R58" i="38"/>
  <c r="R62" i="38" s="1"/>
  <c r="AU58" i="38"/>
  <c r="AU62" i="38" s="1"/>
  <c r="N58" i="38"/>
  <c r="N62" i="38" s="1"/>
  <c r="BG58" i="38"/>
  <c r="BG62" i="38" s="1"/>
  <c r="BE58" i="38"/>
  <c r="BE62" i="38" s="1"/>
  <c r="AM58" i="38"/>
  <c r="AM62" i="38" s="1"/>
  <c r="AJ58" i="38"/>
  <c r="AJ62" i="38" s="1"/>
  <c r="AY58" i="38"/>
  <c r="AY62" i="38" s="1"/>
  <c r="AW58" i="38"/>
  <c r="AW62" i="38" s="1"/>
  <c r="AE58" i="38"/>
  <c r="AE62" i="38" s="1"/>
  <c r="L58" i="38"/>
  <c r="L62" i="38" s="1"/>
  <c r="AQ58" i="38"/>
  <c r="AQ62" i="38" s="1"/>
  <c r="AO58" i="38"/>
  <c r="AO62" i="38" s="1"/>
  <c r="W58" i="38"/>
  <c r="W62" i="38" s="1"/>
  <c r="AD58" i="38"/>
  <c r="AD62" i="38" s="1"/>
  <c r="AI58" i="38"/>
  <c r="AI62" i="38" s="1"/>
  <c r="AG58" i="38"/>
  <c r="AG62" i="38" s="1"/>
  <c r="O58" i="38"/>
  <c r="O62" i="38" s="1"/>
  <c r="AB58" i="38"/>
  <c r="AB62" i="38" s="1"/>
  <c r="BA58" i="38"/>
  <c r="BA62" i="38" s="1"/>
  <c r="AA58" i="38"/>
  <c r="AA62" i="38" s="1"/>
  <c r="Y58" i="38"/>
  <c r="Y62" i="38" s="1"/>
  <c r="BB58" i="38"/>
  <c r="BB62" i="38" s="1"/>
  <c r="X58" i="38"/>
  <c r="X62" i="38" s="1"/>
  <c r="AS58" i="38"/>
  <c r="AS62" i="38" s="1"/>
  <c r="S58" i="38"/>
  <c r="S62" i="38" s="1"/>
  <c r="Q58" i="38"/>
  <c r="Q62" i="38" s="1"/>
  <c r="V58" i="38"/>
  <c r="V62" i="38" s="1"/>
  <c r="AK58" i="38"/>
  <c r="AK62" i="38" s="1"/>
  <c r="BF58" i="38"/>
  <c r="BF62" i="38" s="1"/>
  <c r="AT58" i="38"/>
  <c r="AT62" i="38" s="1"/>
  <c r="BD58" i="38"/>
  <c r="BD62" i="38" s="1"/>
  <c r="BJ62" i="24"/>
  <c r="BJ63" i="24"/>
  <c r="B409" i="39" s="1" a="1"/>
  <c r="BJ64" i="24"/>
  <c r="C409" i="39" s="1" a="1"/>
  <c r="B484" i="39"/>
  <c r="B497" i="39"/>
  <c r="B477" i="39"/>
  <c r="B506" i="39"/>
  <c r="B496" i="39"/>
  <c r="B464" i="39"/>
  <c r="B509" i="39"/>
  <c r="B508" i="39"/>
  <c r="B471" i="39"/>
  <c r="B501" i="39"/>
  <c r="B481" i="39"/>
  <c r="B465" i="39"/>
  <c r="B494" i="39"/>
  <c r="B478" i="39"/>
  <c r="B503" i="39"/>
  <c r="B487" i="39"/>
  <c r="B483" i="39"/>
  <c r="B485" i="39"/>
  <c r="B488" i="39"/>
  <c r="B510" i="39"/>
  <c r="B482" i="39"/>
  <c r="B467" i="39"/>
  <c r="B468" i="39"/>
  <c r="B499" i="39"/>
  <c r="B505" i="39"/>
  <c r="B466" i="39"/>
  <c r="B476" i="39"/>
  <c r="B498" i="39"/>
  <c r="B480" i="39"/>
  <c r="B489" i="39"/>
  <c r="B469" i="39"/>
  <c r="B500" i="39"/>
  <c r="B463" i="39"/>
  <c r="B511" i="39"/>
  <c r="B473" i="39"/>
  <c r="B493" i="39"/>
  <c r="B462" i="39"/>
  <c r="B486" i="39"/>
  <c r="B504" i="39"/>
  <c r="B495" i="39"/>
  <c r="B479" i="39"/>
  <c r="B491" i="39"/>
  <c r="B475" i="39"/>
  <c r="B470" i="39"/>
  <c r="B472" i="39"/>
  <c r="B502" i="39"/>
  <c r="B474" i="39"/>
  <c r="B492" i="39"/>
  <c r="B507" i="39"/>
  <c r="B490" i="39"/>
  <c r="D248" i="39" l="1" a="1"/>
  <c r="D295" i="39" s="1"/>
  <c r="D409" i="39" a="1"/>
  <c r="D456" i="39" s="1"/>
  <c r="B418" i="39"/>
  <c r="B439" i="39"/>
  <c r="B454" i="39"/>
  <c r="B436" i="39"/>
  <c r="B411" i="39"/>
  <c r="B421" i="39"/>
  <c r="B443" i="39"/>
  <c r="B432" i="39"/>
  <c r="B438" i="39"/>
  <c r="B427" i="39"/>
  <c r="B451" i="39"/>
  <c r="B444" i="39"/>
  <c r="B423" i="39"/>
  <c r="B434" i="39"/>
  <c r="B424" i="39"/>
  <c r="B430" i="39"/>
  <c r="B435" i="39"/>
  <c r="B428" i="39"/>
  <c r="B440" i="39"/>
  <c r="B425" i="39"/>
  <c r="B413" i="39"/>
  <c r="B419" i="39"/>
  <c r="B446" i="39"/>
  <c r="B426" i="39"/>
  <c r="B412" i="39"/>
  <c r="B414" i="39"/>
  <c r="B448" i="39"/>
  <c r="B458" i="39"/>
  <c r="B410" i="39"/>
  <c r="B415" i="39"/>
  <c r="B456" i="39"/>
  <c r="B416" i="39"/>
  <c r="B441" i="39"/>
  <c r="B420" i="39"/>
  <c r="B455" i="39"/>
  <c r="B417" i="39"/>
  <c r="B452" i="39"/>
  <c r="B449" i="39"/>
  <c r="B442" i="39"/>
  <c r="B453" i="39"/>
  <c r="B422" i="39"/>
  <c r="B433" i="39"/>
  <c r="B447" i="39"/>
  <c r="B445" i="39"/>
  <c r="B450" i="39"/>
  <c r="B409" i="39"/>
  <c r="B457" i="39"/>
  <c r="B431" i="39"/>
  <c r="B429" i="39"/>
  <c r="B437" i="39"/>
  <c r="B248" i="39" a="1"/>
  <c r="C47" i="39"/>
  <c r="A47" i="39" s="1"/>
  <c r="F397" i="22"/>
  <c r="C476" i="39"/>
  <c r="A476" i="39" s="1"/>
  <c r="C506" i="39"/>
  <c r="A506" i="39" s="1"/>
  <c r="C498" i="39"/>
  <c r="A498" i="39" s="1"/>
  <c r="C475" i="39"/>
  <c r="A475" i="39" s="1"/>
  <c r="C500" i="39"/>
  <c r="A500" i="39" s="1"/>
  <c r="C484" i="39"/>
  <c r="A484" i="39" s="1"/>
  <c r="C468" i="39"/>
  <c r="A468" i="39" s="1"/>
  <c r="C507" i="39"/>
  <c r="A507" i="39" s="1"/>
  <c r="C473" i="39"/>
  <c r="A473" i="39" s="1"/>
  <c r="C504" i="39"/>
  <c r="A504" i="39" s="1"/>
  <c r="C496" i="39"/>
  <c r="A496" i="39" s="1"/>
  <c r="C490" i="39"/>
  <c r="A490" i="39" s="1"/>
  <c r="C467" i="39"/>
  <c r="A467" i="39" s="1"/>
  <c r="C477" i="39"/>
  <c r="A477" i="39" s="1"/>
  <c r="C508" i="39"/>
  <c r="A508" i="39" s="1"/>
  <c r="C492" i="39"/>
  <c r="A492" i="39" s="1"/>
  <c r="C469" i="39"/>
  <c r="A469" i="39" s="1"/>
  <c r="C505" i="39"/>
  <c r="A505" i="39" s="1"/>
  <c r="C489" i="39"/>
  <c r="A489" i="39" s="1"/>
  <c r="C488" i="39"/>
  <c r="A488" i="39" s="1"/>
  <c r="C482" i="39"/>
  <c r="A482" i="39" s="1"/>
  <c r="C474" i="39"/>
  <c r="A474" i="39" s="1"/>
  <c r="C466" i="39"/>
  <c r="A466" i="39" s="1"/>
  <c r="C497" i="39"/>
  <c r="A497" i="39" s="1"/>
  <c r="C479" i="39"/>
  <c r="A479" i="39" s="1"/>
  <c r="C471" i="39"/>
  <c r="A471" i="39" s="1"/>
  <c r="C463" i="39"/>
  <c r="A463" i="39" s="1"/>
  <c r="C465" i="39"/>
  <c r="A465" i="39" s="1"/>
  <c r="C480" i="39"/>
  <c r="A480" i="39" s="1"/>
  <c r="C472" i="39"/>
  <c r="A472" i="39" s="1"/>
  <c r="C464" i="39"/>
  <c r="A464" i="39" s="1"/>
  <c r="C501" i="39"/>
  <c r="A501" i="39" s="1"/>
  <c r="C462" i="39"/>
  <c r="A462" i="39" s="1"/>
  <c r="C494" i="39"/>
  <c r="A494" i="39" s="1"/>
  <c r="C486" i="39"/>
  <c r="A486" i="39" s="1"/>
  <c r="C478" i="39"/>
  <c r="A478" i="39" s="1"/>
  <c r="C509" i="39"/>
  <c r="A509" i="39" s="1"/>
  <c r="C511" i="39"/>
  <c r="A511" i="39" s="1"/>
  <c r="C503" i="39"/>
  <c r="A503" i="39" s="1"/>
  <c r="C495" i="39"/>
  <c r="A495" i="39" s="1"/>
  <c r="C487" i="39"/>
  <c r="A487" i="39" s="1"/>
  <c r="C499" i="39"/>
  <c r="A499" i="39" s="1"/>
  <c r="C491" i="39"/>
  <c r="A491" i="39" s="1"/>
  <c r="C483" i="39"/>
  <c r="A483" i="39" s="1"/>
  <c r="C485" i="39"/>
  <c r="A485" i="39" s="1"/>
  <c r="C470" i="39"/>
  <c r="A470" i="39" s="1"/>
  <c r="C493" i="39"/>
  <c r="A493" i="39" s="1"/>
  <c r="C481" i="39"/>
  <c r="A481" i="39" s="1"/>
  <c r="C510" i="39"/>
  <c r="A510" i="39" s="1"/>
  <c r="C502" i="39"/>
  <c r="A502" i="39" s="1"/>
  <c r="BI9" i="38"/>
  <c r="BI60" i="38"/>
  <c r="D194" i="39" s="1" a="1"/>
  <c r="BI10" i="38"/>
  <c r="BI61" i="38"/>
  <c r="BI12" i="38"/>
  <c r="BI11" i="38"/>
  <c r="BI13" i="38"/>
  <c r="BI14" i="38"/>
  <c r="BI15" i="38"/>
  <c r="BI16" i="38"/>
  <c r="BI17" i="38"/>
  <c r="BI18" i="38"/>
  <c r="BI19" i="38"/>
  <c r="BI20" i="38"/>
  <c r="BI21" i="38"/>
  <c r="BI22" i="38"/>
  <c r="BI23" i="38"/>
  <c r="BI24" i="38"/>
  <c r="BI25" i="38"/>
  <c r="BI26" i="38"/>
  <c r="BI27" i="38"/>
  <c r="BI28" i="38"/>
  <c r="BI29" i="38"/>
  <c r="BI30" i="38"/>
  <c r="BI31" i="38"/>
  <c r="BI32" i="38"/>
  <c r="BI33" i="38"/>
  <c r="BI34" i="38"/>
  <c r="BI35" i="38"/>
  <c r="BI36" i="38"/>
  <c r="BI37" i="38"/>
  <c r="BI38" i="38"/>
  <c r="BI39" i="38"/>
  <c r="BI40" i="38"/>
  <c r="BI41" i="38"/>
  <c r="BI42" i="38"/>
  <c r="BI43" i="38"/>
  <c r="BI44" i="38"/>
  <c r="BI45" i="38"/>
  <c r="BI46" i="38"/>
  <c r="BI47" i="38"/>
  <c r="BI48" i="38"/>
  <c r="BI49" i="38"/>
  <c r="BI50" i="38"/>
  <c r="BI51" i="38"/>
  <c r="BI52" i="38"/>
  <c r="BI53" i="38"/>
  <c r="BI54" i="38"/>
  <c r="BI55" i="38"/>
  <c r="BI56" i="38"/>
  <c r="BI57" i="38"/>
  <c r="C412" i="39"/>
  <c r="A412" i="39" s="1"/>
  <c r="C452" i="39"/>
  <c r="A452" i="39" s="1"/>
  <c r="C454" i="39"/>
  <c r="A454" i="39" s="1"/>
  <c r="C429" i="39"/>
  <c r="A429" i="39" s="1"/>
  <c r="C440" i="39"/>
  <c r="A440" i="39" s="1"/>
  <c r="C457" i="39"/>
  <c r="A457" i="39" s="1"/>
  <c r="C426" i="39"/>
  <c r="A426" i="39" s="1"/>
  <c r="C456" i="39"/>
  <c r="A456" i="39" s="1"/>
  <c r="C437" i="39"/>
  <c r="A437" i="39" s="1"/>
  <c r="C438" i="39"/>
  <c r="A438" i="39" s="1"/>
  <c r="C446" i="39"/>
  <c r="A446" i="39" s="1"/>
  <c r="C415" i="39"/>
  <c r="A415" i="39" s="1"/>
  <c r="C434" i="39"/>
  <c r="A434" i="39" s="1"/>
  <c r="C450" i="39"/>
  <c r="A450" i="39" s="1"/>
  <c r="C453" i="39"/>
  <c r="A453" i="39" s="1"/>
  <c r="C451" i="39"/>
  <c r="A451" i="39" s="1"/>
  <c r="C417" i="39"/>
  <c r="A417" i="39" s="1"/>
  <c r="C444" i="39"/>
  <c r="A444" i="39" s="1"/>
  <c r="C416" i="39"/>
  <c r="A416" i="39" s="1"/>
  <c r="C449" i="39"/>
  <c r="A449" i="39" s="1"/>
  <c r="C431" i="39"/>
  <c r="A431" i="39" s="1"/>
  <c r="C455" i="39"/>
  <c r="A455" i="39" s="1"/>
  <c r="C432" i="39"/>
  <c r="A432" i="39" s="1"/>
  <c r="C423" i="39"/>
  <c r="A423" i="39" s="1"/>
  <c r="C436" i="39"/>
  <c r="A436" i="39" s="1"/>
  <c r="C430" i="39"/>
  <c r="A430" i="39" s="1"/>
  <c r="C445" i="39"/>
  <c r="A445" i="39" s="1"/>
  <c r="C427" i="39"/>
  <c r="A427" i="39" s="1"/>
  <c r="C433" i="39"/>
  <c r="A433" i="39" s="1"/>
  <c r="C413" i="39"/>
  <c r="A413" i="39" s="1"/>
  <c r="C418" i="39"/>
  <c r="A418" i="39" s="1"/>
  <c r="C447" i="39"/>
  <c r="A447" i="39" s="1"/>
  <c r="C442" i="39"/>
  <c r="A442" i="39" s="1"/>
  <c r="C410" i="39"/>
  <c r="A410" i="39" s="1"/>
  <c r="C441" i="39"/>
  <c r="A441" i="39" s="1"/>
  <c r="C411" i="39"/>
  <c r="A411" i="39" s="1"/>
  <c r="C443" i="39"/>
  <c r="A443" i="39" s="1"/>
  <c r="C435" i="39"/>
  <c r="A435" i="39" s="1"/>
  <c r="C425" i="39"/>
  <c r="A425" i="39" s="1"/>
  <c r="C439" i="39"/>
  <c r="A439" i="39" s="1"/>
  <c r="C420" i="39"/>
  <c r="A420" i="39" s="1"/>
  <c r="C421" i="39"/>
  <c r="A421" i="39" s="1"/>
  <c r="C424" i="39"/>
  <c r="A424" i="39" s="1"/>
  <c r="C448" i="39"/>
  <c r="A448" i="39" s="1"/>
  <c r="C428" i="39"/>
  <c r="A428" i="39" s="1"/>
  <c r="C422" i="39"/>
  <c r="A422" i="39" s="1"/>
  <c r="C409" i="39"/>
  <c r="A409" i="39" s="1"/>
  <c r="C414" i="39"/>
  <c r="A414" i="39" s="1"/>
  <c r="C419" i="39"/>
  <c r="A419" i="39" s="1"/>
  <c r="C458" i="39"/>
  <c r="A458" i="39" s="1"/>
  <c r="BI58" i="38"/>
  <c r="BH62" i="38"/>
  <c r="R58" i="25" a="1"/>
  <c r="R58" i="25" s="1"/>
  <c r="Q58" i="25" a="1"/>
  <c r="Q58" i="25" s="1"/>
  <c r="O58" i="25" a="1"/>
  <c r="O58" i="25" s="1"/>
  <c r="T58" i="25" a="1"/>
  <c r="T58" i="25" s="1"/>
  <c r="S58" i="25" a="1"/>
  <c r="S58" i="25" s="1"/>
  <c r="P58" i="25" a="1"/>
  <c r="P58" i="25" s="1"/>
  <c r="W58" i="25" a="1"/>
  <c r="W58" i="25" s="1"/>
  <c r="U58" i="25" a="1"/>
  <c r="U58" i="25" s="1"/>
  <c r="V58" i="25" a="1"/>
  <c r="V58" i="25" s="1"/>
  <c r="X58" i="25" a="1"/>
  <c r="X58" i="25" s="1"/>
  <c r="Z58" i="25" a="1"/>
  <c r="Z58" i="25" s="1"/>
  <c r="Y58" i="25" a="1"/>
  <c r="Y58" i="25" s="1"/>
  <c r="AB58" i="25" a="1"/>
  <c r="AB58" i="25" s="1"/>
  <c r="AC58" i="25" a="1"/>
  <c r="AC58" i="25" s="1"/>
  <c r="AD58" i="25" a="1"/>
  <c r="AD58" i="25" s="1"/>
  <c r="AA58" i="25" a="1"/>
  <c r="AA58" i="25" s="1"/>
  <c r="AE58" i="25" a="1"/>
  <c r="AE58" i="25" s="1"/>
  <c r="AF58" i="25" a="1"/>
  <c r="AF58" i="25" s="1"/>
  <c r="AG58" i="25" a="1"/>
  <c r="AG58" i="25" s="1"/>
  <c r="AH58" i="25" a="1"/>
  <c r="AH58" i="25" s="1"/>
  <c r="AI58" i="25" a="1"/>
  <c r="AI58" i="25" s="1"/>
  <c r="AK58" i="25" a="1"/>
  <c r="AK58" i="25" s="1"/>
  <c r="AL58" i="25" a="1"/>
  <c r="AL58" i="25" s="1"/>
  <c r="AN58" i="25" a="1"/>
  <c r="AN58" i="25" s="1"/>
  <c r="AO58" i="25" a="1"/>
  <c r="AO58" i="25" s="1"/>
  <c r="AJ58" i="25" a="1"/>
  <c r="AJ58" i="25" s="1"/>
  <c r="AQ58" i="25" a="1"/>
  <c r="AQ58" i="25" s="1"/>
  <c r="AM58" i="25" a="1"/>
  <c r="AM58" i="25" s="1"/>
  <c r="AP58" i="25" a="1"/>
  <c r="AP58" i="25" s="1"/>
  <c r="AV58" i="25" a="1"/>
  <c r="AV58" i="25" s="1"/>
  <c r="AR58" i="25" a="1"/>
  <c r="AR58" i="25" s="1"/>
  <c r="AU58" i="25" a="1"/>
  <c r="AU58" i="25" s="1"/>
  <c r="AS58" i="25" a="1"/>
  <c r="AS58" i="25" s="1"/>
  <c r="AT58" i="25" a="1"/>
  <c r="AT58" i="25" s="1"/>
  <c r="AW58" i="25" a="1"/>
  <c r="AW58" i="25" s="1"/>
  <c r="AY58" i="25" a="1"/>
  <c r="AY58" i="25" s="1"/>
  <c r="AX58" i="25" a="1"/>
  <c r="AX58" i="25" s="1"/>
  <c r="AZ58" i="25" a="1"/>
  <c r="AZ58" i="25" s="1"/>
  <c r="BC58" i="25" a="1"/>
  <c r="BC58" i="25" s="1"/>
  <c r="BD58" i="25" a="1"/>
  <c r="BD58" i="25" s="1"/>
  <c r="BE58" i="25" a="1"/>
  <c r="BE58" i="25" s="1"/>
  <c r="BG58" i="25" a="1"/>
  <c r="BG58" i="25" s="1"/>
  <c r="BH58" i="25" a="1"/>
  <c r="BH58" i="25" s="1"/>
  <c r="BA58" i="25" a="1"/>
  <c r="BA58" i="25" s="1"/>
  <c r="BB58" i="25" a="1"/>
  <c r="BB58" i="25" s="1"/>
  <c r="BF58" i="25" a="1"/>
  <c r="BF58" i="25" s="1"/>
  <c r="BI58" i="25" a="1"/>
  <c r="BI58" i="25" s="1"/>
  <c r="BL58" i="25" a="1"/>
  <c r="BL58" i="25" s="1"/>
  <c r="BK58" i="25" a="1"/>
  <c r="BK58" i="25" s="1"/>
  <c r="BJ58" i="25" a="1"/>
  <c r="BJ58" i="25" s="1"/>
  <c r="BK62" i="25"/>
  <c r="C248" i="39" a="1"/>
  <c r="R63" i="25" a="1"/>
  <c r="W63" i="25" a="1"/>
  <c r="AB63" i="25" a="1"/>
  <c r="AG63" i="25" a="1"/>
  <c r="AO63" i="25" a="1"/>
  <c r="AR63" i="25" a="1"/>
  <c r="AX63" i="25" a="1"/>
  <c r="BH63" i="25" a="1"/>
  <c r="BK63" i="25" a="1"/>
  <c r="V63" i="25" a="1"/>
  <c r="AI63" i="25" a="1"/>
  <c r="AS63" i="25" a="1"/>
  <c r="BB63" i="25" a="1"/>
  <c r="T63" i="25" a="1"/>
  <c r="AA63" i="25" a="1"/>
  <c r="AM63" i="25" a="1"/>
  <c r="BD63" i="25" a="1"/>
  <c r="Z63" i="25" a="1"/>
  <c r="AE63" i="25" a="1"/>
  <c r="AP63" i="25" a="1"/>
  <c r="BE63" i="25" a="1"/>
  <c r="P63" i="25" a="1"/>
  <c r="AF63" i="25" a="1"/>
  <c r="AV63" i="25" a="1"/>
  <c r="BL63" i="25" a="1"/>
  <c r="Q63" i="25" a="1"/>
  <c r="U63" i="25" a="1"/>
  <c r="AC63" i="25" a="1"/>
  <c r="AH63" i="25" a="1"/>
  <c r="AJ63" i="25" a="1"/>
  <c r="AU63" i="25" a="1"/>
  <c r="AZ63" i="25" a="1"/>
  <c r="BA63" i="25" a="1"/>
  <c r="BJ63" i="25" a="1"/>
  <c r="O63" i="25" a="1"/>
  <c r="AD63" i="25" a="1"/>
  <c r="AQ63" i="25" a="1"/>
  <c r="BC63" i="25" a="1"/>
  <c r="X63" i="25" a="1"/>
  <c r="AK63" i="25" a="1"/>
  <c r="AT63" i="25" a="1"/>
  <c r="BF63" i="25" a="1"/>
  <c r="S63" i="25" a="1"/>
  <c r="AL63" i="25" a="1"/>
  <c r="AW63" i="25" a="1"/>
  <c r="BI63" i="25" a="1"/>
  <c r="Y63" i="25" a="1"/>
  <c r="AN63" i="25" a="1"/>
  <c r="AY63" i="25" a="1"/>
  <c r="BG63" i="25" a="1"/>
  <c r="BG63" i="25" l="1"/>
  <c r="AY63" i="25"/>
  <c r="AN63" i="25"/>
  <c r="Y63" i="25"/>
  <c r="BI63" i="25"/>
  <c r="AW63" i="25"/>
  <c r="AL63" i="25"/>
  <c r="S63" i="25"/>
  <c r="BF63" i="25"/>
  <c r="AT63" i="25"/>
  <c r="AK63" i="25"/>
  <c r="X63" i="25"/>
  <c r="BC63" i="25"/>
  <c r="AQ63" i="25"/>
  <c r="AD63" i="25"/>
  <c r="O63" i="25"/>
  <c r="BJ63" i="25"/>
  <c r="BA63" i="25"/>
  <c r="AZ63" i="25"/>
  <c r="AU63" i="25"/>
  <c r="AJ63" i="25"/>
  <c r="AH63" i="25"/>
  <c r="AC63" i="25"/>
  <c r="U63" i="25"/>
  <c r="Q63" i="25"/>
  <c r="BL63" i="25"/>
  <c r="AV63" i="25"/>
  <c r="AF63" i="25"/>
  <c r="P63" i="25"/>
  <c r="BE63" i="25"/>
  <c r="AP63" i="25"/>
  <c r="AE63" i="25"/>
  <c r="Z63" i="25"/>
  <c r="BD63" i="25"/>
  <c r="AM63" i="25"/>
  <c r="AA63" i="25"/>
  <c r="T63" i="25"/>
  <c r="BB63" i="25"/>
  <c r="AS63" i="25"/>
  <c r="AI63" i="25"/>
  <c r="V63" i="25"/>
  <c r="BK63" i="25"/>
  <c r="BH63" i="25"/>
  <c r="AX63" i="25"/>
  <c r="AR63" i="25"/>
  <c r="AO63" i="25"/>
  <c r="AG63" i="25"/>
  <c r="AB63" i="25"/>
  <c r="W63" i="25"/>
  <c r="R63" i="25"/>
  <c r="BG62" i="25"/>
  <c r="AY62" i="25"/>
  <c r="AN62" i="25"/>
  <c r="Y62" i="25"/>
  <c r="BI62" i="25"/>
  <c r="AW62" i="25"/>
  <c r="AL62" i="25"/>
  <c r="S62" i="25"/>
  <c r="BF62" i="25"/>
  <c r="AT62" i="25"/>
  <c r="AK62" i="25"/>
  <c r="X62" i="25"/>
  <c r="BC62" i="25"/>
  <c r="AQ62" i="25"/>
  <c r="AD62" i="25"/>
  <c r="O62" i="25"/>
  <c r="BJ62" i="25"/>
  <c r="BA62" i="25"/>
  <c r="AZ62" i="25"/>
  <c r="AU62" i="25"/>
  <c r="AJ62" i="25"/>
  <c r="AH62" i="25"/>
  <c r="AC62" i="25"/>
  <c r="U62" i="25"/>
  <c r="Q62" i="25"/>
  <c r="BL62" i="25"/>
  <c r="AV62" i="25"/>
  <c r="AF62" i="25"/>
  <c r="P62" i="25"/>
  <c r="BE62" i="25"/>
  <c r="AP62" i="25"/>
  <c r="AE62" i="25"/>
  <c r="Z62" i="25"/>
  <c r="BD62" i="25"/>
  <c r="AM62" i="25"/>
  <c r="AA62" i="25"/>
  <c r="T62" i="25"/>
  <c r="BB62" i="25"/>
  <c r="AS62" i="25"/>
  <c r="AI62" i="25"/>
  <c r="V62" i="25"/>
  <c r="BH62" i="25"/>
  <c r="AX62" i="25"/>
  <c r="AR62" i="25"/>
  <c r="AO62" i="25"/>
  <c r="AG62" i="25"/>
  <c r="AB62" i="25"/>
  <c r="W62" i="25"/>
  <c r="R62" i="25"/>
  <c r="D453" i="39"/>
  <c r="D289" i="39"/>
  <c r="D268" i="39"/>
  <c r="D297" i="39"/>
  <c r="D275" i="39"/>
  <c r="D267" i="39"/>
  <c r="D269" i="39"/>
  <c r="D287" i="39"/>
  <c r="D257" i="39"/>
  <c r="D282" i="39"/>
  <c r="D252" i="39"/>
  <c r="D278" i="39"/>
  <c r="D251" i="39"/>
  <c r="D286" i="39"/>
  <c r="D265" i="39"/>
  <c r="D271" i="39"/>
  <c r="D270" i="39"/>
  <c r="D277" i="39"/>
  <c r="D250" i="39"/>
  <c r="D258" i="39"/>
  <c r="D281" i="39"/>
  <c r="D260" i="39"/>
  <c r="D253" i="39"/>
  <c r="D283" i="39"/>
  <c r="D284" i="39"/>
  <c r="D293" i="39"/>
  <c r="D292" i="39"/>
  <c r="D294" i="39"/>
  <c r="D255" i="39"/>
  <c r="D288" i="39"/>
  <c r="D280" i="39"/>
  <c r="D274" i="39"/>
  <c r="D279" i="39"/>
  <c r="D264" i="39"/>
  <c r="D249" i="39"/>
  <c r="D263" i="39"/>
  <c r="D272" i="39"/>
  <c r="D273" i="39"/>
  <c r="D261" i="39"/>
  <c r="D291" i="39"/>
  <c r="D262" i="39"/>
  <c r="D259" i="39"/>
  <c r="D256" i="39"/>
  <c r="D266" i="39"/>
  <c r="D254" i="39"/>
  <c r="D276" i="39"/>
  <c r="D290" i="39"/>
  <c r="D285" i="39"/>
  <c r="D296" i="39"/>
  <c r="D248" i="39"/>
  <c r="D442" i="39"/>
  <c r="D418" i="39"/>
  <c r="D452" i="39"/>
  <c r="D415" i="39"/>
  <c r="D436" i="39"/>
  <c r="D424" i="39"/>
  <c r="D434" i="39"/>
  <c r="D427" i="39"/>
  <c r="D421" i="39"/>
  <c r="D454" i="39"/>
  <c r="D420" i="39"/>
  <c r="D422" i="39"/>
  <c r="D433" i="39"/>
  <c r="D430" i="39"/>
  <c r="D440" i="39"/>
  <c r="D457" i="39"/>
  <c r="D409" i="39"/>
  <c r="D437" i="39"/>
  <c r="D414" i="39"/>
  <c r="D423" i="39"/>
  <c r="D439" i="39"/>
  <c r="D448" i="39"/>
  <c r="D432" i="39"/>
  <c r="D447" i="39"/>
  <c r="D444" i="39"/>
  <c r="D446" i="39"/>
  <c r="D411" i="39"/>
  <c r="D445" i="39"/>
  <c r="D441" i="39"/>
  <c r="D435" i="39"/>
  <c r="D429" i="39"/>
  <c r="D413" i="39"/>
  <c r="D431" i="39"/>
  <c r="D438" i="39"/>
  <c r="D426" i="39"/>
  <c r="D451" i="39"/>
  <c r="D417" i="39"/>
  <c r="D425" i="39"/>
  <c r="D428" i="39"/>
  <c r="D416" i="39"/>
  <c r="D443" i="39"/>
  <c r="D412" i="39"/>
  <c r="D419" i="39"/>
  <c r="D458" i="39"/>
  <c r="D450" i="39"/>
  <c r="D449" i="39"/>
  <c r="D455" i="39"/>
  <c r="D410" i="39"/>
  <c r="B140" i="39" a="1"/>
  <c r="B166" i="39" s="1"/>
  <c r="B194" i="39" a="1"/>
  <c r="B195" i="39" s="1"/>
  <c r="D236" i="39"/>
  <c r="D218" i="39"/>
  <c r="D210" i="39"/>
  <c r="D239" i="39"/>
  <c r="D241" i="39"/>
  <c r="D234" i="39"/>
  <c r="D221" i="39"/>
  <c r="D201" i="39"/>
  <c r="D206" i="39"/>
  <c r="D219" i="39"/>
  <c r="D209" i="39"/>
  <c r="D242" i="39"/>
  <c r="D200" i="39"/>
  <c r="D207" i="39"/>
  <c r="D205" i="39"/>
  <c r="D237" i="39"/>
  <c r="D228" i="39"/>
  <c r="D235" i="39"/>
  <c r="D225" i="39"/>
  <c r="D194" i="39"/>
  <c r="D216" i="39"/>
  <c r="D233" i="39"/>
  <c r="D223" i="39"/>
  <c r="D224" i="39"/>
  <c r="D213" i="39"/>
  <c r="D215" i="39"/>
  <c r="D227" i="39"/>
  <c r="D195" i="39"/>
  <c r="D240" i="39"/>
  <c r="D232" i="39"/>
  <c r="D231" i="39"/>
  <c r="D238" i="39"/>
  <c r="D198" i="39"/>
  <c r="D214" i="39"/>
  <c r="D222" i="39"/>
  <c r="D217" i="39"/>
  <c r="D208" i="39"/>
  <c r="D197" i="39"/>
  <c r="D203" i="39"/>
  <c r="D230" i="39"/>
  <c r="D196" i="39"/>
  <c r="D226" i="39"/>
  <c r="D204" i="39"/>
  <c r="D212" i="39"/>
  <c r="D202" i="39"/>
  <c r="D199" i="39"/>
  <c r="D220" i="39"/>
  <c r="D243" i="39"/>
  <c r="D229" i="39"/>
  <c r="D211" i="39"/>
  <c r="B216" i="39"/>
  <c r="B243" i="39"/>
  <c r="B210" i="39"/>
  <c r="B229" i="39"/>
  <c r="B242" i="39"/>
  <c r="B219" i="39"/>
  <c r="B201" i="39"/>
  <c r="B228" i="39"/>
  <c r="B239" i="39"/>
  <c r="B238" i="39"/>
  <c r="B215" i="39"/>
  <c r="B218" i="39"/>
  <c r="B199" i="39"/>
  <c r="B222" i="39"/>
  <c r="B226" i="39"/>
  <c r="B200" i="39"/>
  <c r="B227" i="39"/>
  <c r="B203" i="39"/>
  <c r="B235" i="39"/>
  <c r="B211" i="39"/>
  <c r="B197" i="39"/>
  <c r="B209" i="39"/>
  <c r="B196" i="39"/>
  <c r="B206" i="39"/>
  <c r="B223" i="39"/>
  <c r="B220" i="39"/>
  <c r="C48" i="39"/>
  <c r="A48" i="39" s="1"/>
  <c r="F398" i="22"/>
  <c r="F399" i="22" s="1"/>
  <c r="F400" i="22" s="1"/>
  <c r="F401" i="22" s="1"/>
  <c r="F402" i="22" s="1"/>
  <c r="F403" i="22" s="1"/>
  <c r="F404" i="22" s="1"/>
  <c r="L3" i="22" s="1"/>
  <c r="B250" i="39"/>
  <c r="B286" i="39"/>
  <c r="B253" i="39"/>
  <c r="B289" i="39"/>
  <c r="B278" i="39"/>
  <c r="B287" i="39"/>
  <c r="B258" i="39"/>
  <c r="B292" i="39"/>
  <c r="B260" i="39"/>
  <c r="B263" i="39"/>
  <c r="B265" i="39"/>
  <c r="B275" i="39"/>
  <c r="B295" i="39"/>
  <c r="B281" i="39"/>
  <c r="B283" i="39"/>
  <c r="B271" i="39"/>
  <c r="B290" i="39"/>
  <c r="B294" i="39"/>
  <c r="B254" i="39"/>
  <c r="B268" i="39"/>
  <c r="B251" i="39"/>
  <c r="B267" i="39"/>
  <c r="B259" i="39"/>
  <c r="B274" i="39"/>
  <c r="B277" i="39"/>
  <c r="B269" i="39"/>
  <c r="B297" i="39"/>
  <c r="B266" i="39"/>
  <c r="B262" i="39"/>
  <c r="B280" i="39"/>
  <c r="B255" i="39"/>
  <c r="B270" i="39"/>
  <c r="B272" i="39"/>
  <c r="B276" i="39"/>
  <c r="B264" i="39"/>
  <c r="B296" i="39"/>
  <c r="B293" i="39"/>
  <c r="B257" i="39"/>
  <c r="B256" i="39"/>
  <c r="B279" i="39"/>
  <c r="B248" i="39"/>
  <c r="B285" i="39"/>
  <c r="B288" i="39"/>
  <c r="B249" i="39"/>
  <c r="B284" i="39"/>
  <c r="B261" i="39"/>
  <c r="B273" i="39"/>
  <c r="B282" i="39"/>
  <c r="B252" i="39"/>
  <c r="B291" i="39"/>
  <c r="D140" i="39" a="1"/>
  <c r="D86" i="39" a="1"/>
  <c r="C282" i="39"/>
  <c r="A282" i="39" s="1"/>
  <c r="C287" i="39"/>
  <c r="A287" i="39" s="1"/>
  <c r="C252" i="39"/>
  <c r="A252" i="39" s="1"/>
  <c r="C296" i="39"/>
  <c r="A296" i="39" s="1"/>
  <c r="C263" i="39"/>
  <c r="A263" i="39" s="1"/>
  <c r="C266" i="39"/>
  <c r="A266" i="39" s="1"/>
  <c r="C274" i="39"/>
  <c r="A274" i="39" s="1"/>
  <c r="C253" i="39"/>
  <c r="A253" i="39" s="1"/>
  <c r="C250" i="39"/>
  <c r="A250" i="39" s="1"/>
  <c r="C286" i="39"/>
  <c r="A286" i="39" s="1"/>
  <c r="C260" i="39"/>
  <c r="A260" i="39" s="1"/>
  <c r="C254" i="39"/>
  <c r="A254" i="39" s="1"/>
  <c r="C256" i="39"/>
  <c r="A256" i="39" s="1"/>
  <c r="C270" i="39"/>
  <c r="A270" i="39" s="1"/>
  <c r="C290" i="39"/>
  <c r="A290" i="39" s="1"/>
  <c r="C294" i="39"/>
  <c r="A294" i="39" s="1"/>
  <c r="C283" i="39"/>
  <c r="A283" i="39" s="1"/>
  <c r="C267" i="39"/>
  <c r="A267" i="39" s="1"/>
  <c r="C293" i="39"/>
  <c r="A293" i="39" s="1"/>
  <c r="C272" i="39"/>
  <c r="A272" i="39" s="1"/>
  <c r="C281" i="39"/>
  <c r="A281" i="39" s="1"/>
  <c r="C255" i="39"/>
  <c r="A255" i="39" s="1"/>
  <c r="C249" i="39"/>
  <c r="A249" i="39" s="1"/>
  <c r="C291" i="39"/>
  <c r="A291" i="39" s="1"/>
  <c r="C284" i="39"/>
  <c r="A284" i="39" s="1"/>
  <c r="C269" i="39"/>
  <c r="A269" i="39" s="1"/>
  <c r="C261" i="39"/>
  <c r="A261" i="39" s="1"/>
  <c r="C277" i="39"/>
  <c r="A277" i="39" s="1"/>
  <c r="C258" i="39"/>
  <c r="A258" i="39" s="1"/>
  <c r="C268" i="39"/>
  <c r="A268" i="39" s="1"/>
  <c r="C295" i="39"/>
  <c r="A295" i="39" s="1"/>
  <c r="C262" i="39"/>
  <c r="A262" i="39" s="1"/>
  <c r="C257" i="39"/>
  <c r="A257" i="39" s="1"/>
  <c r="C289" i="39"/>
  <c r="A289" i="39" s="1"/>
  <c r="C251" i="39"/>
  <c r="A251" i="39" s="1"/>
  <c r="C285" i="39"/>
  <c r="A285" i="39" s="1"/>
  <c r="C264" i="39"/>
  <c r="A264" i="39" s="1"/>
  <c r="C280" i="39"/>
  <c r="A280" i="39" s="1"/>
  <c r="C276" i="39"/>
  <c r="A276" i="39" s="1"/>
  <c r="C288" i="39"/>
  <c r="A288" i="39" s="1"/>
  <c r="C275" i="39"/>
  <c r="A275" i="39" s="1"/>
  <c r="C248" i="39"/>
  <c r="A248" i="39" s="1"/>
  <c r="C259" i="39"/>
  <c r="A259" i="39" s="1"/>
  <c r="C292" i="39"/>
  <c r="A292" i="39" s="1"/>
  <c r="C271" i="39"/>
  <c r="A271" i="39" s="1"/>
  <c r="C265" i="39"/>
  <c r="A265" i="39" s="1"/>
  <c r="C279" i="39"/>
  <c r="A279" i="39" s="1"/>
  <c r="C278" i="39"/>
  <c r="A278" i="39" s="1"/>
  <c r="C273" i="39"/>
  <c r="A273" i="39" s="1"/>
  <c r="C297" i="39"/>
  <c r="A297" i="39" s="1"/>
  <c r="B86" i="39" a="1"/>
  <c r="BI62" i="38"/>
  <c r="B167" i="39"/>
  <c r="B165" i="39"/>
  <c r="B154" i="39"/>
  <c r="B140" i="39"/>
  <c r="B158" i="39"/>
  <c r="B164" i="39"/>
  <c r="B157" i="39"/>
  <c r="B163" i="39"/>
  <c r="B149" i="39"/>
  <c r="B177" i="39"/>
  <c r="B156" i="39"/>
  <c r="B171" i="39"/>
  <c r="B168" i="39"/>
  <c r="B181" i="39"/>
  <c r="B179" i="39"/>
  <c r="B151" i="39"/>
  <c r="B180" i="39"/>
  <c r="B147" i="39"/>
  <c r="B169" i="39"/>
  <c r="B144" i="39"/>
  <c r="B161" i="39"/>
  <c r="B160" i="39"/>
  <c r="B173" i="39"/>
  <c r="B155" i="39"/>
  <c r="B143" i="39"/>
  <c r="B172" i="39"/>
  <c r="B186" i="39"/>
  <c r="B189" i="39"/>
  <c r="B145" i="39"/>
  <c r="B182" i="39"/>
  <c r="B187" i="39"/>
  <c r="B153" i="39"/>
  <c r="B184" i="39"/>
  <c r="B150" i="39"/>
  <c r="B174" i="39"/>
  <c r="B142" i="39"/>
  <c r="B188" i="39"/>
  <c r="B146" i="39"/>
  <c r="C301" i="39" l="1" a="1"/>
  <c r="C309" i="39" s="1"/>
  <c r="A309" i="39" s="1"/>
  <c r="C355" i="39" a="1"/>
  <c r="C388" i="39" s="1"/>
  <c r="A388" i="39" s="1"/>
  <c r="D301" i="39" a="1"/>
  <c r="D355" i="39" a="1"/>
  <c r="B207" i="39"/>
  <c r="B241" i="39"/>
  <c r="B221" i="39"/>
  <c r="B208" i="39"/>
  <c r="B194" i="39"/>
  <c r="B212" i="39"/>
  <c r="B217" i="39"/>
  <c r="B202" i="39"/>
  <c r="B224" i="39"/>
  <c r="B198" i="39"/>
  <c r="B232" i="39"/>
  <c r="B237" i="39"/>
  <c r="B233" i="39"/>
  <c r="B230" i="39"/>
  <c r="B240" i="39"/>
  <c r="B236" i="39"/>
  <c r="B204" i="39"/>
  <c r="B205" i="39"/>
  <c r="B234" i="39"/>
  <c r="B225" i="39"/>
  <c r="B231" i="39"/>
  <c r="B214" i="39"/>
  <c r="B213" i="39"/>
  <c r="B162" i="39"/>
  <c r="B176" i="39"/>
  <c r="B175" i="39"/>
  <c r="B183" i="39"/>
  <c r="B185" i="39"/>
  <c r="B141" i="39"/>
  <c r="B159" i="39"/>
  <c r="B178" i="39"/>
  <c r="B148" i="39"/>
  <c r="B170" i="39"/>
  <c r="B152" i="39"/>
  <c r="D119" i="39"/>
  <c r="D132" i="39"/>
  <c r="D89" i="39"/>
  <c r="D120" i="39"/>
  <c r="D116" i="39"/>
  <c r="D99" i="39"/>
  <c r="D93" i="39"/>
  <c r="D110" i="39"/>
  <c r="D125" i="39"/>
  <c r="D112" i="39"/>
  <c r="D96" i="39"/>
  <c r="D118" i="39"/>
  <c r="D131" i="39"/>
  <c r="D103" i="39"/>
  <c r="D91" i="39"/>
  <c r="D129" i="39"/>
  <c r="D109" i="39"/>
  <c r="D101" i="39"/>
  <c r="D105" i="39"/>
  <c r="D121" i="39"/>
  <c r="D98" i="39"/>
  <c r="D90" i="39"/>
  <c r="D126" i="39"/>
  <c r="D135" i="39"/>
  <c r="D108" i="39"/>
  <c r="D102" i="39"/>
  <c r="D104" i="39"/>
  <c r="D115" i="39"/>
  <c r="D122" i="39"/>
  <c r="D100" i="39"/>
  <c r="D113" i="39"/>
  <c r="D86" i="39"/>
  <c r="D88" i="39"/>
  <c r="D133" i="39"/>
  <c r="D134" i="39"/>
  <c r="D106" i="39"/>
  <c r="D123" i="39"/>
  <c r="D117" i="39"/>
  <c r="D127" i="39"/>
  <c r="D87" i="39"/>
  <c r="D130" i="39"/>
  <c r="D94" i="39"/>
  <c r="D97" i="39"/>
  <c r="D95" i="39"/>
  <c r="D114" i="39"/>
  <c r="D92" i="39"/>
  <c r="D124" i="39"/>
  <c r="D107" i="39"/>
  <c r="D128" i="39"/>
  <c r="D111" i="39"/>
  <c r="D179" i="39"/>
  <c r="D170" i="39"/>
  <c r="D169" i="39"/>
  <c r="D163" i="39"/>
  <c r="D189" i="39"/>
  <c r="D183" i="39"/>
  <c r="D154" i="39"/>
  <c r="D146" i="39"/>
  <c r="D184" i="39"/>
  <c r="D167" i="39"/>
  <c r="D172" i="39"/>
  <c r="D164" i="39"/>
  <c r="D149" i="39"/>
  <c r="D168" i="39"/>
  <c r="D173" i="39"/>
  <c r="D161" i="39"/>
  <c r="D143" i="39"/>
  <c r="D186" i="39"/>
  <c r="D144" i="39"/>
  <c r="D181" i="39"/>
  <c r="D159" i="39"/>
  <c r="D182" i="39"/>
  <c r="D185" i="39"/>
  <c r="D165" i="39"/>
  <c r="D171" i="39"/>
  <c r="D162" i="39"/>
  <c r="D153" i="39"/>
  <c r="D148" i="39"/>
  <c r="D158" i="39"/>
  <c r="D156" i="39"/>
  <c r="D160" i="39"/>
  <c r="D175" i="39"/>
  <c r="D187" i="39"/>
  <c r="D151" i="39"/>
  <c r="D150" i="39"/>
  <c r="D155" i="39"/>
  <c r="D188" i="39"/>
  <c r="D178" i="39"/>
  <c r="D157" i="39"/>
  <c r="D145" i="39"/>
  <c r="D152" i="39"/>
  <c r="D180" i="39"/>
  <c r="D141" i="39"/>
  <c r="D166" i="39"/>
  <c r="D147" i="39"/>
  <c r="D174" i="39"/>
  <c r="D142" i="39"/>
  <c r="D140" i="39"/>
  <c r="D176" i="39"/>
  <c r="D177" i="39"/>
  <c r="C86" i="39" a="1"/>
  <c r="C194" i="39" a="1"/>
  <c r="C140" i="39" a="1"/>
  <c r="B102" i="39"/>
  <c r="B107" i="39"/>
  <c r="B114" i="39"/>
  <c r="B133" i="39"/>
  <c r="B95" i="39"/>
  <c r="B128" i="39"/>
  <c r="B135" i="39"/>
  <c r="B117" i="39"/>
  <c r="B126" i="39"/>
  <c r="B93" i="39"/>
  <c r="B119" i="39"/>
  <c r="B87" i="39"/>
  <c r="B109" i="39"/>
  <c r="B132" i="39"/>
  <c r="B89" i="39"/>
  <c r="B127" i="39"/>
  <c r="B122" i="39"/>
  <c r="B88" i="39"/>
  <c r="B116" i="39"/>
  <c r="B99" i="39"/>
  <c r="B94" i="39"/>
  <c r="B124" i="39"/>
  <c r="B101" i="39"/>
  <c r="B96" i="39"/>
  <c r="B123" i="39"/>
  <c r="B106" i="39"/>
  <c r="B134" i="39"/>
  <c r="B120" i="39"/>
  <c r="B129" i="39"/>
  <c r="B91" i="39"/>
  <c r="B103" i="39"/>
  <c r="B105" i="39"/>
  <c r="B111" i="39"/>
  <c r="B98" i="39"/>
  <c r="B92" i="39"/>
  <c r="B86" i="39"/>
  <c r="B108" i="39"/>
  <c r="B100" i="39"/>
  <c r="B121" i="39"/>
  <c r="B125" i="39"/>
  <c r="B130" i="39"/>
  <c r="B104" i="39"/>
  <c r="B90" i="39"/>
  <c r="B110" i="39"/>
  <c r="B115" i="39"/>
  <c r="B118" i="39"/>
  <c r="B131" i="39"/>
  <c r="B97" i="39"/>
  <c r="B113" i="39"/>
  <c r="B112" i="39"/>
  <c r="C391" i="39" l="1"/>
  <c r="A391" i="39" s="1"/>
  <c r="C349" i="39"/>
  <c r="A349" i="39" s="1"/>
  <c r="C332" i="39"/>
  <c r="A332" i="39" s="1"/>
  <c r="C344" i="39"/>
  <c r="A344" i="39" s="1"/>
  <c r="C400" i="39"/>
  <c r="A400" i="39" s="1"/>
  <c r="C399" i="39"/>
  <c r="A399" i="39" s="1"/>
  <c r="C336" i="39"/>
  <c r="A336" i="39" s="1"/>
  <c r="C322" i="39"/>
  <c r="A322" i="39" s="1"/>
  <c r="C367" i="39"/>
  <c r="A367" i="39" s="1"/>
  <c r="C366" i="39"/>
  <c r="A366" i="39" s="1"/>
  <c r="C328" i="39"/>
  <c r="A328" i="39" s="1"/>
  <c r="C320" i="39"/>
  <c r="A320" i="39" s="1"/>
  <c r="C373" i="39"/>
  <c r="A373" i="39" s="1"/>
  <c r="C389" i="39"/>
  <c r="A389" i="39" s="1"/>
  <c r="C334" i="39"/>
  <c r="A334" i="39" s="1"/>
  <c r="C338" i="39"/>
  <c r="A338" i="39" s="1"/>
  <c r="C376" i="39"/>
  <c r="A376" i="39" s="1"/>
  <c r="C356" i="39"/>
  <c r="A356" i="39" s="1"/>
  <c r="C350" i="39"/>
  <c r="A350" i="39" s="1"/>
  <c r="C342" i="39"/>
  <c r="A342" i="39" s="1"/>
  <c r="C377" i="39"/>
  <c r="A377" i="39" s="1"/>
  <c r="C339" i="39"/>
  <c r="A339" i="39" s="1"/>
  <c r="C305" i="39"/>
  <c r="A305" i="39" s="1"/>
  <c r="C301" i="39"/>
  <c r="A301" i="39" s="1"/>
  <c r="C381" i="39"/>
  <c r="A381" i="39" s="1"/>
  <c r="C364" i="39"/>
  <c r="A364" i="39" s="1"/>
  <c r="C384" i="39"/>
  <c r="A384" i="39" s="1"/>
  <c r="C362" i="39"/>
  <c r="A362" i="39" s="1"/>
  <c r="C398" i="39"/>
  <c r="A398" i="39" s="1"/>
  <c r="C375" i="39"/>
  <c r="A375" i="39" s="1"/>
  <c r="C316" i="39"/>
  <c r="A316" i="39" s="1"/>
  <c r="C323" i="39"/>
  <c r="A323" i="39" s="1"/>
  <c r="C326" i="39"/>
  <c r="A326" i="39" s="1"/>
  <c r="C343" i="39"/>
  <c r="A343" i="39" s="1"/>
  <c r="C337" i="39"/>
  <c r="A337" i="39" s="1"/>
  <c r="C314" i="39"/>
  <c r="A314" i="39" s="1"/>
  <c r="C303" i="39"/>
  <c r="A303" i="39" s="1"/>
  <c r="C378" i="39"/>
  <c r="A378" i="39" s="1"/>
  <c r="C371" i="39"/>
  <c r="A371" i="39" s="1"/>
  <c r="C393" i="39"/>
  <c r="A393" i="39" s="1"/>
  <c r="C392" i="39"/>
  <c r="A392" i="39" s="1"/>
  <c r="C401" i="39"/>
  <c r="A401" i="39" s="1"/>
  <c r="C374" i="39"/>
  <c r="A374" i="39" s="1"/>
  <c r="C310" i="39"/>
  <c r="A310" i="39" s="1"/>
  <c r="C333" i="39"/>
  <c r="A333" i="39" s="1"/>
  <c r="C341" i="39"/>
  <c r="A341" i="39" s="1"/>
  <c r="C302" i="39"/>
  <c r="A302" i="39" s="1"/>
  <c r="C311" i="39"/>
  <c r="A311" i="39" s="1"/>
  <c r="C329" i="39"/>
  <c r="A329" i="39" s="1"/>
  <c r="C325" i="39"/>
  <c r="A325" i="39" s="1"/>
  <c r="C403" i="39"/>
  <c r="A403" i="39" s="1"/>
  <c r="C385" i="39"/>
  <c r="A385" i="39" s="1"/>
  <c r="C365" i="39"/>
  <c r="A365" i="39" s="1"/>
  <c r="C359" i="39"/>
  <c r="A359" i="39" s="1"/>
  <c r="C372" i="39"/>
  <c r="A372" i="39" s="1"/>
  <c r="C319" i="39"/>
  <c r="A319" i="39" s="1"/>
  <c r="C330" i="39"/>
  <c r="A330" i="39" s="1"/>
  <c r="C312" i="39"/>
  <c r="A312" i="39" s="1"/>
  <c r="C324" i="39"/>
  <c r="A324" i="39" s="1"/>
  <c r="C331" i="39"/>
  <c r="A331" i="39" s="1"/>
  <c r="C313" i="39"/>
  <c r="A313" i="39" s="1"/>
  <c r="C327" i="39"/>
  <c r="A327" i="39" s="1"/>
  <c r="C369" i="39"/>
  <c r="A369" i="39" s="1"/>
  <c r="C368" i="39"/>
  <c r="A368" i="39" s="1"/>
  <c r="C395" i="39"/>
  <c r="A395" i="39" s="1"/>
  <c r="C396" i="39"/>
  <c r="A396" i="39" s="1"/>
  <c r="C386" i="39"/>
  <c r="A386" i="39" s="1"/>
  <c r="C306" i="39"/>
  <c r="A306" i="39" s="1"/>
  <c r="C304" i="39"/>
  <c r="A304" i="39" s="1"/>
  <c r="C340" i="39"/>
  <c r="A340" i="39" s="1"/>
  <c r="C346" i="39"/>
  <c r="A346" i="39" s="1"/>
  <c r="C318" i="39"/>
  <c r="A318" i="39" s="1"/>
  <c r="C307" i="39"/>
  <c r="A307" i="39" s="1"/>
  <c r="C308" i="39"/>
  <c r="A308" i="39" s="1"/>
  <c r="C379" i="39"/>
  <c r="A379" i="39" s="1"/>
  <c r="C317" i="39"/>
  <c r="A317" i="39" s="1"/>
  <c r="C315" i="39"/>
  <c r="A315" i="39" s="1"/>
  <c r="C335" i="39"/>
  <c r="A335" i="39" s="1"/>
  <c r="C345" i="39"/>
  <c r="A345" i="39" s="1"/>
  <c r="C321" i="39"/>
  <c r="A321" i="39" s="1"/>
  <c r="C347" i="39"/>
  <c r="A347" i="39" s="1"/>
  <c r="C348" i="39"/>
  <c r="A348" i="39" s="1"/>
  <c r="C387" i="39"/>
  <c r="A387" i="39" s="1"/>
  <c r="C383" i="39"/>
  <c r="A383" i="39" s="1"/>
  <c r="C361" i="39"/>
  <c r="A361" i="39" s="1"/>
  <c r="C390" i="39"/>
  <c r="A390" i="39" s="1"/>
  <c r="C382" i="39"/>
  <c r="A382" i="39" s="1"/>
  <c r="C363" i="39"/>
  <c r="A363" i="39" s="1"/>
  <c r="C404" i="39"/>
  <c r="A404" i="39" s="1"/>
  <c r="C358" i="39"/>
  <c r="A358" i="39" s="1"/>
  <c r="C380" i="39"/>
  <c r="A380" i="39" s="1"/>
  <c r="C402" i="39"/>
  <c r="A402" i="39" s="1"/>
  <c r="C355" i="39"/>
  <c r="A355" i="39" s="1"/>
  <c r="C397" i="39"/>
  <c r="A397" i="39" s="1"/>
  <c r="C394" i="39"/>
  <c r="A394" i="39" s="1"/>
  <c r="C360" i="39"/>
  <c r="A360" i="39" s="1"/>
  <c r="C370" i="39"/>
  <c r="A370" i="39" s="1"/>
  <c r="C357" i="39"/>
  <c r="A357" i="39" s="1"/>
  <c r="D342" i="39"/>
  <c r="D345" i="39"/>
  <c r="D313" i="39"/>
  <c r="D303" i="39"/>
  <c r="D316" i="39"/>
  <c r="D334" i="39"/>
  <c r="D323" i="39"/>
  <c r="D315" i="39"/>
  <c r="D347" i="39"/>
  <c r="D343" i="39"/>
  <c r="D326" i="39"/>
  <c r="D339" i="39"/>
  <c r="D307" i="39"/>
  <c r="D340" i="39"/>
  <c r="D317" i="39"/>
  <c r="D327" i="39"/>
  <c r="D319" i="39"/>
  <c r="D311" i="39"/>
  <c r="D305" i="39"/>
  <c r="D328" i="39"/>
  <c r="D333" i="39"/>
  <c r="D324" i="39"/>
  <c r="D341" i="39"/>
  <c r="D308" i="39"/>
  <c r="D350" i="39"/>
  <c r="D306" i="39"/>
  <c r="D332" i="39"/>
  <c r="D331" i="39"/>
  <c r="D301" i="39"/>
  <c r="D348" i="39"/>
  <c r="D320" i="39"/>
  <c r="D336" i="39"/>
  <c r="D318" i="39"/>
  <c r="D325" i="39"/>
  <c r="D338" i="39"/>
  <c r="D346" i="39"/>
  <c r="D349" i="39"/>
  <c r="D321" i="39"/>
  <c r="D304" i="39"/>
  <c r="D310" i="39"/>
  <c r="D344" i="39"/>
  <c r="D330" i="39"/>
  <c r="D329" i="39"/>
  <c r="D337" i="39"/>
  <c r="D312" i="39"/>
  <c r="D309" i="39"/>
  <c r="D335" i="39"/>
  <c r="D302" i="39"/>
  <c r="D322" i="39"/>
  <c r="D314" i="39"/>
  <c r="D395" i="39"/>
  <c r="D377" i="39"/>
  <c r="D367" i="39"/>
  <c r="D372" i="39"/>
  <c r="D392" i="39"/>
  <c r="D371" i="39"/>
  <c r="D384" i="39"/>
  <c r="D386" i="39"/>
  <c r="D382" i="39"/>
  <c r="D370" i="39"/>
  <c r="D376" i="39"/>
  <c r="D396" i="39"/>
  <c r="D378" i="39"/>
  <c r="D398" i="39"/>
  <c r="D365" i="39"/>
  <c r="D358" i="39"/>
  <c r="D388" i="39"/>
  <c r="D402" i="39"/>
  <c r="D375" i="39"/>
  <c r="D361" i="39"/>
  <c r="D397" i="39"/>
  <c r="D404" i="39"/>
  <c r="D400" i="39"/>
  <c r="D362" i="39"/>
  <c r="D355" i="39"/>
  <c r="D360" i="39"/>
  <c r="D359" i="39"/>
  <c r="D356" i="39"/>
  <c r="D368" i="39"/>
  <c r="D369" i="39"/>
  <c r="D390" i="39"/>
  <c r="D364" i="39"/>
  <c r="D379" i="39"/>
  <c r="D385" i="39"/>
  <c r="D391" i="39"/>
  <c r="D366" i="39"/>
  <c r="D387" i="39"/>
  <c r="D373" i="39"/>
  <c r="D374" i="39"/>
  <c r="D357" i="39"/>
  <c r="D363" i="39"/>
  <c r="D394" i="39"/>
  <c r="D399" i="39"/>
  <c r="D380" i="39"/>
  <c r="D389" i="39"/>
  <c r="D393" i="39"/>
  <c r="D381" i="39"/>
  <c r="D401" i="39"/>
  <c r="D383" i="39"/>
  <c r="D403" i="39"/>
  <c r="C140" i="39"/>
  <c r="A140" i="39" s="1"/>
  <c r="C146" i="39"/>
  <c r="A146" i="39" s="1"/>
  <c r="C170" i="39"/>
  <c r="A170" i="39" s="1"/>
  <c r="C179" i="39"/>
  <c r="A179" i="39" s="1"/>
  <c r="C150" i="39"/>
  <c r="A150" i="39" s="1"/>
  <c r="C156" i="39"/>
  <c r="A156" i="39" s="1"/>
  <c r="C162" i="39"/>
  <c r="A162" i="39" s="1"/>
  <c r="C169" i="39"/>
  <c r="A169" i="39" s="1"/>
  <c r="C171" i="39"/>
  <c r="A171" i="39" s="1"/>
  <c r="C175" i="39"/>
  <c r="A175" i="39" s="1"/>
  <c r="C141" i="39"/>
  <c r="A141" i="39" s="1"/>
  <c r="C186" i="39"/>
  <c r="A186" i="39" s="1"/>
  <c r="C161" i="39"/>
  <c r="A161" i="39" s="1"/>
  <c r="C167" i="39"/>
  <c r="A167" i="39" s="1"/>
  <c r="C159" i="39"/>
  <c r="A159" i="39" s="1"/>
  <c r="C180" i="39"/>
  <c r="A180" i="39" s="1"/>
  <c r="C182" i="39"/>
  <c r="A182" i="39" s="1"/>
  <c r="C155" i="39"/>
  <c r="A155" i="39" s="1"/>
  <c r="C187" i="39"/>
  <c r="A187" i="39" s="1"/>
  <c r="C164" i="39"/>
  <c r="A164" i="39" s="1"/>
  <c r="C142" i="39"/>
  <c r="A142" i="39" s="1"/>
  <c r="C160" i="39"/>
  <c r="A160" i="39" s="1"/>
  <c r="C173" i="39"/>
  <c r="A173" i="39" s="1"/>
  <c r="C153" i="39"/>
  <c r="A153" i="39" s="1"/>
  <c r="C178" i="39"/>
  <c r="A178" i="39" s="1"/>
  <c r="C144" i="39"/>
  <c r="A144" i="39" s="1"/>
  <c r="C154" i="39"/>
  <c r="A154" i="39" s="1"/>
  <c r="C174" i="39"/>
  <c r="A174" i="39" s="1"/>
  <c r="C145" i="39"/>
  <c r="A145" i="39" s="1"/>
  <c r="C147" i="39"/>
  <c r="A147" i="39" s="1"/>
  <c r="C149" i="39"/>
  <c r="A149" i="39" s="1"/>
  <c r="C165" i="39"/>
  <c r="A165" i="39" s="1"/>
  <c r="C151" i="39"/>
  <c r="A151" i="39" s="1"/>
  <c r="C172" i="39"/>
  <c r="A172" i="39" s="1"/>
  <c r="C157" i="39"/>
  <c r="A157" i="39" s="1"/>
  <c r="C163" i="39"/>
  <c r="A163" i="39" s="1"/>
  <c r="C184" i="39"/>
  <c r="A184" i="39" s="1"/>
  <c r="C158" i="39"/>
  <c r="A158" i="39" s="1"/>
  <c r="C166" i="39"/>
  <c r="A166" i="39" s="1"/>
  <c r="C148" i="39"/>
  <c r="A148" i="39" s="1"/>
  <c r="C176" i="39"/>
  <c r="A176" i="39" s="1"/>
  <c r="C188" i="39"/>
  <c r="A188" i="39" s="1"/>
  <c r="C185" i="39"/>
  <c r="A185" i="39" s="1"/>
  <c r="C168" i="39"/>
  <c r="A168" i="39" s="1"/>
  <c r="C189" i="39"/>
  <c r="A189" i="39" s="1"/>
  <c r="C143" i="39"/>
  <c r="A143" i="39" s="1"/>
  <c r="C181" i="39"/>
  <c r="A181" i="39" s="1"/>
  <c r="C177" i="39"/>
  <c r="A177" i="39" s="1"/>
  <c r="C152" i="39"/>
  <c r="A152" i="39" s="1"/>
  <c r="C183" i="39"/>
  <c r="A183" i="39" s="1"/>
  <c r="C209" i="39"/>
  <c r="A209" i="39" s="1"/>
  <c r="C228" i="39"/>
  <c r="A228" i="39" s="1"/>
  <c r="C231" i="39"/>
  <c r="A231" i="39" s="1"/>
  <c r="C224" i="39"/>
  <c r="A224" i="39" s="1"/>
  <c r="C204" i="39"/>
  <c r="A204" i="39" s="1"/>
  <c r="C207" i="39"/>
  <c r="A207" i="39" s="1"/>
  <c r="C211" i="39"/>
  <c r="A211" i="39" s="1"/>
  <c r="C200" i="39"/>
  <c r="A200" i="39" s="1"/>
  <c r="C202" i="39"/>
  <c r="A202" i="39" s="1"/>
  <c r="C197" i="39"/>
  <c r="A197" i="39" s="1"/>
  <c r="C218" i="39"/>
  <c r="A218" i="39" s="1"/>
  <c r="C210" i="39"/>
  <c r="A210" i="39" s="1"/>
  <c r="C236" i="39"/>
  <c r="A236" i="39" s="1"/>
  <c r="C208" i="39"/>
  <c r="A208" i="39" s="1"/>
  <c r="C243" i="39"/>
  <c r="A243" i="39" s="1"/>
  <c r="C232" i="39"/>
  <c r="A232" i="39" s="1"/>
  <c r="C216" i="39"/>
  <c r="A216" i="39" s="1"/>
  <c r="C198" i="39"/>
  <c r="A198" i="39" s="1"/>
  <c r="C215" i="39"/>
  <c r="A215" i="39" s="1"/>
  <c r="C237" i="39"/>
  <c r="A237" i="39" s="1"/>
  <c r="C217" i="39"/>
  <c r="A217" i="39" s="1"/>
  <c r="C235" i="39"/>
  <c r="A235" i="39" s="1"/>
  <c r="C230" i="39"/>
  <c r="A230" i="39" s="1"/>
  <c r="C206" i="39"/>
  <c r="A206" i="39" s="1"/>
  <c r="C212" i="39"/>
  <c r="A212" i="39" s="1"/>
  <c r="C234" i="39"/>
  <c r="A234" i="39" s="1"/>
  <c r="C242" i="39"/>
  <c r="A242" i="39" s="1"/>
  <c r="C220" i="39"/>
  <c r="A220" i="39" s="1"/>
  <c r="C225" i="39"/>
  <c r="A225" i="39" s="1"/>
  <c r="C199" i="39"/>
  <c r="A199" i="39" s="1"/>
  <c r="C233" i="39"/>
  <c r="A233" i="39" s="1"/>
  <c r="C238" i="39"/>
  <c r="A238" i="39" s="1"/>
  <c r="C221" i="39"/>
  <c r="A221" i="39" s="1"/>
  <c r="C214" i="39"/>
  <c r="A214" i="39" s="1"/>
  <c r="C219" i="39"/>
  <c r="A219" i="39" s="1"/>
  <c r="C195" i="39"/>
  <c r="A195" i="39" s="1"/>
  <c r="C222" i="39"/>
  <c r="A222" i="39" s="1"/>
  <c r="C196" i="39"/>
  <c r="A196" i="39" s="1"/>
  <c r="C203" i="39"/>
  <c r="A203" i="39" s="1"/>
  <c r="C227" i="39"/>
  <c r="A227" i="39" s="1"/>
  <c r="C194" i="39"/>
  <c r="A194" i="39" s="1"/>
  <c r="C223" i="39"/>
  <c r="A223" i="39" s="1"/>
  <c r="C239" i="39"/>
  <c r="A239" i="39" s="1"/>
  <c r="C213" i="39"/>
  <c r="A213" i="39" s="1"/>
  <c r="C226" i="39"/>
  <c r="A226" i="39" s="1"/>
  <c r="C240" i="39"/>
  <c r="A240" i="39" s="1"/>
  <c r="C229" i="39"/>
  <c r="A229" i="39" s="1"/>
  <c r="C201" i="39"/>
  <c r="A201" i="39" s="1"/>
  <c r="C241" i="39"/>
  <c r="A241" i="39" s="1"/>
  <c r="C205" i="39"/>
  <c r="A205" i="39" s="1"/>
  <c r="C125" i="39"/>
  <c r="A125" i="39" s="1"/>
  <c r="C133" i="39"/>
  <c r="A133" i="39" s="1"/>
  <c r="C92" i="39"/>
  <c r="A92" i="39" s="1"/>
  <c r="C95" i="39"/>
  <c r="A95" i="39" s="1"/>
  <c r="C118" i="39"/>
  <c r="A118" i="39" s="1"/>
  <c r="C124" i="39"/>
  <c r="A124" i="39" s="1"/>
  <c r="C99" i="39"/>
  <c r="A99" i="39" s="1"/>
  <c r="C113" i="39"/>
  <c r="A113" i="39" s="1"/>
  <c r="C86" i="39"/>
  <c r="A86" i="39" s="1"/>
  <c r="C93" i="39"/>
  <c r="A93" i="39" s="1"/>
  <c r="C131" i="39"/>
  <c r="A131" i="39" s="1"/>
  <c r="C103" i="39"/>
  <c r="A103" i="39" s="1"/>
  <c r="C108" i="39"/>
  <c r="A108" i="39" s="1"/>
  <c r="C115" i="39"/>
  <c r="A115" i="39" s="1"/>
  <c r="C107" i="39"/>
  <c r="A107" i="39" s="1"/>
  <c r="C129" i="39"/>
  <c r="A129" i="39" s="1"/>
  <c r="C96" i="39"/>
  <c r="A96" i="39" s="1"/>
  <c r="C101" i="39"/>
  <c r="A101" i="39" s="1"/>
  <c r="C88" i="39"/>
  <c r="A88" i="39" s="1"/>
  <c r="C135" i="39"/>
  <c r="A135" i="39" s="1"/>
  <c r="C121" i="39"/>
  <c r="A121" i="39" s="1"/>
  <c r="C89" i="39"/>
  <c r="A89" i="39" s="1"/>
  <c r="C119" i="39"/>
  <c r="A119" i="39" s="1"/>
  <c r="C111" i="39"/>
  <c r="A111" i="39" s="1"/>
  <c r="C100" i="39"/>
  <c r="A100" i="39" s="1"/>
  <c r="C91" i="39"/>
  <c r="A91" i="39" s="1"/>
  <c r="C94" i="39"/>
  <c r="A94" i="39" s="1"/>
  <c r="C104" i="39"/>
  <c r="A104" i="39" s="1"/>
  <c r="C130" i="39"/>
  <c r="A130" i="39" s="1"/>
  <c r="C109" i="39"/>
  <c r="A109" i="39" s="1"/>
  <c r="C123" i="39"/>
  <c r="A123" i="39" s="1"/>
  <c r="C87" i="39"/>
  <c r="A87" i="39" s="1"/>
  <c r="C116" i="39"/>
  <c r="A116" i="39" s="1"/>
  <c r="C106" i="39"/>
  <c r="A106" i="39" s="1"/>
  <c r="C117" i="39"/>
  <c r="A117" i="39" s="1"/>
  <c r="C127" i="39"/>
  <c r="A127" i="39" s="1"/>
  <c r="C122" i="39"/>
  <c r="A122" i="39" s="1"/>
  <c r="C98" i="39"/>
  <c r="A98" i="39" s="1"/>
  <c r="C105" i="39"/>
  <c r="A105" i="39" s="1"/>
  <c r="C128" i="39"/>
  <c r="A128" i="39" s="1"/>
  <c r="C134" i="39"/>
  <c r="A134" i="39" s="1"/>
  <c r="C110" i="39"/>
  <c r="A110" i="39" s="1"/>
  <c r="C114" i="39"/>
  <c r="A114" i="39" s="1"/>
  <c r="C90" i="39"/>
  <c r="A90" i="39" s="1"/>
  <c r="C97" i="39"/>
  <c r="A97" i="39" s="1"/>
  <c r="C120" i="39"/>
  <c r="A120" i="39" s="1"/>
  <c r="C126" i="39"/>
  <c r="A126" i="39" s="1"/>
  <c r="C102" i="39"/>
  <c r="A102" i="39" s="1"/>
  <c r="C132" i="39"/>
  <c r="A132" i="39" s="1"/>
  <c r="C112" i="39"/>
  <c r="A112" i="3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Chimaleski Francalin</author>
    <author>Yago R. Vargas</author>
  </authors>
  <commentList>
    <comment ref="R6" authorId="0" shapeId="0" xr:uid="{00000000-0006-0000-0100-000001000000}">
      <text>
        <r>
          <rPr>
            <sz val="10"/>
            <color indexed="81"/>
            <rFont val="Arial"/>
            <family val="2"/>
          </rPr>
          <t>Folga padrão 5%</t>
        </r>
      </text>
    </comment>
    <comment ref="E7" authorId="1" shapeId="0" xr:uid="{00000000-0006-0000-0100-000002000000}">
      <text>
        <r>
          <rPr>
            <sz val="9"/>
            <color indexed="81"/>
            <rFont val="Segoe UI"/>
            <family val="2"/>
          </rPr>
          <t>Se a parede possuir portas, adicionar o vão aqui.</t>
        </r>
      </text>
    </comment>
    <comment ref="F8" authorId="1" shapeId="0" xr:uid="{00000000-0006-0000-0100-000003000000}">
      <text>
        <r>
          <rPr>
            <sz val="9"/>
            <color indexed="81"/>
            <rFont val="Segoe UI"/>
            <family val="2"/>
          </rPr>
          <t>1 se um lado da parede;
2 se dois lados.</t>
        </r>
      </text>
    </comment>
    <comment ref="G8" authorId="1" shapeId="0" xr:uid="{00000000-0006-0000-0100-000004000000}">
      <text>
        <r>
          <rPr>
            <sz val="9"/>
            <color indexed="81"/>
            <rFont val="Segoe UI"/>
            <family val="2"/>
          </rPr>
          <t>1 se um lado da parede;
2 se dois lados.</t>
        </r>
      </text>
    </comment>
  </commentList>
</comments>
</file>

<file path=xl/sharedStrings.xml><?xml version="1.0" encoding="utf-8"?>
<sst xmlns="http://schemas.openxmlformats.org/spreadsheetml/2006/main" count="806" uniqueCount="544">
  <si>
    <t>LEVANTAMENTO DE PAREDES</t>
  </si>
  <si>
    <t>PAREDE</t>
  </si>
  <si>
    <t>LARGURA (cm)</t>
  </si>
  <si>
    <t>ALTURA (cm)</t>
  </si>
  <si>
    <t>ESPESSURA (mm)</t>
  </si>
  <si>
    <t>TIPO DE PAINEL</t>
  </si>
  <si>
    <t>FACE 1</t>
  </si>
  <si>
    <t>FACE 2</t>
  </si>
  <si>
    <t>AREA (m²)</t>
  </si>
  <si>
    <t>QTDE DE PAINEIS</t>
  </si>
  <si>
    <t>PAINEL</t>
  </si>
  <si>
    <t>LEVANTAMENTO DE TETOS</t>
  </si>
  <si>
    <t>COMPRIMENTO (cm)</t>
  </si>
  <si>
    <t>ÁREA (m²)</t>
  </si>
  <si>
    <t>VERIFICAÇÃO DA PLANILHA</t>
  </si>
  <si>
    <t>LEVANTAMENTO ISOLAMENTO DE PISO</t>
  </si>
  <si>
    <t>ÁREA</t>
  </si>
  <si>
    <t>QUEBRA DE FRIO (m)</t>
  </si>
  <si>
    <t>LADO 1</t>
  </si>
  <si>
    <t>LADO 2</t>
  </si>
  <si>
    <t>LADO 3</t>
  </si>
  <si>
    <t>LADO 4</t>
  </si>
  <si>
    <t>ISOLAMENTO DE PISO</t>
  </si>
  <si>
    <t>Quebra</t>
  </si>
  <si>
    <t>-</t>
  </si>
  <si>
    <t>PUR - 100mm</t>
  </si>
  <si>
    <t>PUR - 120mm</t>
  </si>
  <si>
    <t>PUR - 150mm</t>
  </si>
  <si>
    <t>Nº</t>
  </si>
  <si>
    <t>NOME DA CÂMARA</t>
  </si>
  <si>
    <t>MODELO</t>
  </si>
  <si>
    <t>FUNÇÃO</t>
  </si>
  <si>
    <t>VÃO LUZ</t>
  </si>
  <si>
    <t>OBS</t>
  </si>
  <si>
    <t>LARGURA</t>
  </si>
  <si>
    <t>ALTURA</t>
  </si>
  <si>
    <t>PF - 01</t>
  </si>
  <si>
    <t>PF - 02</t>
  </si>
  <si>
    <t>PF - 03</t>
  </si>
  <si>
    <t>SILO</t>
  </si>
  <si>
    <t>PF - 04</t>
  </si>
  <si>
    <t>PF - 05</t>
  </si>
  <si>
    <t>PF - 06</t>
  </si>
  <si>
    <t>PF - 07</t>
  </si>
  <si>
    <t>PF - 08</t>
  </si>
  <si>
    <t>PF - 09</t>
  </si>
  <si>
    <t>PF - 10</t>
  </si>
  <si>
    <t>PF - 11</t>
  </si>
  <si>
    <t>PF - 12</t>
  </si>
  <si>
    <t>PF - 13</t>
  </si>
  <si>
    <t>PF - 14</t>
  </si>
  <si>
    <t>PF - 15</t>
  </si>
  <si>
    <t>PF - 16</t>
  </si>
  <si>
    <t>PF - 17</t>
  </si>
  <si>
    <t>PF - 18</t>
  </si>
  <si>
    <t>PF - 19</t>
  </si>
  <si>
    <t>PF - 20</t>
  </si>
  <si>
    <t>PF - 21</t>
  </si>
  <si>
    <t>PF - 22</t>
  </si>
  <si>
    <t>PF - 23</t>
  </si>
  <si>
    <t>PF - 24</t>
  </si>
  <si>
    <t>PF - 25</t>
  </si>
  <si>
    <t>PF - 26</t>
  </si>
  <si>
    <t>PF - 27</t>
  </si>
  <si>
    <t>PF - 28</t>
  </si>
  <si>
    <t>PF - 29</t>
  </si>
  <si>
    <t>PF - 30</t>
  </si>
  <si>
    <t>PF - 31</t>
  </si>
  <si>
    <t>PF - 32</t>
  </si>
  <si>
    <t>PF - 33</t>
  </si>
  <si>
    <t>PF - 34</t>
  </si>
  <si>
    <t>PF - 35</t>
  </si>
  <si>
    <t>PF - 36</t>
  </si>
  <si>
    <t>PF - 37</t>
  </si>
  <si>
    <t>PF - 38</t>
  </si>
  <si>
    <t>PF - 39</t>
  </si>
  <si>
    <t>PF - 40</t>
  </si>
  <si>
    <t>PF - 41</t>
  </si>
  <si>
    <t>PF - 42</t>
  </si>
  <si>
    <t>PF - 43</t>
  </si>
  <si>
    <t>PF - 44</t>
  </si>
  <si>
    <t>PF - 45</t>
  </si>
  <si>
    <t>PF - 46</t>
  </si>
  <si>
    <t>PF - 47</t>
  </si>
  <si>
    <t>PF - 48</t>
  </si>
  <si>
    <t>PF - 49</t>
  </si>
  <si>
    <t>PF - 50</t>
  </si>
  <si>
    <t>Largura</t>
  </si>
  <si>
    <t>Altura</t>
  </si>
  <si>
    <t>Função</t>
  </si>
  <si>
    <t>PIC</t>
  </si>
  <si>
    <t>PICT</t>
  </si>
  <si>
    <t>BO</t>
  </si>
  <si>
    <t>NOME DO AMBIENTE</t>
  </si>
  <si>
    <t>PD - 01</t>
  </si>
  <si>
    <t>PD - 02</t>
  </si>
  <si>
    <t>PD - 03</t>
  </si>
  <si>
    <t>PD - 04</t>
  </si>
  <si>
    <t>PD - 05</t>
  </si>
  <si>
    <t>PD - 06</t>
  </si>
  <si>
    <t>PD - 07</t>
  </si>
  <si>
    <t>PD - 08</t>
  </si>
  <si>
    <t>PD - 09</t>
  </si>
  <si>
    <t>PD - 10</t>
  </si>
  <si>
    <t>PD - 11</t>
  </si>
  <si>
    <t>PD - 12</t>
  </si>
  <si>
    <t>PD - 13</t>
  </si>
  <si>
    <t>PD - 14</t>
  </si>
  <si>
    <t>PD - 15</t>
  </si>
  <si>
    <t>PD - 16</t>
  </si>
  <si>
    <t>PD - 17</t>
  </si>
  <si>
    <t>PD - 18</t>
  </si>
  <si>
    <t>PD - 19</t>
  </si>
  <si>
    <t>PD - 20</t>
  </si>
  <si>
    <t>PD - 21</t>
  </si>
  <si>
    <t>PD - 22</t>
  </si>
  <si>
    <t>PD - 23</t>
  </si>
  <si>
    <t>PD - 24</t>
  </si>
  <si>
    <t>PD - 25</t>
  </si>
  <si>
    <t>PD - 26</t>
  </si>
  <si>
    <t>PD - 27</t>
  </si>
  <si>
    <t>PD - 28</t>
  </si>
  <si>
    <t>PD - 29</t>
  </si>
  <si>
    <t>PD - 30</t>
  </si>
  <si>
    <t>PD - 31</t>
  </si>
  <si>
    <t>PD - 32</t>
  </si>
  <si>
    <t>PD - 33</t>
  </si>
  <si>
    <t>PD - 34</t>
  </si>
  <si>
    <t>PD - 35</t>
  </si>
  <si>
    <t>PD - 36</t>
  </si>
  <si>
    <t>PD - 37</t>
  </si>
  <si>
    <t>PD - 38</t>
  </si>
  <si>
    <t>PD - 39</t>
  </si>
  <si>
    <t>PD - 40</t>
  </si>
  <si>
    <t>PD - 41</t>
  </si>
  <si>
    <t>PD - 42</t>
  </si>
  <si>
    <t>PD - 43</t>
  </si>
  <si>
    <t>PD - 44</t>
  </si>
  <si>
    <t>PD - 45</t>
  </si>
  <si>
    <t>PD - 46</t>
  </si>
  <si>
    <t>PD - 47</t>
  </si>
  <si>
    <t>PD - 48</t>
  </si>
  <si>
    <t>PD - 49</t>
  </si>
  <si>
    <t>PD - 50</t>
  </si>
  <si>
    <t>FT - 01</t>
  </si>
  <si>
    <t>FT - 02</t>
  </si>
  <si>
    <t>FT - 03</t>
  </si>
  <si>
    <t>FT - 04</t>
  </si>
  <si>
    <t>FT - 05</t>
  </si>
  <si>
    <t>FT - 06</t>
  </si>
  <si>
    <t>FT - 07</t>
  </si>
  <si>
    <t>FT - 08</t>
  </si>
  <si>
    <t>FT - 09</t>
  </si>
  <si>
    <t>FT - 10</t>
  </si>
  <si>
    <t>FT - 11</t>
  </si>
  <si>
    <t>FT - 12</t>
  </si>
  <si>
    <t>FT - 13</t>
  </si>
  <si>
    <t>FT - 14</t>
  </si>
  <si>
    <t>FT - 15</t>
  </si>
  <si>
    <t>FT - 16</t>
  </si>
  <si>
    <t>FT - 17</t>
  </si>
  <si>
    <t>FT - 18</t>
  </si>
  <si>
    <t>FT - 19</t>
  </si>
  <si>
    <t>FT - 20</t>
  </si>
  <si>
    <t>FT - 21</t>
  </si>
  <si>
    <t>FT - 22</t>
  </si>
  <si>
    <t>FT - 23</t>
  </si>
  <si>
    <t>FT - 24</t>
  </si>
  <si>
    <t>FT - 25</t>
  </si>
  <si>
    <t>FT - 26</t>
  </si>
  <si>
    <t>FT - 27</t>
  </si>
  <si>
    <t>FT - 28</t>
  </si>
  <si>
    <t>FT - 29</t>
  </si>
  <si>
    <t>FT - 30</t>
  </si>
  <si>
    <t>COMPRIMENTO</t>
  </si>
  <si>
    <t>VISOR 1</t>
  </si>
  <si>
    <t>VISOR 2</t>
  </si>
  <si>
    <t>VISOR 3</t>
  </si>
  <si>
    <t>VISOR 4</t>
  </si>
  <si>
    <t>VISOR 5</t>
  </si>
  <si>
    <t>VISOR 6</t>
  </si>
  <si>
    <t>VISOR 7</t>
  </si>
  <si>
    <t>VISOR 8</t>
  </si>
  <si>
    <t>VISOR 9</t>
  </si>
  <si>
    <t>VISOR 10</t>
  </si>
  <si>
    <t>VISOR 11</t>
  </si>
  <si>
    <t>VISOR 12</t>
  </si>
  <si>
    <t>VISOR 13</t>
  </si>
  <si>
    <t>VISOR 14</t>
  </si>
  <si>
    <t>VISOR 15</t>
  </si>
  <si>
    <t>VISOR 16</t>
  </si>
  <si>
    <t>VISOR 17</t>
  </si>
  <si>
    <t>VISOR 18</t>
  </si>
  <si>
    <t>VISOR 19</t>
  </si>
  <si>
    <t>VISOR 20</t>
  </si>
  <si>
    <t>Simples</t>
  </si>
  <si>
    <t>Duplo</t>
  </si>
  <si>
    <t>Térmico</t>
  </si>
  <si>
    <t>Data:</t>
  </si>
  <si>
    <t>Válvula de alivio de pressão até 200m³, sem resistência</t>
  </si>
  <si>
    <t>Válvula de alivio de pressão até 200m³, com resistência</t>
  </si>
  <si>
    <t>Válvula de alivio de pressão maior que 200m³, sem resistência</t>
  </si>
  <si>
    <t>Válvula de alivio de pressão maior que 200m³, com resistência</t>
  </si>
  <si>
    <t>EPS - 50mm</t>
  </si>
  <si>
    <t>EPS - 100mm</t>
  </si>
  <si>
    <t>Área</t>
  </si>
  <si>
    <t>m³</t>
  </si>
  <si>
    <t>Válvula</t>
  </si>
  <si>
    <t>Qtd.</t>
  </si>
  <si>
    <t>Ambiente</t>
  </si>
  <si>
    <t>PDL (cm)</t>
  </si>
  <si>
    <t>PUR - 70mm</t>
  </si>
  <si>
    <t>PUR - 50mm</t>
  </si>
  <si>
    <t>EPS - 150mm</t>
  </si>
  <si>
    <t>Autor:</t>
  </si>
  <si>
    <t>Rev.:</t>
  </si>
  <si>
    <t>N° Obra:</t>
  </si>
  <si>
    <t xml:space="preserve">Obra: </t>
  </si>
  <si>
    <t>INOX/K100</t>
  </si>
  <si>
    <t>INOX / K100 / ZINC / PVC</t>
  </si>
  <si>
    <t>PORTAS FRIGORÍFICAS</t>
  </si>
  <si>
    <t>VÁLVULAS DE ALÍVIO</t>
  </si>
  <si>
    <t>PDL</t>
  </si>
  <si>
    <t>LISO</t>
  </si>
  <si>
    <t>XADREZ</t>
  </si>
  <si>
    <t>TIPO DE PROTEÇÃO</t>
  </si>
  <si>
    <t>CHAPA DE PROTEÇÃO</t>
  </si>
  <si>
    <t>PROTEÇÃO PARA OS PAINÉIS FRIGORÍFICOS</t>
  </si>
  <si>
    <t>LISA</t>
  </si>
  <si>
    <t>Folga</t>
  </si>
  <si>
    <t>Altura da chapa</t>
  </si>
  <si>
    <t>CAIXILHO</t>
  </si>
  <si>
    <t>PIR - 50mm</t>
  </si>
  <si>
    <t>PIR - 70mm</t>
  </si>
  <si>
    <t>PIR - 100mm</t>
  </si>
  <si>
    <t>PIR - 120mm</t>
  </si>
  <si>
    <t>PIR - 150mm</t>
  </si>
  <si>
    <t>FT - 31</t>
  </si>
  <si>
    <t>FT - 32</t>
  </si>
  <si>
    <t>FT - 33</t>
  </si>
  <si>
    <t>FT - 34</t>
  </si>
  <si>
    <t>FT - 35</t>
  </si>
  <si>
    <t>FT - 36</t>
  </si>
  <si>
    <t>FT - 37</t>
  </si>
  <si>
    <t>FT - 38</t>
  </si>
  <si>
    <t>FT - 39</t>
  </si>
  <si>
    <t>FT - 40</t>
  </si>
  <si>
    <t>FT - 41</t>
  </si>
  <si>
    <t>FT - 42</t>
  </si>
  <si>
    <t>FT - 43</t>
  </si>
  <si>
    <t>FT - 44</t>
  </si>
  <si>
    <t>FT - 45</t>
  </si>
  <si>
    <t>FT - 46</t>
  </si>
  <si>
    <t>FT - 47</t>
  </si>
  <si>
    <t>FT - 48</t>
  </si>
  <si>
    <t>FT - 49</t>
  </si>
  <si>
    <t>FT - 50</t>
  </si>
  <si>
    <t>VISOR 21</t>
  </si>
  <si>
    <t>VISOR 22</t>
  </si>
  <si>
    <t>VISOR 23</t>
  </si>
  <si>
    <t>VISOR 24</t>
  </si>
  <si>
    <t>VISOR 25</t>
  </si>
  <si>
    <t>VISOR 26</t>
  </si>
  <si>
    <t>VISOR 27</t>
  </si>
  <si>
    <t>VISOR 28</t>
  </si>
  <si>
    <t>VISOR 29</t>
  </si>
  <si>
    <t>VISOR 30</t>
  </si>
  <si>
    <t>VISOR 31</t>
  </si>
  <si>
    <t>VISOR 32</t>
  </si>
  <si>
    <t>VISOR 33</t>
  </si>
  <si>
    <t>VISOR 34</t>
  </si>
  <si>
    <t>VISOR 35</t>
  </si>
  <si>
    <t>VISOR 36</t>
  </si>
  <si>
    <t>VISOR 37</t>
  </si>
  <si>
    <t>VISOR 38</t>
  </si>
  <si>
    <t>VISOR 39</t>
  </si>
  <si>
    <t>VISOR 40</t>
  </si>
  <si>
    <t>VISOR 41</t>
  </si>
  <si>
    <t>VISOR 42</t>
  </si>
  <si>
    <t>VISOR 43</t>
  </si>
  <si>
    <t>VISOR 44</t>
  </si>
  <si>
    <t>VISOR 45</t>
  </si>
  <si>
    <t>VISOR 46</t>
  </si>
  <si>
    <t>VISOR 47</t>
  </si>
  <si>
    <t>VISOR 48</t>
  </si>
  <si>
    <t>VISOR 49</t>
  </si>
  <si>
    <t>VISOR 50</t>
  </si>
  <si>
    <t>NÃO</t>
  </si>
  <si>
    <t>SECCIONAL</t>
  </si>
  <si>
    <t>Porta/caixilho para silo de gelo em aço inox com 3 portinholas.</t>
  </si>
  <si>
    <t>PORTAL DE SELAMENTO</t>
  </si>
  <si>
    <t>Painéis frigoríficos</t>
  </si>
  <si>
    <t>Painel desmontável esp. 50mm - poliisocianurato (PIR) - 2 faces</t>
  </si>
  <si>
    <t>Painel desmontável esp. 70mm - poliisocianurato (PIR) - 2 faces</t>
  </si>
  <si>
    <t>Painel desmontável esp. 120mm - poliisocianurato (PIR) - 2 faces</t>
  </si>
  <si>
    <t>Painel desmontável esp. 50mm - EPS - 2 faces</t>
  </si>
  <si>
    <t>Painel desmontável esp. 75mm - EPS - 2 faces</t>
  </si>
  <si>
    <t>Painel desmontável esp. 100mm - EPS - 2 faces</t>
  </si>
  <si>
    <t>Isolamento fixo</t>
  </si>
  <si>
    <t>Isolamento fixo para piso esp. 40mm - poliisocianurato</t>
  </si>
  <si>
    <t>Isolamento fixo para piso esp. 50mm - poliisocianurato</t>
  </si>
  <si>
    <t>Isolamento fixo para piso esp. 70mm - poliisocianurato</t>
  </si>
  <si>
    <t>Isolamento fixo para piso esp. 80mm - poliisocianurato</t>
  </si>
  <si>
    <t>Isolamento fixo para piso esp. 120mm - poliisocianurato</t>
  </si>
  <si>
    <t>Isolamento fixo para piso esp. 50mm - EPS</t>
  </si>
  <si>
    <t>Isolamento fixo para piso esp. 100mm - EPS</t>
  </si>
  <si>
    <t>Isolamento fixo para piso esp. 150mm - EPS</t>
  </si>
  <si>
    <t>Isolamento fixo para piso esp. 200mm - EPS</t>
  </si>
  <si>
    <t>Válvula de alívio de pressão para câmaras frigoríficas</t>
  </si>
  <si>
    <t>Válvula de alívio sem resistência elétrica para câmara até 200m3.</t>
  </si>
  <si>
    <t>Válvula de alívio com resistência elétrica para câmara até 200m3.</t>
  </si>
  <si>
    <t>Válvula de alívio sem resistência elétrica para câmara maiores que 200m3.</t>
  </si>
  <si>
    <t>Válvula de alívio com resistência elétrica para câmara maiores que 200m3.</t>
  </si>
  <si>
    <t>Chapas de proteção</t>
  </si>
  <si>
    <t>Caixilho metálico para visores (perfil U)</t>
  </si>
  <si>
    <t>Portas PVV Rígidas</t>
  </si>
  <si>
    <t>Portas flexíveis</t>
  </si>
  <si>
    <t>Porta silo de gelo</t>
  </si>
  <si>
    <t>Qtde</t>
  </si>
  <si>
    <t>Item</t>
  </si>
  <si>
    <t>Local</t>
  </si>
  <si>
    <t>Cortinas flexíveis transparentes</t>
  </si>
  <si>
    <t>Cortinas flexíveis intercaladas</t>
  </si>
  <si>
    <t>FILTRO</t>
  </si>
  <si>
    <t>EPS / PIR / PUR</t>
  </si>
  <si>
    <t>EPS 50mm - (K100 / PVC)</t>
  </si>
  <si>
    <t>EPS 75mm - (K100 / PVC)</t>
  </si>
  <si>
    <t>EPS 100mm - (K100 / PVC)</t>
  </si>
  <si>
    <t>EPS 150mm - (K100 / PVC)</t>
  </si>
  <si>
    <t>EPS 200mm - (K100 / PVC)</t>
  </si>
  <si>
    <t>EPS 250mm - (K100 / PVC)</t>
  </si>
  <si>
    <t>EPS 50mm - (K100 / ZINC)</t>
  </si>
  <si>
    <t>EPS 75mm - (K100 / ZINC)</t>
  </si>
  <si>
    <t>EPS 100mm - (K100 / ZINC)</t>
  </si>
  <si>
    <t>EPS 150mm - (K100 / ZINC)</t>
  </si>
  <si>
    <t>EPS 200mm - (K100 / ZINC)</t>
  </si>
  <si>
    <t>EPS 250mm - (K100 / ZINC)</t>
  </si>
  <si>
    <t>EPS 50mm - (K100 / K100)</t>
  </si>
  <si>
    <t>EPS 75mm - (K100 / K100)</t>
  </si>
  <si>
    <t>EPS 100mm - (K100 / K100)</t>
  </si>
  <si>
    <t>EPS 150mm - (K100 / K100)</t>
  </si>
  <si>
    <t>EPS 200mm - (K100 / K100)</t>
  </si>
  <si>
    <t>EPS 250mm - (K100 / K100)</t>
  </si>
  <si>
    <t>EPS 50mm - (K100 / INOX)</t>
  </si>
  <si>
    <t>EPS 75mm - (K100 / INOX)</t>
  </si>
  <si>
    <t>EPS 100mm - (K100 / INOX)</t>
  </si>
  <si>
    <t>EPS 150mm - (K100 / INOX)</t>
  </si>
  <si>
    <t>EPS 200mm - (K100 / INOX)</t>
  </si>
  <si>
    <t>EPS 250mm - (K100 / INOX)</t>
  </si>
  <si>
    <t>PIR 50mm - (K100 / ZINC)</t>
  </si>
  <si>
    <t>PIR 70mm - (K100 / ZINC)</t>
  </si>
  <si>
    <t>PIR 100mm - (K100 / ZINC)</t>
  </si>
  <si>
    <t>PIR 120mm - (K100 / ZINC)</t>
  </si>
  <si>
    <t>PIR 150mm - (K100 / ZINC)</t>
  </si>
  <si>
    <t>PIR 200mm - (K100 / ZINC)</t>
  </si>
  <si>
    <t>PIR 50mm - (K100 / K100)</t>
  </si>
  <si>
    <t>PIR 70mm - (K100 / K100)</t>
  </si>
  <si>
    <t>PIR 100mm - (K100 / K100)</t>
  </si>
  <si>
    <t>PIR 120mm - (K100 / K100)</t>
  </si>
  <si>
    <t>PIR 150mm - (K100 / K100)</t>
  </si>
  <si>
    <t>PIR 200mm - (K100 / K100)</t>
  </si>
  <si>
    <t>PIR 50mm - (INOX / K100)</t>
  </si>
  <si>
    <t>PIR 70mm - (INOX / K100)</t>
  </si>
  <si>
    <t>PIR 100mm - (INOX / K100)</t>
  </si>
  <si>
    <t>PIR 120mm - (INOX / K100)</t>
  </si>
  <si>
    <t>PIR 150mm - (INOX / K100)</t>
  </si>
  <si>
    <t>PIR 200mm - (INOX / K100)</t>
  </si>
  <si>
    <t>PIR 50mm - (INOX / INOX)</t>
  </si>
  <si>
    <t>PIR 70mm - (INOX / INOX)</t>
  </si>
  <si>
    <t>PIR 100mm - (INOX / INOX)</t>
  </si>
  <si>
    <t>PIR 120mm - (INOX / INOX)</t>
  </si>
  <si>
    <t>PIR 150mm - (INOX / INOX)</t>
  </si>
  <si>
    <t>PIR 200mm - (INOX / INOX)</t>
  </si>
  <si>
    <t>PIR 50mm - (INOX / ZINC)</t>
  </si>
  <si>
    <t>PIR 70mm - (INOX / ZINC)</t>
  </si>
  <si>
    <t>PIR 100mm - (INOX / ZINC)</t>
  </si>
  <si>
    <t>PIR 120mm - (INOX / ZINC)</t>
  </si>
  <si>
    <t>PIR 150mm - (INOX / ZINC)</t>
  </si>
  <si>
    <t>PIR 200mm - (INOX / ZINC)</t>
  </si>
  <si>
    <t>PUR 50mm - (K100 / ZINC)</t>
  </si>
  <si>
    <t>PUR 70mm - (K100 / ZINC)</t>
  </si>
  <si>
    <t>PUR 100mm - (K100 / ZINC)</t>
  </si>
  <si>
    <t>PUR 120mm - (K100 / ZINC)</t>
  </si>
  <si>
    <t>PUR 150mm - (K100 / ZINC)</t>
  </si>
  <si>
    <t>PUR 200mm - (K100 / ZINC)</t>
  </si>
  <si>
    <t>PUR 50mm - (K100 / K100)</t>
  </si>
  <si>
    <t>PUR 70mm - (K100 / K100)</t>
  </si>
  <si>
    <t>PUR 100mm - (K100 / K100)</t>
  </si>
  <si>
    <t>PUR 120mm - (K100 / K100)</t>
  </si>
  <si>
    <t>PUR 150mm - (K100 / K100)</t>
  </si>
  <si>
    <t>PUR 200mm - (K100 / K100)</t>
  </si>
  <si>
    <t>PUR 50mm - (INOX / K100)</t>
  </si>
  <si>
    <t>PUR 70mm - (INOX / K100)</t>
  </si>
  <si>
    <t>PUR 100mm - (INOX / K100)</t>
  </si>
  <si>
    <t>PUR 120mm - (INOX / K100)</t>
  </si>
  <si>
    <t>PUR 150mm - (INOX / K100)</t>
  </si>
  <si>
    <t>PUR 200mm - (INOX / K100)</t>
  </si>
  <si>
    <t>PUR 50mm - (INOX / INOX)</t>
  </si>
  <si>
    <t>PUR 70mm - (INOX / INOX)</t>
  </si>
  <si>
    <t>PUR 100mm - (INOX / INOX)</t>
  </si>
  <si>
    <t>PUR 120mm - (INOX / INOX)</t>
  </si>
  <si>
    <t>PUR 150mm - (INOX / INOX)</t>
  </si>
  <si>
    <t>PUR 200mm - (INOX / INOX)</t>
  </si>
  <si>
    <t>PUR 50mm - (INOX / ZINC)</t>
  </si>
  <si>
    <t>PUR 70mm - (INOX / ZINC)</t>
  </si>
  <si>
    <t>PUR 100mm - (INOX / ZINC)</t>
  </si>
  <si>
    <t>PUR 120mm - (INOX / ZINC)</t>
  </si>
  <si>
    <t>PUR 150mm - (INOX / ZINC)</t>
  </si>
  <si>
    <t>PUR 200mm - (INOX / ZINC)</t>
  </si>
  <si>
    <t>AMBIENTE</t>
  </si>
  <si>
    <t>TETO (cm)</t>
  </si>
  <si>
    <t>ENTERRADO (cm)</t>
  </si>
  <si>
    <t>LARGURA [cm]</t>
  </si>
  <si>
    <t>VÃO DE PORTAS [cm]</t>
  </si>
  <si>
    <t>SOMA XADREZ</t>
  </si>
  <si>
    <t>SOMA LISO</t>
  </si>
  <si>
    <t>Painel desmontável esp. 150mm - EPS - 2 faces</t>
  </si>
  <si>
    <t>Painel desmontável esp. 200mm - EPS - 2 faces</t>
  </si>
  <si>
    <t>Painel desmontável esp. 250mm - EPS - 2 faces</t>
  </si>
  <si>
    <t>Painel desmontável esp. 100mm - poliisocianurato (PIR) - 2 faces</t>
  </si>
  <si>
    <t>Painel desmontável esp. 150mm - poliisocianurato (PIR) - 2 faces</t>
  </si>
  <si>
    <t>Painel desmontável esp. 200mm - poliisocianurato (PIR) - 2 faces</t>
  </si>
  <si>
    <t>Painel desmontável esp. 50mm - poliisocianurato (PIR) - inox+K100</t>
  </si>
  <si>
    <t>Painel desmontável esp. 70mm - poliisocianurato (PIR) - inox+K100</t>
  </si>
  <si>
    <t>Painel desmontável esp. 100mm - poliisocianurato (PIR) - inox+K100</t>
  </si>
  <si>
    <t>Painel desmontável esp. 120mm - poliisocianurato (PIR) - inox+K100</t>
  </si>
  <si>
    <t>Painel desmontável esp. 150mm - poliisocianurato (PIR) - inox+K100</t>
  </si>
  <si>
    <t>Painel desmontável esp. 200mm - poliisocianurato (PIR) - inox+K100</t>
  </si>
  <si>
    <t>Painel desmontável esp. 50mm - poliuretano (PUR) - 2 faces</t>
  </si>
  <si>
    <t>Painel desmontável esp. 70mm - poliuretano (PUR) - 2 faces</t>
  </si>
  <si>
    <t>Painel desmontável esp. 100mm - poliuretano (PUR) - 2 faces</t>
  </si>
  <si>
    <t>Painel desmontável esp. 120mm - poliuretano (PUR) - 2 faces</t>
  </si>
  <si>
    <t>Painel desmontável esp. 150mm - poliuretano (PUR) - 2 faces</t>
  </si>
  <si>
    <t>Painel desmontável esp. 200mm - poliuretano (PUR) - 2 faces</t>
  </si>
  <si>
    <t>Painel desmontável esp. 50mm - poliuretano (PUR) - inox+K100</t>
  </si>
  <si>
    <t>Painel desmontável esp. 70mm - poliuretano (PUR) - inox+K100</t>
  </si>
  <si>
    <t>Painel desmontável esp. 100mm - poliuretano (PUR) - inox+K100</t>
  </si>
  <si>
    <t>Painel desmontável esp. 120mm - poliuretano (PUR) - inox+K100</t>
  </si>
  <si>
    <t>Painel desmontável esp. 150mm - poliuretano (PUR) - inox+K100</t>
  </si>
  <si>
    <t>Painel desmontável esp. 200mm - poliuretano (PUR) - inox+K100</t>
  </si>
  <si>
    <t>Painel desmontável esp. 50mm - poliisocianurato (PIR) - 2 faces inox</t>
  </si>
  <si>
    <t>Painel desmontável esp. 70mm - poliisocianurato (PIR) - 2 faces inox</t>
  </si>
  <si>
    <t>Painel desmontável esp. 100mm - poliisocianurato (PIR) - 2 faces inox</t>
  </si>
  <si>
    <t>Painel desmontável esp. 120mm - poliisocianurato (PIR) - 2 faces inox</t>
  </si>
  <si>
    <t>Painel desmontável esp. 150mm - poliisocianurato (PIR) - 2 faces inox</t>
  </si>
  <si>
    <t>Painel desmontável esp. 200mm - poliisocianurato (PIR) - 2 faces inox</t>
  </si>
  <si>
    <t>Painel desmontável esp. 50mm - poliuretano (PUR) - 2 faces inox</t>
  </si>
  <si>
    <t>Painel desmontável esp. 70mm - poliuretano (PUR) - 2 faces inox</t>
  </si>
  <si>
    <t>Painel desmontável esp. 100mm - poliuretano (PUR) - 2 faces inox</t>
  </si>
  <si>
    <t>Painel desmontável esp. 120mm - poliuretano (PUR) - 2 faces inox</t>
  </si>
  <si>
    <t>Painel desmontável esp. 150mm - poliuretano (PUR) - 2 faces inox</t>
  </si>
  <si>
    <t>Painel desmontável esp. 200mm - poliuretano (PUR) - 2 faces inox</t>
  </si>
  <si>
    <t>Isolamento fixo para piso esp. 100mm - poliisocianurato</t>
  </si>
  <si>
    <t>Isolamento fixo para piso esp. 150mm - poliisocianurato</t>
  </si>
  <si>
    <t>PIR - 40mm</t>
  </si>
  <si>
    <t>PUR - 40mm</t>
  </si>
  <si>
    <t>PIR - 80mm</t>
  </si>
  <si>
    <t>PUR - 80mm</t>
  </si>
  <si>
    <t>EPS - 200mm</t>
  </si>
  <si>
    <t>QUEBRA DE FRIO ( m² )</t>
  </si>
  <si>
    <t>Isolamento fixo para piso esp. 40mm - poliuretano</t>
  </si>
  <si>
    <t>Isolamento fixo para piso esp. 50mm - poliuretano</t>
  </si>
  <si>
    <t>Isolamento fixo para piso esp. 70mm - poliuretano</t>
  </si>
  <si>
    <t>Isolamento fixo para piso esp. 80mm - poliuretano</t>
  </si>
  <si>
    <t>Isolamento fixo para piso esp. 100mm - poliuretano</t>
  </si>
  <si>
    <t>Isolamento fixo para piso esp. 120mm - poliuretano</t>
  </si>
  <si>
    <t>Isolamento fixo para piso esp. 150mm - poliuretano</t>
  </si>
  <si>
    <t>DADOS P/ CONTAR QTDE DE CADA TIPO DE PORTA P/ CADA CÂMARA</t>
  </si>
  <si>
    <t>Validação de Dados</t>
  </si>
  <si>
    <t>Modelo</t>
  </si>
  <si>
    <t>Filtro</t>
  </si>
  <si>
    <t>DIMENSÕES</t>
  </si>
  <si>
    <t>CORTINA FLEXITIRA</t>
  </si>
  <si>
    <t>VISORES</t>
  </si>
  <si>
    <t>&lt;200m³ sem resist.</t>
  </si>
  <si>
    <t>&gt;200m³ sem resist.</t>
  </si>
  <si>
    <t>&lt;200m³ com resist.</t>
  </si>
  <si>
    <t>&gt;200m³ com resist.</t>
  </si>
  <si>
    <t>Quantidade</t>
  </si>
  <si>
    <t>Vol. (m³)</t>
  </si>
  <si>
    <t>Resumo</t>
  </si>
  <si>
    <r>
      <t xml:space="preserve">Chapa de </t>
    </r>
    <r>
      <rPr>
        <b/>
        <sz val="10"/>
        <rFont val="Arial"/>
        <family val="2"/>
      </rPr>
      <t xml:space="preserve">alumínio xadrez para revestimento dos painéis frigoríficos. </t>
    </r>
    <r>
      <rPr>
        <sz val="10"/>
        <rFont val="Arial"/>
        <family val="2"/>
      </rPr>
      <t xml:space="preserve">Espessura </t>
    </r>
    <r>
      <rPr>
        <b/>
        <sz val="10"/>
        <rFont val="Arial"/>
        <family val="2"/>
      </rPr>
      <t xml:space="preserve">1,2mm. </t>
    </r>
    <r>
      <rPr>
        <sz val="10"/>
        <rFont val="Arial"/>
        <family val="2"/>
      </rPr>
      <t>H=</t>
    </r>
    <r>
      <rPr>
        <sz val="10"/>
        <color rgb="FFFF0000"/>
        <rFont val="Arial"/>
        <family val="2"/>
      </rPr>
      <t>100</t>
    </r>
    <r>
      <rPr>
        <sz val="10"/>
        <rFont val="Arial"/>
        <family val="2"/>
      </rPr>
      <t>cm</t>
    </r>
  </si>
  <si>
    <t xml:space="preserve">Porta/caixilho de correr em aço inox - </t>
  </si>
  <si>
    <t>, com passagem de trilho.</t>
  </si>
  <si>
    <t>Visores simples para áreas não refrigeradas</t>
  </si>
  <si>
    <t>Visores duplos sem aquecimento para salas de preparo</t>
  </si>
  <si>
    <t>Visores térmicos</t>
  </si>
  <si>
    <t>Portas frigoríficas</t>
  </si>
  <si>
    <t>Descrição 1</t>
  </si>
  <si>
    <t>Descrição 2</t>
  </si>
  <si>
    <t>DADOS PARA CONTAR QUANTIDADE DE CADA TIPO DE PORTA PARA CADA CÂMARA</t>
  </si>
  <si>
    <t>DADOS PARA CONTAR QUANTIDADE DE CADA TIPO DE VISOR PARA CADA CÂMARA</t>
  </si>
  <si>
    <t>Caixilho metálico para portas flexíveis (perfil U)</t>
  </si>
  <si>
    <t>Caixilho metálico para portas rígidas (perfil U)</t>
  </si>
  <si>
    <t>Caixilho metálico para cortinas flexíveis (perfil U)</t>
  </si>
  <si>
    <r>
      <t xml:space="preserve">Chapa de </t>
    </r>
    <r>
      <rPr>
        <b/>
        <sz val="10"/>
        <rFont val="Arial"/>
        <family val="2"/>
      </rPr>
      <t xml:space="preserve">alumínio liso para revestimento dos painéis frigoríficos. </t>
    </r>
    <r>
      <rPr>
        <sz val="10"/>
        <rFont val="Arial"/>
        <family val="2"/>
      </rPr>
      <t xml:space="preserve">Espessura </t>
    </r>
    <r>
      <rPr>
        <b/>
        <sz val="10"/>
        <rFont val="Arial"/>
        <family val="2"/>
      </rPr>
      <t xml:space="preserve">2,0mm. </t>
    </r>
    <r>
      <rPr>
        <sz val="10"/>
        <rFont val="Arial"/>
        <family val="2"/>
      </rPr>
      <t>H=</t>
    </r>
    <r>
      <rPr>
        <sz val="10"/>
        <color rgb="FFFF0000"/>
        <rFont val="Arial"/>
        <family val="2"/>
      </rPr>
      <t>100</t>
    </r>
    <r>
      <rPr>
        <sz val="10"/>
        <rFont val="Arial"/>
        <family val="2"/>
      </rPr>
      <t>cm</t>
    </r>
  </si>
  <si>
    <t>FIM</t>
  </si>
  <si>
    <t>PORTAS PVV</t>
  </si>
  <si>
    <t>TOTAL ( m² )</t>
  </si>
  <si>
    <t>WALKIN</t>
  </si>
  <si>
    <t>Conjunto de XXPORTAS para Walk-in Cooler, HHHHxCCCC mm. Altura da porta XXXXmm.</t>
  </si>
  <si>
    <t>Altura Portas Walkin</t>
  </si>
  <si>
    <t>Altura Caixilho</t>
  </si>
  <si>
    <t>Altura Porta</t>
  </si>
  <si>
    <t>Resf ou Cong</t>
  </si>
  <si>
    <t>Qtde. RESUMO</t>
  </si>
  <si>
    <t>Descrição RESUMO</t>
  </si>
  <si>
    <t>Ambiente RESUMO</t>
  </si>
  <si>
    <t>Descrição Se Walkin</t>
  </si>
  <si>
    <t>FLEXDOOR</t>
  </si>
  <si>
    <t>RÍGIDA</t>
  </si>
  <si>
    <t>PIR</t>
  </si>
  <si>
    <t>K100</t>
  </si>
  <si>
    <t>STEPIN</t>
  </si>
  <si>
    <t>Portal de selamento.</t>
  </si>
  <si>
    <t>Porta seccional</t>
  </si>
  <si>
    <t xml:space="preserve">Portas Step-in Freezer - Porta/caixilho de embutir em chapa Kroma - </t>
  </si>
  <si>
    <t>Versão 1.6</t>
  </si>
  <si>
    <t>1. Cálculo caixilho Dânica</t>
  </si>
  <si>
    <t>2. Revisão nas opções de portas PVV Rígidas</t>
  </si>
  <si>
    <t>PIG</t>
  </si>
  <si>
    <t>PG</t>
  </si>
  <si>
    <t>PC</t>
  </si>
  <si>
    <t>PIGT</t>
  </si>
  <si>
    <t>PGT</t>
  </si>
  <si>
    <t>PCT</t>
  </si>
  <si>
    <t>Data: 00/01/1900</t>
  </si>
  <si>
    <t>1x A</t>
  </si>
  <si>
    <t xml:space="preserve">Porta/caixilho de correr em aço pré-pintado - </t>
  </si>
  <si>
    <t xml:space="preserve">Porta/caixilho giratória em aço inox - </t>
  </si>
  <si>
    <t xml:space="preserve">Porta/caixilho giratória em aço pré-pintado -  </t>
  </si>
  <si>
    <t>Porta/caixilho de correr em aço inox - PIC-78x210 com aquecimento.</t>
  </si>
  <si>
    <t>Porta/caixilho de correr em aço pré-pintado - PC-78x210 com aquecimento.</t>
  </si>
  <si>
    <t>Porta/caixilho giratória em aço inox - PIG-78x210 com aquecimento.</t>
  </si>
  <si>
    <t>Porta/caixilho de correr em aço inox - PICT-78x210 sem aquecimento, com passagem de trilho.</t>
  </si>
  <si>
    <t>Porta/caixilho de correr em aço pré-pintado - PCT-78x210 sem aquecimento, com passagem de trilho.</t>
  </si>
  <si>
    <t>Porta/caixilho giratória em aço inox - PIGT-78x210 sem aquecimento, com passagem de trilho.</t>
  </si>
  <si>
    <t>Porta/caixilho giratória em aço pré-pintado - PG-78x210 com aquecimento.</t>
  </si>
  <si>
    <t>Porta/caixilho giratória em aço pré-pintado - PGT-78x210 sem aquecimento, com passagem de trilho.</t>
  </si>
  <si>
    <t>Porta Flexidoor 2Folhas - 150x20.</t>
  </si>
  <si>
    <t>Versão 1.7</t>
  </si>
  <si>
    <t>Versão 1.8</t>
  </si>
  <si>
    <t>1. Ajuste no cálculo das válvulas de alívio das câmara de congelados &gt;200 m3 (A Cada 2000 m3 soma-se uma)</t>
  </si>
  <si>
    <t>Autoportância para painéis de teto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</si>
</sst>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"/>
    <numFmt numFmtId="166" formatCode="_([$€]* #,##0.00_);_([$€]* \(#,##0.00\);_([$€]* &quot;-&quot;??_);_(@_)"/>
    <numFmt numFmtId="167" formatCode="0.00\ &quot;m²&quot;"/>
    <numFmt numFmtId="168" formatCode="0.00\ &quot;m&quot;"/>
    <numFmt numFmtId="169" formatCode=";;;"/>
    <numFmt numFmtId="170" formatCode="#,##0\ &quot;cm&quot;"/>
  </numFmts>
  <fonts count="27" x14ac:knownFonts="1">
    <font>
      <sz val="10"/>
      <name val="Arial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7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sz val="10"/>
      <color indexed="52"/>
      <name val="Arial"/>
      <family val="2"/>
    </font>
    <font>
      <sz val="10"/>
      <color indexed="62"/>
      <name val="Arial"/>
      <family val="2"/>
    </font>
    <font>
      <b/>
      <sz val="10"/>
      <color indexed="63"/>
      <name val="Arial"/>
      <family val="2"/>
    </font>
    <font>
      <sz val="10"/>
      <color indexed="10"/>
      <name val="Arial"/>
      <family val="2"/>
    </font>
    <font>
      <i/>
      <sz val="10"/>
      <color indexed="23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color indexed="81"/>
      <name val="Segoe UI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sz val="10"/>
      <color indexed="81"/>
      <name val="Arial"/>
      <family val="2"/>
    </font>
    <font>
      <b/>
      <sz val="10"/>
      <color indexed="10"/>
      <name val="Arial"/>
      <family val="2"/>
    </font>
    <font>
      <b/>
      <sz val="22"/>
      <name val="Arial"/>
      <family val="2"/>
    </font>
    <font>
      <b/>
      <sz val="10"/>
      <color rgb="FFFF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B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1FB90"/>
        <bgColor indexed="64"/>
      </patternFill>
    </fill>
  </fills>
  <borders count="8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44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4" borderId="0" applyNumberFormat="0" applyBorder="0" applyAlignment="0" applyProtection="0"/>
    <xf numFmtId="0" fontId="5" fillId="16" borderId="1" applyNumberFormat="0" applyAlignment="0" applyProtection="0"/>
    <xf numFmtId="0" fontId="6" fillId="17" borderId="2" applyNumberFormat="0" applyAlignment="0" applyProtection="0"/>
    <xf numFmtId="0" fontId="7" fillId="0" borderId="3" applyNumberFormat="0" applyFill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21" borderId="0" applyNumberFormat="0" applyBorder="0" applyAlignment="0" applyProtection="0"/>
    <xf numFmtId="0" fontId="8" fillId="7" borderId="1" applyNumberFormat="0" applyAlignment="0" applyProtection="0"/>
    <xf numFmtId="166" fontId="1" fillId="0" borderId="0" applyFont="0" applyFill="0" applyBorder="0" applyAlignment="0" applyProtection="0"/>
    <xf numFmtId="0" fontId="1" fillId="22" borderId="4" applyNumberFormat="0" applyFont="0" applyAlignment="0" applyProtection="0"/>
    <xf numFmtId="9" fontId="1" fillId="0" borderId="0" applyFont="0" applyFill="0" applyBorder="0" applyAlignment="0" applyProtection="0"/>
    <xf numFmtId="0" fontId="9" fillId="16" borderId="5" applyNumberFormat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0" fontId="1" fillId="0" borderId="0"/>
  </cellStyleXfs>
  <cellXfs count="413">
    <xf numFmtId="0" fontId="0" fillId="0" borderId="0" xfId="0"/>
    <xf numFmtId="0" fontId="17" fillId="0" borderId="12" xfId="0" applyFont="1" applyBorder="1" applyAlignment="1" applyProtection="1">
      <alignment horizontal="center" vertical="center"/>
      <protection hidden="1"/>
    </xf>
    <xf numFmtId="0" fontId="17" fillId="0" borderId="0" xfId="0" applyFont="1" applyProtection="1">
      <protection hidden="1"/>
    </xf>
    <xf numFmtId="0" fontId="0" fillId="0" borderId="0" xfId="0" applyAlignment="1">
      <alignment horizontal="center"/>
    </xf>
    <xf numFmtId="0" fontId="17" fillId="0" borderId="15" xfId="0" applyFont="1" applyBorder="1" applyAlignment="1" applyProtection="1">
      <alignment horizontal="center" vertical="center"/>
      <protection hidden="1"/>
    </xf>
    <xf numFmtId="0" fontId="20" fillId="0" borderId="19" xfId="0" applyFont="1" applyBorder="1" applyAlignment="1">
      <alignment horizontal="left" vertical="center"/>
    </xf>
    <xf numFmtId="0" fontId="17" fillId="0" borderId="29" xfId="0" applyFont="1" applyBorder="1" applyAlignment="1" applyProtection="1">
      <alignment vertical="center"/>
      <protection hidden="1"/>
    </xf>
    <xf numFmtId="0" fontId="17" fillId="0" borderId="20" xfId="0" applyFont="1" applyBorder="1" applyAlignment="1" applyProtection="1">
      <alignment horizontal="center" vertical="center"/>
      <protection hidden="1"/>
    </xf>
    <xf numFmtId="0" fontId="17" fillId="25" borderId="26" xfId="0" applyFont="1" applyFill="1" applyBorder="1" applyAlignment="1" applyProtection="1">
      <alignment horizontal="center" vertical="center"/>
      <protection hidden="1"/>
    </xf>
    <xf numFmtId="0" fontId="17" fillId="25" borderId="27" xfId="0" applyFont="1" applyFill="1" applyBorder="1" applyAlignment="1" applyProtection="1">
      <alignment horizontal="center" vertical="center"/>
      <protection hidden="1"/>
    </xf>
    <xf numFmtId="0" fontId="17" fillId="0" borderId="24" xfId="0" applyFont="1" applyBorder="1" applyAlignment="1" applyProtection="1">
      <alignment horizontal="center" vertical="center"/>
      <protection hidden="1"/>
    </xf>
    <xf numFmtId="0" fontId="17" fillId="24" borderId="12" xfId="0" applyFont="1" applyFill="1" applyBorder="1" applyAlignment="1" applyProtection="1">
      <alignment horizontal="center" vertical="center"/>
      <protection hidden="1"/>
    </xf>
    <xf numFmtId="2" fontId="17" fillId="24" borderId="12" xfId="0" applyNumberFormat="1" applyFont="1" applyFill="1" applyBorder="1" applyAlignment="1" applyProtection="1">
      <alignment horizontal="center" vertical="center"/>
      <protection hidden="1"/>
    </xf>
    <xf numFmtId="0" fontId="18" fillId="24" borderId="18" xfId="0" applyFont="1" applyFill="1" applyBorder="1" applyAlignment="1" applyProtection="1">
      <alignment horizontal="center" vertical="center"/>
      <protection hidden="1"/>
    </xf>
    <xf numFmtId="0" fontId="18" fillId="0" borderId="0" xfId="0" applyFont="1"/>
    <xf numFmtId="0" fontId="18" fillId="26" borderId="15" xfId="0" applyFont="1" applyFill="1" applyBorder="1" applyAlignment="1" applyProtection="1">
      <alignment horizontal="center"/>
      <protection locked="0"/>
    </xf>
    <xf numFmtId="0" fontId="18" fillId="26" borderId="22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8" fillId="0" borderId="0" xfId="0" applyFont="1" applyProtection="1"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18" fillId="26" borderId="12" xfId="0" applyFont="1" applyFill="1" applyBorder="1" applyAlignment="1">
      <alignment horizontal="center" vertical="center"/>
    </xf>
    <xf numFmtId="0" fontId="18" fillId="0" borderId="0" xfId="0" applyFont="1" applyAlignment="1" applyProtection="1">
      <alignment vertical="center"/>
      <protection hidden="1"/>
    </xf>
    <xf numFmtId="0" fontId="18" fillId="0" borderId="0" xfId="0" applyFont="1" applyAlignment="1">
      <alignment horizontal="center"/>
    </xf>
    <xf numFmtId="0" fontId="18" fillId="26" borderId="17" xfId="0" applyFont="1" applyFill="1" applyBorder="1" applyAlignment="1" applyProtection="1">
      <alignment horizontal="center"/>
      <protection locked="0" hidden="1"/>
    </xf>
    <xf numFmtId="0" fontId="17" fillId="24" borderId="20" xfId="0" applyFont="1" applyFill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20" fillId="24" borderId="18" xfId="0" applyFont="1" applyFill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17" fillId="0" borderId="41" xfId="0" applyFont="1" applyBorder="1"/>
    <xf numFmtId="0" fontId="17" fillId="24" borderId="40" xfId="0" applyFont="1" applyFill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41" xfId="0" applyFont="1" applyBorder="1" applyAlignment="1">
      <alignment vertical="center"/>
    </xf>
    <xf numFmtId="0" fontId="18" fillId="0" borderId="49" xfId="0" applyFont="1" applyBorder="1" applyAlignment="1">
      <alignment horizontal="center" vertical="center"/>
    </xf>
    <xf numFmtId="0" fontId="20" fillId="24" borderId="43" xfId="0" applyFont="1" applyFill="1" applyBorder="1" applyAlignment="1">
      <alignment horizontal="left" vertical="center"/>
    </xf>
    <xf numFmtId="0" fontId="20" fillId="24" borderId="24" xfId="0" applyFont="1" applyFill="1" applyBorder="1" applyAlignment="1">
      <alignment horizontal="left" vertical="center"/>
    </xf>
    <xf numFmtId="0" fontId="20" fillId="24" borderId="25" xfId="0" applyFont="1" applyFill="1" applyBorder="1" applyAlignment="1">
      <alignment horizontal="left" vertical="center"/>
    </xf>
    <xf numFmtId="0" fontId="20" fillId="0" borderId="42" xfId="0" applyFont="1" applyBorder="1" applyAlignment="1">
      <alignment horizontal="left" vertical="center"/>
    </xf>
    <xf numFmtId="0" fontId="17" fillId="0" borderId="56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7" fillId="0" borderId="17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24" borderId="57" xfId="0" applyFont="1" applyFill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0" fillId="24" borderId="56" xfId="0" applyFont="1" applyFill="1" applyBorder="1" applyAlignment="1">
      <alignment horizontal="left" vertical="center"/>
    </xf>
    <xf numFmtId="0" fontId="18" fillId="0" borderId="42" xfId="0" applyFont="1" applyBorder="1"/>
    <xf numFmtId="0" fontId="17" fillId="0" borderId="20" xfId="0" applyFont="1" applyBorder="1" applyAlignment="1">
      <alignment horizontal="center" vertical="center"/>
    </xf>
    <xf numFmtId="0" fontId="17" fillId="0" borderId="4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8" fillId="24" borderId="12" xfId="0" applyFont="1" applyFill="1" applyBorder="1" applyAlignment="1" applyProtection="1">
      <alignment horizontal="center" vertical="center"/>
      <protection hidden="1"/>
    </xf>
    <xf numFmtId="0" fontId="17" fillId="0" borderId="25" xfId="0" applyFont="1" applyBorder="1" applyAlignment="1" applyProtection="1">
      <alignment horizontal="center" vertical="center"/>
      <protection hidden="1"/>
    </xf>
    <xf numFmtId="0" fontId="17" fillId="0" borderId="11" xfId="0" applyFont="1" applyBorder="1" applyAlignment="1" applyProtection="1">
      <alignment horizontal="center" vertical="center"/>
      <protection hidden="1"/>
    </xf>
    <xf numFmtId="0" fontId="17" fillId="0" borderId="12" xfId="0" applyFont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17" fillId="0" borderId="12" xfId="0" applyFont="1" applyBorder="1"/>
    <xf numFmtId="9" fontId="18" fillId="24" borderId="45" xfId="0" applyNumberFormat="1" applyFont="1" applyFill="1" applyBorder="1" applyAlignment="1" applyProtection="1">
      <alignment horizontal="center" vertical="center"/>
      <protection hidden="1"/>
    </xf>
    <xf numFmtId="0" fontId="18" fillId="0" borderId="43" xfId="0" applyFont="1" applyBorder="1" applyAlignment="1">
      <alignment horizontal="center" vertical="center"/>
    </xf>
    <xf numFmtId="0" fontId="18" fillId="0" borderId="28" xfId="0" applyFont="1" applyBorder="1" applyAlignment="1" applyProtection="1">
      <alignment vertical="center"/>
      <protection hidden="1"/>
    </xf>
    <xf numFmtId="168" fontId="18" fillId="24" borderId="21" xfId="0" applyNumberFormat="1" applyFont="1" applyFill="1" applyBorder="1" applyAlignment="1" applyProtection="1">
      <alignment horizontal="center" vertical="center"/>
      <protection hidden="1"/>
    </xf>
    <xf numFmtId="0" fontId="18" fillId="0" borderId="24" xfId="0" applyFont="1" applyBorder="1" applyAlignment="1">
      <alignment horizontal="center" vertical="center"/>
    </xf>
    <xf numFmtId="9" fontId="18" fillId="0" borderId="18" xfId="32" applyFont="1" applyBorder="1" applyAlignment="1" applyProtection="1">
      <alignment horizontal="center" vertical="center"/>
      <protection hidden="1"/>
    </xf>
    <xf numFmtId="0" fontId="18" fillId="0" borderId="56" xfId="0" applyFont="1" applyBorder="1" applyAlignment="1">
      <alignment horizontal="center" vertical="center"/>
    </xf>
    <xf numFmtId="0" fontId="18" fillId="0" borderId="42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right" vertical="center"/>
      <protection hidden="1"/>
    </xf>
    <xf numFmtId="0" fontId="18" fillId="24" borderId="12" xfId="0" applyFont="1" applyFill="1" applyBorder="1" applyAlignment="1">
      <alignment horizontal="center" vertical="center"/>
    </xf>
    <xf numFmtId="0" fontId="18" fillId="23" borderId="0" xfId="0" applyFont="1" applyFill="1" applyAlignment="1">
      <alignment horizontal="center" vertical="center"/>
    </xf>
    <xf numFmtId="0" fontId="18" fillId="24" borderId="15" xfId="0" applyFont="1" applyFill="1" applyBorder="1" applyAlignment="1">
      <alignment horizontal="center" vertical="center"/>
    </xf>
    <xf numFmtId="2" fontId="18" fillId="0" borderId="15" xfId="0" applyNumberFormat="1" applyFont="1" applyBorder="1" applyAlignment="1" applyProtection="1">
      <alignment horizontal="center" vertical="center"/>
      <protection hidden="1"/>
    </xf>
    <xf numFmtId="9" fontId="18" fillId="0" borderId="32" xfId="32" applyFont="1" applyBorder="1" applyAlignment="1" applyProtection="1">
      <alignment vertical="center"/>
      <protection hidden="1"/>
    </xf>
    <xf numFmtId="0" fontId="18" fillId="0" borderId="15" xfId="0" applyFont="1" applyBorder="1" applyAlignment="1">
      <alignment horizontal="center" vertical="center"/>
    </xf>
    <xf numFmtId="0" fontId="18" fillId="24" borderId="26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24" borderId="19" xfId="0" applyFont="1" applyFill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18" fillId="24" borderId="27" xfId="0" applyFont="1" applyFill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24" borderId="20" xfId="0" applyFont="1" applyFill="1" applyBorder="1" applyAlignment="1">
      <alignment horizontal="center" vertical="center"/>
    </xf>
    <xf numFmtId="9" fontId="18" fillId="0" borderId="21" xfId="32" applyFont="1" applyBorder="1" applyAlignment="1" applyProtection="1">
      <alignment vertical="center"/>
      <protection hidden="1"/>
    </xf>
    <xf numFmtId="0" fontId="18" fillId="24" borderId="46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24" borderId="21" xfId="0" applyFont="1" applyFill="1" applyBorder="1" applyAlignment="1">
      <alignment horizontal="center" vertical="center"/>
    </xf>
    <xf numFmtId="0" fontId="18" fillId="0" borderId="42" xfId="0" applyFont="1" applyBorder="1" applyAlignment="1">
      <alignment horizontal="center" vertical="center"/>
    </xf>
    <xf numFmtId="0" fontId="18" fillId="23" borderId="42" xfId="0" applyFont="1" applyFill="1" applyBorder="1" applyAlignment="1">
      <alignment horizontal="center" vertical="center"/>
    </xf>
    <xf numFmtId="165" fontId="18" fillId="0" borderId="42" xfId="0" applyNumberFormat="1" applyFont="1" applyBorder="1" applyAlignment="1">
      <alignment horizontal="center" vertical="center"/>
    </xf>
    <xf numFmtId="9" fontId="18" fillId="0" borderId="42" xfId="32" applyFont="1" applyBorder="1" applyAlignment="1" applyProtection="1">
      <alignment vertical="center"/>
    </xf>
    <xf numFmtId="165" fontId="18" fillId="0" borderId="0" xfId="0" applyNumberFormat="1" applyFont="1" applyAlignment="1">
      <alignment horizontal="center" vertical="center"/>
    </xf>
    <xf numFmtId="9" fontId="18" fillId="0" borderId="0" xfId="32" applyFont="1" applyAlignment="1" applyProtection="1">
      <alignment vertical="center"/>
    </xf>
    <xf numFmtId="0" fontId="18" fillId="24" borderId="17" xfId="0" applyFont="1" applyFill="1" applyBorder="1" applyAlignment="1">
      <alignment horizontal="center" vertical="center"/>
    </xf>
    <xf numFmtId="0" fontId="18" fillId="24" borderId="14" xfId="0" applyFont="1" applyFill="1" applyBorder="1" applyAlignment="1">
      <alignment horizontal="center" vertical="center"/>
    </xf>
    <xf numFmtId="2" fontId="18" fillId="0" borderId="12" xfId="0" applyNumberFormat="1" applyFont="1" applyBorder="1" applyAlignment="1" applyProtection="1">
      <alignment horizontal="center" vertical="center"/>
      <protection hidden="1"/>
    </xf>
    <xf numFmtId="9" fontId="18" fillId="0" borderId="18" xfId="32" applyFont="1" applyBorder="1" applyAlignment="1" applyProtection="1">
      <alignment vertical="center"/>
      <protection hidden="1"/>
    </xf>
    <xf numFmtId="0" fontId="18" fillId="24" borderId="36" xfId="0" applyFont="1" applyFill="1" applyBorder="1" applyAlignment="1">
      <alignment horizontal="center" vertical="center"/>
    </xf>
    <xf numFmtId="2" fontId="18" fillId="0" borderId="20" xfId="0" applyNumberFormat="1" applyFont="1" applyBorder="1" applyAlignment="1" applyProtection="1">
      <alignment horizontal="center" vertical="center"/>
      <protection hidden="1"/>
    </xf>
    <xf numFmtId="9" fontId="18" fillId="0" borderId="40" xfId="32" applyFont="1" applyBorder="1" applyAlignment="1" applyProtection="1">
      <alignment vertical="center"/>
      <protection hidden="1"/>
    </xf>
    <xf numFmtId="1" fontId="18" fillId="0" borderId="42" xfId="0" applyNumberFormat="1" applyFont="1" applyBorder="1" applyAlignment="1">
      <alignment horizontal="center" vertical="center"/>
    </xf>
    <xf numFmtId="0" fontId="18" fillId="0" borderId="42" xfId="0" applyFont="1" applyBorder="1" applyAlignment="1">
      <alignment vertical="center"/>
    </xf>
    <xf numFmtId="9" fontId="18" fillId="0" borderId="16" xfId="32" applyFont="1" applyBorder="1" applyAlignment="1" applyProtection="1">
      <alignment vertical="center"/>
      <protection hidden="1"/>
    </xf>
    <xf numFmtId="9" fontId="18" fillId="0" borderId="46" xfId="32" applyFont="1" applyBorder="1" applyAlignment="1" applyProtection="1">
      <alignment vertical="center"/>
      <protection hidden="1"/>
    </xf>
    <xf numFmtId="0" fontId="18" fillId="0" borderId="42" xfId="0" applyFont="1" applyBorder="1" applyAlignment="1" applyProtection="1">
      <alignment vertical="center"/>
      <protection hidden="1"/>
    </xf>
    <xf numFmtId="0" fontId="18" fillId="24" borderId="18" xfId="0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/>
      <protection locked="0" hidden="1"/>
    </xf>
    <xf numFmtId="0" fontId="18" fillId="0" borderId="0" xfId="0" applyFont="1" applyProtection="1">
      <protection locked="0" hidden="1"/>
    </xf>
    <xf numFmtId="0" fontId="18" fillId="26" borderId="12" xfId="0" applyFont="1" applyFill="1" applyBorder="1" applyAlignment="1">
      <alignment horizontal="center" vertical="center" wrapText="1"/>
    </xf>
    <xf numFmtId="0" fontId="18" fillId="26" borderId="15" xfId="0" applyFont="1" applyFill="1" applyBorder="1" applyAlignment="1" applyProtection="1">
      <alignment horizontal="center" vertical="center"/>
      <protection locked="0" hidden="1"/>
    </xf>
    <xf numFmtId="0" fontId="18" fillId="0" borderId="12" xfId="0" applyFont="1" applyBorder="1" applyAlignment="1" applyProtection="1">
      <alignment horizontal="center"/>
      <protection hidden="1"/>
    </xf>
    <xf numFmtId="0" fontId="18" fillId="0" borderId="12" xfId="0" applyFont="1" applyBorder="1" applyProtection="1">
      <protection hidden="1"/>
    </xf>
    <xf numFmtId="0" fontId="18" fillId="0" borderId="24" xfId="0" applyFont="1" applyBorder="1" applyAlignment="1" applyProtection="1">
      <alignment horizontal="center" vertical="center"/>
      <protection hidden="1"/>
    </xf>
    <xf numFmtId="0" fontId="18" fillId="26" borderId="19" xfId="0" applyFont="1" applyFill="1" applyBorder="1" applyAlignment="1" applyProtection="1">
      <alignment horizontal="center" vertical="center"/>
      <protection locked="0" hidden="1"/>
    </xf>
    <xf numFmtId="0" fontId="18" fillId="27" borderId="12" xfId="0" applyFont="1" applyFill="1" applyBorder="1" applyAlignment="1" applyProtection="1">
      <alignment horizontal="center" vertical="center"/>
      <protection locked="0" hidden="1"/>
    </xf>
    <xf numFmtId="0" fontId="18" fillId="27" borderId="19" xfId="0" applyFont="1" applyFill="1" applyBorder="1" applyAlignment="1" applyProtection="1">
      <alignment horizontal="center" vertical="center"/>
      <protection locked="0" hidden="1"/>
    </xf>
    <xf numFmtId="0" fontId="18" fillId="0" borderId="25" xfId="0" applyFont="1" applyBorder="1" applyAlignment="1" applyProtection="1">
      <alignment horizontal="center" vertical="center"/>
      <protection hidden="1"/>
    </xf>
    <xf numFmtId="0" fontId="18" fillId="27" borderId="20" xfId="0" applyFont="1" applyFill="1" applyBorder="1" applyAlignment="1" applyProtection="1">
      <alignment horizontal="center" vertical="center"/>
      <protection locked="0" hidden="1"/>
    </xf>
    <xf numFmtId="0" fontId="18" fillId="27" borderId="21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Alignment="1">
      <alignment horizontal="right"/>
    </xf>
    <xf numFmtId="0" fontId="18" fillId="0" borderId="12" xfId="0" applyFont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18" fillId="26" borderId="12" xfId="0" applyFont="1" applyFill="1" applyBorder="1" applyAlignment="1" applyProtection="1">
      <alignment horizontal="center"/>
      <protection locked="0"/>
    </xf>
    <xf numFmtId="0" fontId="18" fillId="0" borderId="24" xfId="0" applyFont="1" applyBorder="1" applyAlignment="1" applyProtection="1">
      <alignment horizontal="center"/>
      <protection hidden="1"/>
    </xf>
    <xf numFmtId="0" fontId="18" fillId="26" borderId="19" xfId="0" applyFont="1" applyFill="1" applyBorder="1" applyAlignment="1" applyProtection="1">
      <alignment horizontal="center"/>
      <protection locked="0"/>
    </xf>
    <xf numFmtId="0" fontId="18" fillId="0" borderId="25" xfId="0" applyFont="1" applyBorder="1" applyAlignment="1" applyProtection="1">
      <alignment horizontal="center"/>
      <protection hidden="1"/>
    </xf>
    <xf numFmtId="0" fontId="18" fillId="26" borderId="20" xfId="0" applyFont="1" applyFill="1" applyBorder="1" applyAlignment="1" applyProtection="1">
      <alignment horizontal="center"/>
      <protection locked="0"/>
    </xf>
    <xf numFmtId="0" fontId="18" fillId="0" borderId="22" xfId="0" applyFont="1" applyBorder="1" applyAlignment="1">
      <alignment horizontal="center"/>
    </xf>
    <xf numFmtId="0" fontId="18" fillId="26" borderId="21" xfId="0" applyFont="1" applyFill="1" applyBorder="1" applyAlignment="1" applyProtection="1">
      <alignment horizontal="center"/>
      <protection locked="0"/>
    </xf>
    <xf numFmtId="0" fontId="18" fillId="0" borderId="43" xfId="0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8" fillId="26" borderId="19" xfId="0" applyFont="1" applyFill="1" applyBorder="1" applyProtection="1">
      <protection locked="0"/>
    </xf>
    <xf numFmtId="0" fontId="18" fillId="26" borderId="12" xfId="0" applyFont="1" applyFill="1" applyBorder="1" applyProtection="1">
      <protection locked="0"/>
    </xf>
    <xf numFmtId="0" fontId="18" fillId="0" borderId="25" xfId="0" applyFont="1" applyBorder="1" applyAlignment="1">
      <alignment horizontal="center"/>
    </xf>
    <xf numFmtId="0" fontId="18" fillId="26" borderId="44" xfId="0" applyFont="1" applyFill="1" applyBorder="1" applyAlignment="1" applyProtection="1">
      <alignment horizontal="center"/>
      <protection locked="0" hidden="1"/>
    </xf>
    <xf numFmtId="0" fontId="18" fillId="26" borderId="20" xfId="0" applyFont="1" applyFill="1" applyBorder="1" applyProtection="1">
      <protection locked="0"/>
    </xf>
    <xf numFmtId="0" fontId="18" fillId="26" borderId="21" xfId="0" applyFont="1" applyFill="1" applyBorder="1" applyProtection="1">
      <protection locked="0"/>
    </xf>
    <xf numFmtId="0" fontId="18" fillId="0" borderId="24" xfId="0" applyFont="1" applyBorder="1" applyAlignment="1" applyProtection="1">
      <alignment horizontal="center" vertical="center"/>
      <protection locked="0"/>
    </xf>
    <xf numFmtId="0" fontId="18" fillId="26" borderId="14" xfId="0" applyFont="1" applyFill="1" applyBorder="1" applyAlignment="1">
      <alignment horizontal="center" vertical="center"/>
    </xf>
    <xf numFmtId="0" fontId="18" fillId="0" borderId="25" xfId="0" applyFont="1" applyBorder="1" applyAlignment="1" applyProtection="1">
      <alignment horizontal="center" vertical="center"/>
      <protection locked="0"/>
    </xf>
    <xf numFmtId="0" fontId="18" fillId="26" borderId="36" xfId="0" applyFont="1" applyFill="1" applyBorder="1" applyAlignment="1">
      <alignment horizontal="center" vertical="center"/>
    </xf>
    <xf numFmtId="0" fontId="18" fillId="0" borderId="0" xfId="0" applyFont="1" applyAlignment="1" applyProtection="1">
      <alignment horizontal="center"/>
      <protection locked="0"/>
    </xf>
    <xf numFmtId="0" fontId="18" fillId="0" borderId="0" xfId="0" applyFont="1" applyProtection="1">
      <protection locked="0"/>
    </xf>
    <xf numFmtId="0" fontId="17" fillId="0" borderId="0" xfId="0" applyFont="1"/>
    <xf numFmtId="0" fontId="18" fillId="0" borderId="0" xfId="0" applyFont="1" applyAlignment="1">
      <alignment horizontal="left" vertical="center"/>
    </xf>
    <xf numFmtId="0" fontId="18" fillId="26" borderId="26" xfId="0" applyFont="1" applyFill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8" fillId="26" borderId="20" xfId="0" applyFont="1" applyFill="1" applyBorder="1" applyAlignment="1">
      <alignment horizontal="center" vertical="center"/>
    </xf>
    <xf numFmtId="0" fontId="1" fillId="24" borderId="18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26" borderId="26" xfId="0" applyFont="1" applyFill="1" applyBorder="1" applyAlignment="1">
      <alignment horizontal="center" vertical="center"/>
    </xf>
    <xf numFmtId="0" fontId="18" fillId="27" borderId="26" xfId="0" applyFont="1" applyFill="1" applyBorder="1" applyAlignment="1" applyProtection="1">
      <alignment horizontal="center" vertical="center"/>
      <protection locked="0" hidden="1"/>
    </xf>
    <xf numFmtId="0" fontId="18" fillId="27" borderId="27" xfId="0" applyFont="1" applyFill="1" applyBorder="1" applyAlignment="1" applyProtection="1">
      <alignment horizontal="center" vertical="center"/>
      <protection locked="0" hidden="1"/>
    </xf>
    <xf numFmtId="0" fontId="1" fillId="26" borderId="12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center"/>
    </xf>
    <xf numFmtId="0" fontId="17" fillId="0" borderId="57" xfId="0" applyFont="1" applyBorder="1" applyAlignment="1">
      <alignment horizontal="center"/>
    </xf>
    <xf numFmtId="0" fontId="0" fillId="0" borderId="60" xfId="0" applyBorder="1"/>
    <xf numFmtId="0" fontId="21" fillId="28" borderId="60" xfId="0" applyFont="1" applyFill="1" applyBorder="1"/>
    <xf numFmtId="0" fontId="1" fillId="0" borderId="60" xfId="0" applyFont="1" applyBorder="1"/>
    <xf numFmtId="0" fontId="18" fillId="0" borderId="60" xfId="0" applyFont="1" applyBorder="1"/>
    <xf numFmtId="0" fontId="17" fillId="0" borderId="60" xfId="0" applyFont="1" applyBorder="1"/>
    <xf numFmtId="0" fontId="0" fillId="0" borderId="60" xfId="0" applyBorder="1" applyAlignment="1">
      <alignment wrapText="1"/>
    </xf>
    <xf numFmtId="0" fontId="1" fillId="0" borderId="60" xfId="0" applyFont="1" applyBorder="1" applyAlignment="1" applyProtection="1">
      <alignment horizontal="justify" vertical="justify"/>
      <protection locked="0"/>
    </xf>
    <xf numFmtId="0" fontId="18" fillId="0" borderId="60" xfId="0" applyFont="1" applyBorder="1" applyAlignment="1" applyProtection="1">
      <alignment horizontal="justify" vertical="justify"/>
      <protection locked="0"/>
    </xf>
    <xf numFmtId="0" fontId="0" fillId="0" borderId="15" xfId="0" applyBorder="1"/>
    <xf numFmtId="0" fontId="0" fillId="0" borderId="60" xfId="0" applyBorder="1" applyAlignment="1">
      <alignment horizontal="center"/>
    </xf>
    <xf numFmtId="37" fontId="0" fillId="0" borderId="60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horizontal="center"/>
    </xf>
    <xf numFmtId="0" fontId="18" fillId="29" borderId="23" xfId="0" applyFont="1" applyFill="1" applyBorder="1" applyAlignment="1" applyProtection="1">
      <alignment horizontal="center" vertical="center"/>
      <protection hidden="1"/>
    </xf>
    <xf numFmtId="0" fontId="18" fillId="29" borderId="34" xfId="0" applyFont="1" applyFill="1" applyBorder="1" applyAlignment="1" applyProtection="1">
      <alignment horizontal="center" vertical="center"/>
      <protection hidden="1"/>
    </xf>
    <xf numFmtId="0" fontId="18" fillId="29" borderId="64" xfId="0" applyFont="1" applyFill="1" applyBorder="1" applyAlignment="1" applyProtection="1">
      <alignment horizontal="center" vertical="center"/>
      <protection hidden="1"/>
    </xf>
    <xf numFmtId="0" fontId="18" fillId="29" borderId="43" xfId="0" applyFont="1" applyFill="1" applyBorder="1" applyAlignment="1">
      <alignment horizontal="center"/>
    </xf>
    <xf numFmtId="0" fontId="18" fillId="29" borderId="24" xfId="0" applyFont="1" applyFill="1" applyBorder="1" applyAlignment="1">
      <alignment horizontal="center"/>
    </xf>
    <xf numFmtId="0" fontId="18" fillId="29" borderId="25" xfId="0" applyFont="1" applyFill="1" applyBorder="1" applyAlignment="1">
      <alignment horizontal="center"/>
    </xf>
    <xf numFmtId="0" fontId="17" fillId="29" borderId="12" xfId="0" applyFont="1" applyFill="1" applyBorder="1" applyProtection="1">
      <protection hidden="1"/>
    </xf>
    <xf numFmtId="0" fontId="1" fillId="29" borderId="12" xfId="0" quotePrefix="1" applyFont="1" applyFill="1" applyBorder="1" applyProtection="1">
      <protection hidden="1"/>
    </xf>
    <xf numFmtId="0" fontId="18" fillId="29" borderId="12" xfId="0" applyFont="1" applyFill="1" applyBorder="1" applyProtection="1">
      <protection hidden="1"/>
    </xf>
    <xf numFmtId="0" fontId="18" fillId="0" borderId="12" xfId="0" applyFont="1" applyBorder="1" applyProtection="1">
      <protection locked="0"/>
    </xf>
    <xf numFmtId="0" fontId="1" fillId="26" borderId="14" xfId="0" applyFont="1" applyFill="1" applyBorder="1" applyAlignment="1">
      <alignment horizontal="center" vertical="center"/>
    </xf>
    <xf numFmtId="0" fontId="18" fillId="29" borderId="12" xfId="0" applyFont="1" applyFill="1" applyBorder="1"/>
    <xf numFmtId="0" fontId="1" fillId="29" borderId="12" xfId="0" applyFont="1" applyFill="1" applyBorder="1"/>
    <xf numFmtId="0" fontId="1" fillId="26" borderId="12" xfId="0" applyFont="1" applyFill="1" applyBorder="1" applyAlignment="1">
      <alignment horizontal="center" vertical="center"/>
    </xf>
    <xf numFmtId="0" fontId="1" fillId="29" borderId="14" xfId="0" applyFont="1" applyFill="1" applyBorder="1"/>
    <xf numFmtId="0" fontId="18" fillId="29" borderId="14" xfId="0" applyFont="1" applyFill="1" applyBorder="1"/>
    <xf numFmtId="0" fontId="18" fillId="29" borderId="14" xfId="0" applyFont="1" applyFill="1" applyBorder="1" applyProtection="1">
      <protection hidden="1"/>
    </xf>
    <xf numFmtId="0" fontId="18" fillId="0" borderId="60" xfId="0" applyFont="1" applyBorder="1" applyAlignment="1">
      <alignment horizontal="justify" vertical="justify"/>
    </xf>
    <xf numFmtId="0" fontId="18" fillId="29" borderId="12" xfId="0" applyFont="1" applyFill="1" applyBorder="1" applyAlignment="1">
      <alignment horizontal="center"/>
    </xf>
    <xf numFmtId="0" fontId="18" fillId="29" borderId="14" xfId="0" applyFont="1" applyFill="1" applyBorder="1" applyAlignment="1">
      <alignment horizontal="center"/>
    </xf>
    <xf numFmtId="0" fontId="17" fillId="0" borderId="18" xfId="0" applyFont="1" applyBorder="1"/>
    <xf numFmtId="0" fontId="18" fillId="29" borderId="34" xfId="0" applyFont="1" applyFill="1" applyBorder="1" applyAlignment="1">
      <alignment horizontal="center" vertical="center"/>
    </xf>
    <xf numFmtId="0" fontId="18" fillId="29" borderId="64" xfId="0" applyFont="1" applyFill="1" applyBorder="1" applyAlignment="1">
      <alignment horizontal="center" vertical="center"/>
    </xf>
    <xf numFmtId="0" fontId="18" fillId="26" borderId="19" xfId="0" applyFont="1" applyFill="1" applyBorder="1"/>
    <xf numFmtId="0" fontId="18" fillId="26" borderId="21" xfId="0" applyFont="1" applyFill="1" applyBorder="1"/>
    <xf numFmtId="0" fontId="17" fillId="29" borderId="65" xfId="0" applyFont="1" applyFill="1" applyBorder="1" applyAlignment="1">
      <alignment horizontal="center"/>
    </xf>
    <xf numFmtId="0" fontId="17" fillId="29" borderId="30" xfId="0" applyFont="1" applyFill="1" applyBorder="1" applyAlignment="1">
      <alignment horizontal="center"/>
    </xf>
    <xf numFmtId="0" fontId="17" fillId="29" borderId="31" xfId="0" applyFont="1" applyFill="1" applyBorder="1" applyAlignment="1">
      <alignment horizontal="center"/>
    </xf>
    <xf numFmtId="0" fontId="18" fillId="29" borderId="26" xfId="0" applyFont="1" applyFill="1" applyBorder="1" applyAlignment="1">
      <alignment horizontal="center"/>
    </xf>
    <xf numFmtId="0" fontId="18" fillId="29" borderId="19" xfId="0" applyFont="1" applyFill="1" applyBorder="1" applyAlignment="1">
      <alignment horizontal="center"/>
    </xf>
    <xf numFmtId="0" fontId="18" fillId="29" borderId="27" xfId="0" applyFont="1" applyFill="1" applyBorder="1" applyAlignment="1">
      <alignment horizontal="center"/>
    </xf>
    <xf numFmtId="0" fontId="18" fillId="29" borderId="20" xfId="0" applyFont="1" applyFill="1" applyBorder="1" applyAlignment="1">
      <alignment horizontal="center"/>
    </xf>
    <xf numFmtId="0" fontId="18" fillId="29" borderId="21" xfId="0" applyFont="1" applyFill="1" applyBorder="1" applyAlignment="1">
      <alignment horizontal="center"/>
    </xf>
    <xf numFmtId="0" fontId="18" fillId="29" borderId="27" xfId="0" applyFont="1" applyFill="1" applyBorder="1" applyAlignment="1">
      <alignment horizontal="left" vertical="center"/>
    </xf>
    <xf numFmtId="0" fontId="18" fillId="29" borderId="20" xfId="0" applyFont="1" applyFill="1" applyBorder="1" applyAlignment="1">
      <alignment horizontal="left" vertical="center"/>
    </xf>
    <xf numFmtId="0" fontId="18" fillId="29" borderId="21" xfId="0" applyFont="1" applyFill="1" applyBorder="1" applyAlignment="1">
      <alignment horizontal="left" vertical="center"/>
    </xf>
    <xf numFmtId="0" fontId="0" fillId="0" borderId="6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169" fontId="1" fillId="0" borderId="10" xfId="0" applyNumberFormat="1" applyFont="1" applyBorder="1"/>
    <xf numFmtId="14" fontId="17" fillId="0" borderId="14" xfId="0" applyNumberFormat="1" applyFont="1" applyBorder="1" applyAlignment="1">
      <alignment horizontal="center"/>
    </xf>
    <xf numFmtId="0" fontId="17" fillId="0" borderId="18" xfId="0" applyFont="1" applyBorder="1" applyAlignment="1">
      <alignment horizontal="left"/>
    </xf>
    <xf numFmtId="167" fontId="18" fillId="26" borderId="15" xfId="0" applyNumberFormat="1" applyFont="1" applyFill="1" applyBorder="1" applyProtection="1">
      <protection locked="0"/>
    </xf>
    <xf numFmtId="167" fontId="18" fillId="26" borderId="20" xfId="0" applyNumberFormat="1" applyFont="1" applyFill="1" applyBorder="1" applyProtection="1">
      <protection locked="0"/>
    </xf>
    <xf numFmtId="168" fontId="18" fillId="26" borderId="15" xfId="0" applyNumberFormat="1" applyFont="1" applyFill="1" applyBorder="1" applyProtection="1">
      <protection locked="0"/>
    </xf>
    <xf numFmtId="168" fontId="18" fillId="26" borderId="12" xfId="0" applyNumberFormat="1" applyFont="1" applyFill="1" applyBorder="1" applyProtection="1">
      <protection locked="0"/>
    </xf>
    <xf numFmtId="168" fontId="18" fillId="26" borderId="20" xfId="0" applyNumberFormat="1" applyFont="1" applyFill="1" applyBorder="1" applyProtection="1">
      <protection locked="0"/>
    </xf>
    <xf numFmtId="0" fontId="17" fillId="25" borderId="66" xfId="0" applyFont="1" applyFill="1" applyBorder="1" applyAlignment="1">
      <alignment vertical="center"/>
    </xf>
    <xf numFmtId="0" fontId="17" fillId="25" borderId="35" xfId="0" applyFont="1" applyFill="1" applyBorder="1" applyAlignment="1">
      <alignment horizontal="right" vertical="center"/>
    </xf>
    <xf numFmtId="39" fontId="17" fillId="25" borderId="35" xfId="42" applyNumberFormat="1" applyFont="1" applyFill="1" applyBorder="1" applyAlignment="1">
      <alignment horizontal="center" vertical="center"/>
    </xf>
    <xf numFmtId="0" fontId="17" fillId="25" borderId="67" xfId="0" applyFont="1" applyFill="1" applyBorder="1" applyAlignment="1">
      <alignment vertical="center"/>
    </xf>
    <xf numFmtId="0" fontId="17" fillId="25" borderId="34" xfId="0" applyFont="1" applyFill="1" applyBorder="1" applyAlignment="1">
      <alignment horizontal="right" vertical="center"/>
    </xf>
    <xf numFmtId="0" fontId="17" fillId="24" borderId="67" xfId="0" applyFont="1" applyFill="1" applyBorder="1" applyAlignment="1">
      <alignment vertical="center"/>
    </xf>
    <xf numFmtId="0" fontId="17" fillId="24" borderId="34" xfId="0" applyFont="1" applyFill="1" applyBorder="1" applyAlignment="1">
      <alignment horizontal="right" vertical="center"/>
    </xf>
    <xf numFmtId="0" fontId="0" fillId="23" borderId="0" xfId="0" applyFill="1" applyAlignment="1">
      <alignment horizontal="center" vertical="center"/>
    </xf>
    <xf numFmtId="0" fontId="17" fillId="23" borderId="0" xfId="0" applyFont="1" applyFill="1" applyAlignment="1">
      <alignment horizontal="right" vertical="center"/>
    </xf>
    <xf numFmtId="167" fontId="17" fillId="24" borderId="68" xfId="42" applyNumberFormat="1" applyFont="1" applyFill="1" applyBorder="1" applyAlignment="1">
      <alignment horizontal="center" vertical="center"/>
    </xf>
    <xf numFmtId="0" fontId="17" fillId="24" borderId="37" xfId="0" applyFont="1" applyFill="1" applyBorder="1" applyAlignment="1">
      <alignment vertical="center"/>
    </xf>
    <xf numFmtId="0" fontId="17" fillId="24" borderId="70" xfId="0" applyFont="1" applyFill="1" applyBorder="1" applyAlignment="1">
      <alignment vertical="center"/>
    </xf>
    <xf numFmtId="0" fontId="18" fillId="0" borderId="70" xfId="0" applyFont="1" applyBorder="1" applyAlignment="1">
      <alignment horizontal="center" vertical="center"/>
    </xf>
    <xf numFmtId="164" fontId="17" fillId="24" borderId="68" xfId="42" applyFont="1" applyFill="1" applyBorder="1" applyAlignment="1" applyProtection="1">
      <alignment horizontal="center" vertical="center"/>
    </xf>
    <xf numFmtId="39" fontId="1" fillId="0" borderId="0" xfId="0" applyNumberFormat="1" applyFont="1" applyAlignment="1">
      <alignment horizontal="left" vertical="center"/>
    </xf>
    <xf numFmtId="0" fontId="17" fillId="25" borderId="55" xfId="0" applyFont="1" applyFill="1" applyBorder="1" applyAlignment="1">
      <alignment vertical="center"/>
    </xf>
    <xf numFmtId="0" fontId="17" fillId="25" borderId="23" xfId="0" applyFont="1" applyFill="1" applyBorder="1" applyAlignment="1">
      <alignment horizontal="right" vertical="center"/>
    </xf>
    <xf numFmtId="0" fontId="17" fillId="24" borderId="69" xfId="0" applyFont="1" applyFill="1" applyBorder="1" applyAlignment="1">
      <alignment vertical="center"/>
    </xf>
    <xf numFmtId="0" fontId="17" fillId="24" borderId="64" xfId="0" applyFont="1" applyFill="1" applyBorder="1" applyAlignment="1">
      <alignment horizontal="right" vertical="center"/>
    </xf>
    <xf numFmtId="167" fontId="18" fillId="24" borderId="19" xfId="0" applyNumberFormat="1" applyFont="1" applyFill="1" applyBorder="1" applyAlignment="1" applyProtection="1">
      <alignment horizontal="center" vertical="center"/>
      <protection hidden="1"/>
    </xf>
    <xf numFmtId="9" fontId="1" fillId="0" borderId="32" xfId="32" applyBorder="1" applyAlignment="1" applyProtection="1">
      <alignment vertical="center"/>
      <protection hidden="1"/>
    </xf>
    <xf numFmtId="0" fontId="1" fillId="0" borderId="12" xfId="0" applyFont="1" applyBorder="1" applyAlignment="1" applyProtection="1">
      <alignment horizontal="left"/>
      <protection hidden="1"/>
    </xf>
    <xf numFmtId="0" fontId="1" fillId="0" borderId="0" xfId="0" applyFont="1" applyProtection="1">
      <protection locked="0" hidden="1"/>
    </xf>
    <xf numFmtId="0" fontId="17" fillId="0" borderId="0" xfId="0" applyFont="1" applyAlignment="1">
      <alignment horizontal="center"/>
    </xf>
    <xf numFmtId="0" fontId="18" fillId="29" borderId="58" xfId="0" applyFont="1" applyFill="1" applyBorder="1" applyAlignment="1" applyProtection="1">
      <alignment horizontal="center" vertical="center"/>
      <protection hidden="1"/>
    </xf>
    <xf numFmtId="0" fontId="18" fillId="29" borderId="26" xfId="0" applyFont="1" applyFill="1" applyBorder="1" applyAlignment="1" applyProtection="1">
      <alignment horizontal="center" vertical="center"/>
      <protection hidden="1"/>
    </xf>
    <xf numFmtId="0" fontId="18" fillId="29" borderId="27" xfId="0" applyFont="1" applyFill="1" applyBorder="1" applyAlignment="1" applyProtection="1">
      <alignment horizontal="center" vertical="center"/>
      <protection hidden="1"/>
    </xf>
    <xf numFmtId="0" fontId="17" fillId="0" borderId="0" xfId="0" applyFont="1" applyAlignment="1">
      <alignment horizontal="center" wrapText="1"/>
    </xf>
    <xf numFmtId="0" fontId="18" fillId="29" borderId="39" xfId="0" applyFont="1" applyFill="1" applyBorder="1" applyAlignment="1">
      <alignment horizontal="center"/>
    </xf>
    <xf numFmtId="0" fontId="1" fillId="26" borderId="19" xfId="0" applyFont="1" applyFill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/>
      <protection hidden="1"/>
    </xf>
    <xf numFmtId="0" fontId="1" fillId="26" borderId="19" xfId="0" applyFont="1" applyFill="1" applyBorder="1" applyAlignment="1" applyProtection="1">
      <alignment horizontal="center" vertical="center"/>
      <protection locked="0" hidden="1"/>
    </xf>
    <xf numFmtId="0" fontId="18" fillId="24" borderId="12" xfId="0" applyFont="1" applyFill="1" applyBorder="1" applyAlignment="1">
      <alignment horizontal="left" vertical="center"/>
    </xf>
    <xf numFmtId="0" fontId="18" fillId="26" borderId="12" xfId="0" applyFont="1" applyFill="1" applyBorder="1" applyAlignment="1">
      <alignment horizontal="left" vertical="center"/>
    </xf>
    <xf numFmtId="0" fontId="1" fillId="0" borderId="0" xfId="0" applyFont="1" applyProtection="1">
      <protection hidden="1"/>
    </xf>
    <xf numFmtId="0" fontId="1" fillId="29" borderId="12" xfId="0" applyFont="1" applyFill="1" applyBorder="1" applyAlignment="1" applyProtection="1">
      <alignment vertical="center"/>
      <protection hidden="1"/>
    </xf>
    <xf numFmtId="0" fontId="1" fillId="24" borderId="12" xfId="0" applyFont="1" applyFill="1" applyBorder="1" applyAlignment="1">
      <alignment horizontal="left" vertical="center"/>
    </xf>
    <xf numFmtId="14" fontId="1" fillId="24" borderId="12" xfId="0" applyNumberFormat="1" applyFont="1" applyFill="1" applyBorder="1" applyAlignment="1">
      <alignment horizontal="left" vertical="center"/>
    </xf>
    <xf numFmtId="14" fontId="18" fillId="24" borderId="12" xfId="0" applyNumberFormat="1" applyFont="1" applyFill="1" applyBorder="1" applyAlignment="1">
      <alignment horizontal="left" vertical="center"/>
    </xf>
    <xf numFmtId="0" fontId="18" fillId="26" borderId="12" xfId="0" applyFont="1" applyFill="1" applyBorder="1" applyAlignment="1" applyProtection="1">
      <alignment horizontal="center" vertical="center"/>
      <protection locked="0" hidden="1"/>
    </xf>
    <xf numFmtId="0" fontId="18" fillId="30" borderId="12" xfId="0" applyFont="1" applyFill="1" applyBorder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8" fillId="30" borderId="0" xfId="0" applyFont="1" applyFill="1" applyAlignment="1">
      <alignment horizontal="center"/>
    </xf>
    <xf numFmtId="0" fontId="18" fillId="26" borderId="11" xfId="0" applyFont="1" applyFill="1" applyBorder="1" applyAlignment="1" applyProtection="1">
      <alignment horizontal="center"/>
      <protection locked="0"/>
    </xf>
    <xf numFmtId="0" fontId="18" fillId="0" borderId="11" xfId="0" applyFont="1" applyBorder="1" applyAlignment="1">
      <alignment horizontal="center"/>
    </xf>
    <xf numFmtId="0" fontId="1" fillId="26" borderId="26" xfId="0" applyFont="1" applyFill="1" applyBorder="1" applyAlignment="1" applyProtection="1">
      <alignment horizontal="center"/>
      <protection locked="0"/>
    </xf>
    <xf numFmtId="0" fontId="18" fillId="26" borderId="26" xfId="0" applyFont="1" applyFill="1" applyBorder="1" applyAlignment="1" applyProtection="1">
      <alignment horizontal="center"/>
      <protection locked="0"/>
    </xf>
    <xf numFmtId="0" fontId="18" fillId="26" borderId="27" xfId="0" applyFont="1" applyFill="1" applyBorder="1" applyAlignment="1" applyProtection="1">
      <alignment horizontal="center"/>
      <protection locked="0"/>
    </xf>
    <xf numFmtId="0" fontId="1" fillId="26" borderId="58" xfId="0" applyFont="1" applyFill="1" applyBorder="1" applyAlignment="1" applyProtection="1">
      <alignment horizontal="center" vertical="center"/>
      <protection locked="0" hidden="1"/>
    </xf>
    <xf numFmtId="0" fontId="18" fillId="26" borderId="50" xfId="0" applyFont="1" applyFill="1" applyBorder="1" applyAlignment="1" applyProtection="1">
      <alignment horizontal="center"/>
      <protection locked="0" hidden="1"/>
    </xf>
    <xf numFmtId="0" fontId="18" fillId="26" borderId="45" xfId="0" applyFont="1" applyFill="1" applyBorder="1" applyProtection="1">
      <protection locked="0"/>
    </xf>
    <xf numFmtId="0" fontId="1" fillId="26" borderId="26" xfId="0" applyFont="1" applyFill="1" applyBorder="1" applyAlignment="1" applyProtection="1">
      <alignment horizontal="center" vertical="center"/>
      <protection locked="0" hidden="1"/>
    </xf>
    <xf numFmtId="0" fontId="18" fillId="26" borderId="26" xfId="0" applyFont="1" applyFill="1" applyBorder="1" applyAlignment="1" applyProtection="1">
      <alignment horizontal="center" vertical="center"/>
      <protection locked="0" hidden="1"/>
    </xf>
    <xf numFmtId="0" fontId="18" fillId="26" borderId="26" xfId="0" applyFont="1" applyFill="1" applyBorder="1" applyAlignment="1" applyProtection="1">
      <alignment horizontal="center" vertical="center"/>
      <protection locked="0"/>
    </xf>
    <xf numFmtId="0" fontId="18" fillId="26" borderId="27" xfId="0" applyFont="1" applyFill="1" applyBorder="1" applyAlignment="1" applyProtection="1">
      <alignment horizontal="center" vertical="center"/>
      <protection locked="0"/>
    </xf>
    <xf numFmtId="0" fontId="1" fillId="0" borderId="0" xfId="43"/>
    <xf numFmtId="0" fontId="25" fillId="24" borderId="12" xfId="0" applyFont="1" applyFill="1" applyBorder="1" applyAlignment="1">
      <alignment horizontal="center" vertical="center"/>
    </xf>
    <xf numFmtId="0" fontId="1" fillId="0" borderId="79" xfId="43" applyBorder="1" applyAlignment="1">
      <alignment wrapText="1"/>
    </xf>
    <xf numFmtId="0" fontId="18" fillId="0" borderId="20" xfId="0" applyFont="1" applyBorder="1" applyAlignment="1">
      <alignment horizontal="center"/>
    </xf>
    <xf numFmtId="0" fontId="17" fillId="0" borderId="57" xfId="0" applyFont="1" applyBorder="1" applyAlignment="1" applyProtection="1">
      <alignment horizontal="center" vertical="center"/>
      <protection hidden="1"/>
    </xf>
    <xf numFmtId="0" fontId="17" fillId="24" borderId="80" xfId="0" applyFont="1" applyFill="1" applyBorder="1" applyAlignment="1">
      <alignment horizontal="center" vertical="center"/>
    </xf>
    <xf numFmtId="9" fontId="1" fillId="0" borderId="19" xfId="32" applyBorder="1" applyAlignment="1" applyProtection="1">
      <alignment vertical="center"/>
      <protection hidden="1"/>
    </xf>
    <xf numFmtId="0" fontId="17" fillId="0" borderId="80" xfId="0" applyFont="1" applyBorder="1" applyAlignment="1" applyProtection="1">
      <alignment horizontal="center" vertical="center"/>
      <protection hidden="1"/>
    </xf>
    <xf numFmtId="0" fontId="18" fillId="26" borderId="14" xfId="0" applyFont="1" applyFill="1" applyBorder="1" applyAlignment="1" applyProtection="1">
      <alignment horizontal="center"/>
      <protection locked="0" hidden="1"/>
    </xf>
    <xf numFmtId="0" fontId="17" fillId="0" borderId="51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47" xfId="0" applyFont="1" applyBorder="1" applyAlignment="1">
      <alignment horizontal="center"/>
    </xf>
    <xf numFmtId="167" fontId="18" fillId="26" borderId="12" xfId="0" applyNumberFormat="1" applyFont="1" applyFill="1" applyBorder="1" applyProtection="1">
      <protection locked="0"/>
    </xf>
    <xf numFmtId="170" fontId="18" fillId="24" borderId="26" xfId="0" applyNumberFormat="1" applyFont="1" applyFill="1" applyBorder="1" applyAlignment="1">
      <alignment horizontal="center" vertical="center"/>
    </xf>
    <xf numFmtId="170" fontId="18" fillId="24" borderId="27" xfId="0" applyNumberFormat="1" applyFont="1" applyFill="1" applyBorder="1" applyAlignment="1">
      <alignment horizontal="center" vertical="center"/>
    </xf>
    <xf numFmtId="0" fontId="18" fillId="31" borderId="12" xfId="0" applyFont="1" applyFill="1" applyBorder="1" applyAlignment="1" applyProtection="1">
      <alignment horizontal="left"/>
      <protection hidden="1"/>
    </xf>
    <xf numFmtId="0" fontId="1" fillId="31" borderId="12" xfId="0" applyFont="1" applyFill="1" applyBorder="1" applyProtection="1">
      <protection hidden="1"/>
    </xf>
    <xf numFmtId="0" fontId="18" fillId="31" borderId="12" xfId="0" applyFont="1" applyFill="1" applyBorder="1" applyProtection="1">
      <protection hidden="1"/>
    </xf>
    <xf numFmtId="0" fontId="1" fillId="31" borderId="12" xfId="0" applyFont="1" applyFill="1" applyBorder="1" applyAlignment="1" applyProtection="1">
      <alignment horizontal="left"/>
      <protection hidden="1"/>
    </xf>
    <xf numFmtId="0" fontId="1" fillId="32" borderId="12" xfId="0" applyFont="1" applyFill="1" applyBorder="1" applyAlignment="1" applyProtection="1">
      <alignment horizontal="left"/>
      <protection hidden="1"/>
    </xf>
    <xf numFmtId="0" fontId="1" fillId="32" borderId="12" xfId="0" applyFont="1" applyFill="1" applyBorder="1" applyProtection="1">
      <protection hidden="1"/>
    </xf>
    <xf numFmtId="0" fontId="1" fillId="26" borderId="12" xfId="0" applyFont="1" applyFill="1" applyBorder="1" applyAlignment="1" applyProtection="1">
      <alignment horizontal="center"/>
      <protection locked="0"/>
    </xf>
    <xf numFmtId="0" fontId="26" fillId="0" borderId="0" xfId="0" applyFont="1" applyAlignment="1">
      <alignment horizontal="left" vertical="center"/>
    </xf>
    <xf numFmtId="0" fontId="17" fillId="0" borderId="58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55" xfId="0" applyFont="1" applyBorder="1" applyAlignment="1" applyProtection="1">
      <alignment horizontal="center" vertical="center"/>
      <protection hidden="1"/>
    </xf>
    <xf numFmtId="0" fontId="17" fillId="0" borderId="23" xfId="0" applyFont="1" applyBorder="1" applyAlignment="1" applyProtection="1">
      <alignment horizontal="center" vertical="center"/>
      <protection hidden="1"/>
    </xf>
    <xf numFmtId="0" fontId="17" fillId="0" borderId="47" xfId="0" applyFont="1" applyBorder="1" applyAlignment="1" applyProtection="1">
      <alignment horizontal="center" vertical="center" wrapText="1"/>
      <protection hidden="1"/>
    </xf>
    <xf numFmtId="0" fontId="17" fillId="0" borderId="61" xfId="0" applyFont="1" applyBorder="1" applyAlignment="1" applyProtection="1">
      <alignment horizontal="center" vertical="center" wrapText="1"/>
      <protection hidden="1"/>
    </xf>
    <xf numFmtId="0" fontId="17" fillId="0" borderId="29" xfId="0" applyFont="1" applyBorder="1" applyAlignment="1" applyProtection="1">
      <alignment horizontal="center" vertical="center" wrapText="1"/>
      <protection hidden="1"/>
    </xf>
    <xf numFmtId="0" fontId="17" fillId="0" borderId="60" xfId="0" applyFont="1" applyBorder="1" applyAlignment="1" applyProtection="1">
      <alignment horizontal="center" vertical="center" wrapText="1"/>
      <protection hidden="1"/>
    </xf>
    <xf numFmtId="0" fontId="17" fillId="0" borderId="41" xfId="0" applyFont="1" applyBorder="1" applyAlignment="1">
      <alignment horizontal="center" vertical="center"/>
    </xf>
    <xf numFmtId="0" fontId="17" fillId="0" borderId="53" xfId="0" applyFont="1" applyBorder="1" applyAlignment="1">
      <alignment horizontal="center" vertical="center"/>
    </xf>
    <xf numFmtId="0" fontId="17" fillId="0" borderId="28" xfId="0" applyFont="1" applyBorder="1" applyAlignment="1" applyProtection="1">
      <alignment horizontal="center" vertical="center"/>
      <protection hidden="1"/>
    </xf>
    <xf numFmtId="0" fontId="17" fillId="0" borderId="50" xfId="0" applyFont="1" applyBorder="1" applyAlignment="1" applyProtection="1">
      <alignment horizontal="center" vertical="center"/>
      <protection hidden="1"/>
    </xf>
    <xf numFmtId="0" fontId="17" fillId="0" borderId="37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54" xfId="0" applyFont="1" applyBorder="1" applyAlignment="1">
      <alignment horizontal="center" vertical="center"/>
    </xf>
    <xf numFmtId="0" fontId="18" fillId="24" borderId="18" xfId="0" applyFont="1" applyFill="1" applyBorder="1" applyAlignment="1">
      <alignment horizontal="left" vertical="center"/>
    </xf>
    <xf numFmtId="0" fontId="18" fillId="24" borderId="13" xfId="0" applyFont="1" applyFill="1" applyBorder="1" applyAlignment="1">
      <alignment horizontal="left" vertical="center"/>
    </xf>
    <xf numFmtId="0" fontId="18" fillId="24" borderId="14" xfId="0" applyFont="1" applyFill="1" applyBorder="1" applyAlignment="1">
      <alignment horizontal="left" vertical="center"/>
    </xf>
    <xf numFmtId="0" fontId="18" fillId="24" borderId="12" xfId="0" applyFont="1" applyFill="1" applyBorder="1" applyAlignment="1">
      <alignment horizontal="left" vertical="center"/>
    </xf>
    <xf numFmtId="0" fontId="17" fillId="0" borderId="43" xfId="0" applyFont="1" applyBorder="1" applyAlignment="1" applyProtection="1">
      <alignment horizontal="center" vertical="center"/>
      <protection hidden="1"/>
    </xf>
    <xf numFmtId="0" fontId="17" fillId="0" borderId="56" xfId="0" applyFont="1" applyBorder="1" applyAlignment="1" applyProtection="1">
      <alignment horizontal="center" vertical="center"/>
      <protection hidden="1"/>
    </xf>
    <xf numFmtId="0" fontId="17" fillId="0" borderId="50" xfId="0" applyFont="1" applyBorder="1" applyAlignment="1">
      <alignment horizontal="center" vertical="center" wrapText="1"/>
    </xf>
    <xf numFmtId="0" fontId="17" fillId="0" borderId="62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57" xfId="0" applyFont="1" applyBorder="1" applyAlignment="1">
      <alignment horizontal="center" vertical="center" wrapText="1"/>
    </xf>
    <xf numFmtId="0" fontId="1" fillId="24" borderId="12" xfId="0" applyFont="1" applyFill="1" applyBorder="1" applyAlignment="1">
      <alignment horizontal="left" vertical="center"/>
    </xf>
    <xf numFmtId="0" fontId="17" fillId="0" borderId="4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7" fillId="0" borderId="45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/>
    </xf>
    <xf numFmtId="0" fontId="17" fillId="0" borderId="38" xfId="0" applyFont="1" applyBorder="1" applyAlignment="1">
      <alignment horizontal="center"/>
    </xf>
    <xf numFmtId="0" fontId="17" fillId="0" borderId="54" xfId="0" applyFont="1" applyBorder="1" applyAlignment="1">
      <alignment horizontal="center"/>
    </xf>
    <xf numFmtId="0" fontId="17" fillId="0" borderId="22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 wrapText="1"/>
    </xf>
    <xf numFmtId="0" fontId="17" fillId="0" borderId="44" xfId="0" applyFont="1" applyBorder="1" applyAlignment="1">
      <alignment horizontal="center" vertical="center" wrapText="1"/>
    </xf>
    <xf numFmtId="0" fontId="24" fillId="24" borderId="12" xfId="0" applyFont="1" applyFill="1" applyBorder="1" applyAlignment="1">
      <alignment horizontal="center" vertical="center" wrapText="1"/>
    </xf>
    <xf numFmtId="0" fontId="17" fillId="0" borderId="29" xfId="0" applyFont="1" applyBorder="1" applyAlignment="1">
      <alignment horizontal="center" vertical="center"/>
    </xf>
    <xf numFmtId="0" fontId="17" fillId="0" borderId="60" xfId="0" applyFont="1" applyBorder="1" applyAlignment="1">
      <alignment horizontal="center" vertical="center"/>
    </xf>
    <xf numFmtId="0" fontId="17" fillId="0" borderId="47" xfId="0" applyFont="1" applyBorder="1" applyAlignment="1">
      <alignment horizontal="center" vertical="center"/>
    </xf>
    <xf numFmtId="0" fontId="17" fillId="0" borderId="61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59" xfId="0" applyFont="1" applyBorder="1" applyAlignment="1">
      <alignment horizontal="center" vertical="center"/>
    </xf>
    <xf numFmtId="0" fontId="17" fillId="0" borderId="47" xfId="0" applyFont="1" applyBorder="1" applyAlignment="1">
      <alignment horizontal="center" vertical="center" wrapText="1"/>
    </xf>
    <xf numFmtId="0" fontId="17" fillId="0" borderId="61" xfId="0" applyFont="1" applyBorder="1" applyAlignment="1">
      <alignment horizontal="center" vertical="center" wrapText="1"/>
    </xf>
    <xf numFmtId="0" fontId="17" fillId="0" borderId="29" xfId="0" applyFont="1" applyBorder="1" applyAlignment="1">
      <alignment horizontal="center" vertical="center" wrapText="1"/>
    </xf>
    <xf numFmtId="0" fontId="17" fillId="0" borderId="60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14" fontId="18" fillId="24" borderId="18" xfId="0" applyNumberFormat="1" applyFont="1" applyFill="1" applyBorder="1" applyAlignment="1">
      <alignment horizontal="left" vertical="center"/>
    </xf>
    <xf numFmtId="0" fontId="17" fillId="0" borderId="41" xfId="0" applyFont="1" applyBorder="1" applyAlignment="1" applyProtection="1">
      <alignment horizontal="center" vertical="center"/>
      <protection hidden="1"/>
    </xf>
    <xf numFmtId="0" fontId="17" fillId="0" borderId="53" xfId="0" applyFont="1" applyBorder="1" applyAlignment="1" applyProtection="1">
      <alignment horizontal="center" vertical="center"/>
      <protection hidden="1"/>
    </xf>
    <xf numFmtId="0" fontId="17" fillId="0" borderId="51" xfId="0" applyFont="1" applyBorder="1" applyAlignment="1">
      <alignment horizontal="center" vertical="center" wrapText="1"/>
    </xf>
    <xf numFmtId="0" fontId="17" fillId="0" borderId="78" xfId="0" applyFont="1" applyBorder="1" applyAlignment="1">
      <alignment horizontal="center" vertical="center" wrapText="1"/>
    </xf>
    <xf numFmtId="0" fontId="17" fillId="0" borderId="11" xfId="0" applyFont="1" applyBorder="1" applyAlignment="1" applyProtection="1">
      <alignment horizontal="center" vertical="center"/>
      <protection hidden="1"/>
    </xf>
    <xf numFmtId="0" fontId="1" fillId="0" borderId="12" xfId="0" applyFont="1" applyBorder="1" applyAlignment="1" applyProtection="1">
      <alignment horizontal="center"/>
      <protection hidden="1"/>
    </xf>
    <xf numFmtId="0" fontId="18" fillId="0" borderId="12" xfId="0" applyFont="1" applyBorder="1" applyAlignment="1" applyProtection="1">
      <alignment horizontal="center"/>
      <protection hidden="1"/>
    </xf>
    <xf numFmtId="0" fontId="1" fillId="0" borderId="18" xfId="0" applyFont="1" applyBorder="1" applyAlignment="1" applyProtection="1">
      <alignment horizontal="center"/>
      <protection hidden="1"/>
    </xf>
    <xf numFmtId="0" fontId="1" fillId="0" borderId="13" xfId="0" applyFont="1" applyBorder="1" applyAlignment="1" applyProtection="1">
      <alignment horizontal="center"/>
      <protection hidden="1"/>
    </xf>
    <xf numFmtId="0" fontId="1" fillId="0" borderId="14" xfId="0" applyFont="1" applyBorder="1" applyAlignment="1" applyProtection="1">
      <alignment horizontal="center"/>
      <protection hidden="1"/>
    </xf>
    <xf numFmtId="0" fontId="17" fillId="29" borderId="49" xfId="0" applyFont="1" applyFill="1" applyBorder="1" applyAlignment="1" applyProtection="1">
      <alignment horizontal="center" vertical="center" wrapText="1"/>
      <protection hidden="1"/>
    </xf>
    <xf numFmtId="0" fontId="17" fillId="29" borderId="71" xfId="0" applyFont="1" applyFill="1" applyBorder="1" applyAlignment="1" applyProtection="1">
      <alignment horizontal="center" vertical="center" wrapText="1"/>
      <protection hidden="1"/>
    </xf>
    <xf numFmtId="0" fontId="17" fillId="29" borderId="72" xfId="0" applyFont="1" applyFill="1" applyBorder="1" applyAlignment="1" applyProtection="1">
      <alignment horizontal="center" vertical="center" wrapText="1"/>
      <protection hidden="1"/>
    </xf>
    <xf numFmtId="0" fontId="17" fillId="29" borderId="73" xfId="0" applyFont="1" applyFill="1" applyBorder="1" applyAlignment="1" applyProtection="1">
      <alignment horizontal="center" vertical="center" wrapText="1"/>
      <protection hidden="1"/>
    </xf>
    <xf numFmtId="0" fontId="17" fillId="29" borderId="12" xfId="0" applyFont="1" applyFill="1" applyBorder="1" applyAlignment="1" applyProtection="1">
      <alignment horizontal="center"/>
      <protection hidden="1"/>
    </xf>
    <xf numFmtId="0" fontId="18" fillId="24" borderId="15" xfId="0" applyFont="1" applyFill="1" applyBorder="1" applyAlignment="1">
      <alignment horizontal="left" vertical="center"/>
    </xf>
    <xf numFmtId="0" fontId="17" fillId="0" borderId="45" xfId="0" applyFont="1" applyBorder="1" applyAlignment="1" applyProtection="1">
      <alignment horizontal="center" vertical="center"/>
      <protection hidden="1"/>
    </xf>
    <xf numFmtId="0" fontId="17" fillId="0" borderId="63" xfId="0" applyFont="1" applyBorder="1" applyAlignment="1" applyProtection="1">
      <alignment horizontal="center" vertical="center"/>
      <protection hidden="1"/>
    </xf>
    <xf numFmtId="0" fontId="17" fillId="0" borderId="62" xfId="0" applyFont="1" applyBorder="1" applyAlignment="1" applyProtection="1">
      <alignment horizontal="center" vertical="center"/>
      <protection hidden="1"/>
    </xf>
    <xf numFmtId="0" fontId="17" fillId="0" borderId="57" xfId="0" applyFont="1" applyBorder="1" applyAlignment="1" applyProtection="1">
      <alignment horizontal="center" vertical="center"/>
      <protection hidden="1"/>
    </xf>
    <xf numFmtId="0" fontId="1" fillId="0" borderId="12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1" fillId="29" borderId="12" xfId="0" applyFont="1" applyFill="1" applyBorder="1" applyAlignment="1">
      <alignment horizontal="center" vertical="center"/>
    </xf>
    <xf numFmtId="0" fontId="17" fillId="0" borderId="37" xfId="0" applyFont="1" applyBorder="1" applyAlignment="1">
      <alignment horizontal="center" wrapText="1"/>
    </xf>
    <xf numFmtId="0" fontId="17" fillId="0" borderId="38" xfId="0" applyFont="1" applyBorder="1" applyAlignment="1">
      <alignment horizontal="center" wrapText="1"/>
    </xf>
    <xf numFmtId="0" fontId="17" fillId="0" borderId="54" xfId="0" applyFont="1" applyBorder="1" applyAlignment="1">
      <alignment horizontal="center" wrapText="1"/>
    </xf>
    <xf numFmtId="0" fontId="17" fillId="0" borderId="52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0" fontId="17" fillId="0" borderId="77" xfId="0" applyFont="1" applyBorder="1" applyAlignment="1">
      <alignment horizontal="center" vertical="center"/>
    </xf>
    <xf numFmtId="0" fontId="17" fillId="0" borderId="78" xfId="0" applyFont="1" applyBorder="1" applyAlignment="1">
      <alignment horizontal="center" vertical="center"/>
    </xf>
    <xf numFmtId="0" fontId="17" fillId="29" borderId="49" xfId="0" applyFont="1" applyFill="1" applyBorder="1" applyAlignment="1">
      <alignment horizontal="center" vertical="center" wrapText="1"/>
    </xf>
    <xf numFmtId="0" fontId="17" fillId="29" borderId="71" xfId="0" applyFont="1" applyFill="1" applyBorder="1" applyAlignment="1">
      <alignment horizontal="center" vertical="center" wrapText="1"/>
    </xf>
    <xf numFmtId="0" fontId="17" fillId="29" borderId="75" xfId="0" applyFont="1" applyFill="1" applyBorder="1" applyAlignment="1">
      <alignment horizontal="center" vertical="center" wrapText="1"/>
    </xf>
    <xf numFmtId="0" fontId="17" fillId="29" borderId="74" xfId="0" applyFont="1" applyFill="1" applyBorder="1" applyAlignment="1">
      <alignment horizontal="center" vertical="center" wrapText="1"/>
    </xf>
    <xf numFmtId="0" fontId="18" fillId="26" borderId="12" xfId="0" applyFont="1" applyFill="1" applyBorder="1" applyAlignment="1">
      <alignment horizontal="left" vertical="center"/>
    </xf>
    <xf numFmtId="0" fontId="18" fillId="26" borderId="18" xfId="0" applyFont="1" applyFill="1" applyBorder="1" applyAlignment="1">
      <alignment horizontal="left" vertical="center"/>
    </xf>
    <xf numFmtId="0" fontId="18" fillId="26" borderId="13" xfId="0" applyFont="1" applyFill="1" applyBorder="1" applyAlignment="1">
      <alignment horizontal="left" vertical="center"/>
    </xf>
    <xf numFmtId="0" fontId="18" fillId="26" borderId="14" xfId="0" applyFont="1" applyFill="1" applyBorder="1" applyAlignment="1">
      <alignment horizontal="left" vertical="center"/>
    </xf>
    <xf numFmtId="0" fontId="17" fillId="29" borderId="43" xfId="0" applyFont="1" applyFill="1" applyBorder="1" applyAlignment="1">
      <alignment horizontal="center" vertical="center"/>
    </xf>
    <xf numFmtId="0" fontId="17" fillId="29" borderId="56" xfId="0" applyFont="1" applyFill="1" applyBorder="1" applyAlignment="1">
      <alignment horizontal="center" vertical="center"/>
    </xf>
    <xf numFmtId="0" fontId="18" fillId="26" borderId="12" xfId="0" applyFont="1" applyFill="1" applyBorder="1" applyAlignment="1">
      <alignment horizontal="left"/>
    </xf>
    <xf numFmtId="0" fontId="18" fillId="26" borderId="12" xfId="0" applyFont="1" applyFill="1" applyBorder="1" applyAlignment="1">
      <alignment horizontal="center"/>
    </xf>
    <xf numFmtId="0" fontId="17" fillId="0" borderId="63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62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17" fillId="0" borderId="56" xfId="0" applyFont="1" applyBorder="1" applyAlignment="1">
      <alignment horizontal="center" vertical="center"/>
    </xf>
    <xf numFmtId="0" fontId="17" fillId="0" borderId="81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/>
    </xf>
    <xf numFmtId="0" fontId="17" fillId="0" borderId="42" xfId="0" applyFont="1" applyBorder="1" applyAlignment="1">
      <alignment horizontal="center"/>
    </xf>
    <xf numFmtId="0" fontId="17" fillId="0" borderId="51" xfId="0" applyFont="1" applyBorder="1" applyAlignment="1">
      <alignment horizontal="center"/>
    </xf>
    <xf numFmtId="0" fontId="18" fillId="0" borderId="12" xfId="0" applyFont="1" applyBorder="1" applyAlignment="1">
      <alignment horizontal="left" vertical="center"/>
    </xf>
    <xf numFmtId="0" fontId="17" fillId="0" borderId="18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0" borderId="18" xfId="0" applyFont="1" applyBorder="1" applyAlignment="1">
      <alignment horizontal="left" vertical="center"/>
    </xf>
    <xf numFmtId="0" fontId="18" fillId="0" borderId="13" xfId="0" applyFont="1" applyBorder="1" applyAlignment="1">
      <alignment horizontal="left" vertical="center"/>
    </xf>
    <xf numFmtId="0" fontId="18" fillId="0" borderId="14" xfId="0" applyFont="1" applyBorder="1" applyAlignment="1">
      <alignment horizontal="left" vertical="center"/>
    </xf>
    <xf numFmtId="0" fontId="18" fillId="26" borderId="67" xfId="0" applyFont="1" applyFill="1" applyBorder="1" applyAlignment="1">
      <alignment horizontal="left" vertical="center"/>
    </xf>
    <xf numFmtId="0" fontId="18" fillId="26" borderId="69" xfId="0" applyFont="1" applyFill="1" applyBorder="1" applyAlignment="1">
      <alignment horizontal="left" vertical="center" wrapText="1"/>
    </xf>
    <xf numFmtId="0" fontId="18" fillId="26" borderId="76" xfId="0" applyFont="1" applyFill="1" applyBorder="1" applyAlignment="1">
      <alignment horizontal="left" vertical="center" wrapText="1"/>
    </xf>
    <xf numFmtId="0" fontId="18" fillId="26" borderId="36" xfId="0" applyFont="1" applyFill="1" applyBorder="1" applyAlignment="1">
      <alignment horizontal="left" vertical="center" wrapText="1"/>
    </xf>
  </cellXfs>
  <cellStyles count="44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Euro" xfId="30" xr:uid="{00000000-0005-0000-0000-00001D000000}"/>
    <cellStyle name="Normal" xfId="0" builtinId="0"/>
    <cellStyle name="Normal 2" xfId="43" xr:uid="{00000000-0005-0000-0000-00001F000000}"/>
    <cellStyle name="Nota" xfId="31" builtinId="10" customBuiltin="1"/>
    <cellStyle name="Porcentagem" xfId="32" builtinId="5"/>
    <cellStyle name="Saída" xfId="33" builtinId="21" customBuiltin="1"/>
    <cellStyle name="Texto de Aviso" xfId="34" builtinId="11" customBuiltin="1"/>
    <cellStyle name="Texto Explicativo" xfId="35" builtinId="53" customBuiltin="1"/>
    <cellStyle name="Título" xfId="36" builtinId="15" customBuiltin="1"/>
    <cellStyle name="Título 1" xfId="37" builtinId="16" customBuiltin="1"/>
    <cellStyle name="Título 2" xfId="38" builtinId="17" customBuiltin="1"/>
    <cellStyle name="Título 3" xfId="39" builtinId="18" customBuiltin="1"/>
    <cellStyle name="Título 4" xfId="40" builtinId="19" customBuiltin="1"/>
    <cellStyle name="Total" xfId="41" builtinId="25" customBuiltin="1"/>
    <cellStyle name="Vírgula" xfId="42" builtinId="3"/>
  </cellStyles>
  <dxfs count="7">
    <dxf>
      <fill>
        <patternFill>
          <bgColor rgb="FF81FB90"/>
        </patternFill>
      </fill>
    </dxf>
    <dxf>
      <fill>
        <patternFill>
          <bgColor rgb="FFFF8F8F"/>
        </patternFill>
      </fill>
    </dxf>
    <dxf>
      <fill>
        <patternFill>
          <bgColor rgb="FF81FB90"/>
        </patternFill>
      </fill>
    </dxf>
    <dxf>
      <fill>
        <patternFill>
          <bgColor rgb="FFFF8F8F"/>
        </patternFill>
      </fill>
    </dxf>
    <dxf>
      <fill>
        <patternFill>
          <bgColor rgb="FF9BE5FF"/>
        </patternFill>
      </fill>
    </dxf>
    <dxf>
      <font>
        <color rgb="FF00B050"/>
      </font>
    </dxf>
    <dxf>
      <font>
        <color rgb="FF00B050"/>
      </font>
    </dxf>
  </dxfs>
  <tableStyles count="0" defaultTableStyle="TableStyleMedium9" defaultPivotStyle="PivotStyleLight16"/>
  <colors>
    <mruColors>
      <color rgb="FF81FB90"/>
      <color rgb="FF9BE5FF"/>
      <color rgb="FF9A9CFC"/>
      <color rgb="FFFF8F8F"/>
      <color rgb="FFFFBDBD"/>
      <color rgb="FF7DDDFF"/>
      <color rgb="FFFB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1</xdr:row>
          <xdr:rowOff>161925</xdr:rowOff>
        </xdr:from>
        <xdr:to>
          <xdr:col>9</xdr:col>
          <xdr:colOff>1314450</xdr:colOff>
          <xdr:row>3</xdr:row>
          <xdr:rowOff>161925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107156</xdr:colOff>
      <xdr:row>10</xdr:row>
      <xdr:rowOff>35718</xdr:rowOff>
    </xdr:from>
    <xdr:to>
      <xdr:col>33</xdr:col>
      <xdr:colOff>83343</xdr:colOff>
      <xdr:row>23</xdr:row>
      <xdr:rowOff>107156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3479125" y="1821656"/>
          <a:ext cx="4833937" cy="22383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>
              <a:solidFill>
                <a:srgbClr val="FF0000"/>
              </a:solidFill>
            </a:rPr>
            <a:t>***CRITÉRIO</a:t>
          </a:r>
          <a:r>
            <a:rPr lang="pt-BR" sz="1400" b="1" baseline="0">
              <a:solidFill>
                <a:srgbClr val="FF0000"/>
              </a:solidFill>
            </a:rPr>
            <a:t>S PARA PAINÉIS ENTERRADOS***</a:t>
          </a:r>
        </a:p>
        <a:p>
          <a:endParaRPr lang="pt-BR" sz="1400" baseline="0">
            <a:solidFill>
              <a:srgbClr val="FF0000"/>
            </a:solidFill>
          </a:endParaRPr>
        </a:p>
        <a:p>
          <a:r>
            <a:rPr lang="pt-BR" sz="1400" b="1" baseline="0">
              <a:solidFill>
                <a:srgbClr val="FF0000"/>
              </a:solidFill>
            </a:rPr>
            <a:t>SUPERMERCADOS: </a:t>
          </a:r>
          <a:r>
            <a:rPr lang="pt-BR" sz="1400" baseline="0">
              <a:solidFill>
                <a:srgbClr val="FF0000"/>
              </a:solidFill>
            </a:rPr>
            <a:t>1/2 Teto + PDL + 25 cm</a:t>
          </a:r>
        </a:p>
        <a:p>
          <a:endParaRPr lang="pt-BR" sz="1400" baseline="0">
            <a:solidFill>
              <a:srgbClr val="FF0000"/>
            </a:solidFill>
          </a:endParaRPr>
        </a:p>
        <a:p>
          <a:r>
            <a:rPr lang="pt-BR" sz="1400" b="1" baseline="0">
              <a:solidFill>
                <a:srgbClr val="FF0000"/>
              </a:solidFill>
            </a:rPr>
            <a:t>CENTROS DE DISTRIBUIÇÃO (CD):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aseline="0">
              <a:solidFill>
                <a:srgbClr val="FF0000"/>
              </a:solidFill>
            </a:rPr>
            <a:t>	- Até 7,0m de PDL: </a:t>
          </a:r>
          <a:r>
            <a:rPr lang="pt-BR" sz="14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1/2 Teto + PDL + 30 cm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	- Mais de 7,0m de PDL: 1/2 Teto + PDL + 35 cm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40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**Caso o cliente informe algo diferente deve-se analisar**</a:t>
          </a:r>
          <a:endParaRPr lang="pt-BR" sz="1400" b="1">
            <a:solidFill>
              <a:srgbClr val="00B05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0</xdr:rowOff>
        </xdr:from>
        <xdr:to>
          <xdr:col>10</xdr:col>
          <xdr:colOff>723900</xdr:colOff>
          <xdr:row>3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190500</xdr:colOff>
      <xdr:row>9</xdr:row>
      <xdr:rowOff>83344</xdr:rowOff>
    </xdr:from>
    <xdr:to>
      <xdr:col>9</xdr:col>
      <xdr:colOff>416719</xdr:colOff>
      <xdr:row>22</xdr:row>
      <xdr:rowOff>154782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881313" y="1583532"/>
          <a:ext cx="4714875" cy="2238375"/>
        </a:xfrm>
        <a:prstGeom prst="rect">
          <a:avLst/>
        </a:prstGeom>
        <a:solidFill>
          <a:srgbClr val="FB9393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***CRITÉRIO</a:t>
          </a:r>
          <a:r>
            <a:rPr lang="pt-BR" sz="1400" b="1" baseline="0">
              <a:solidFill>
                <a:sysClr val="windowText" lastClr="000000"/>
              </a:solidFill>
            </a:rPr>
            <a:t>S PARA PAINÉIS ENTERRADOS***</a:t>
          </a:r>
        </a:p>
        <a:p>
          <a:endParaRPr lang="pt-BR" sz="1400" baseline="0">
            <a:solidFill>
              <a:sysClr val="windowText" lastClr="000000"/>
            </a:solidFill>
          </a:endParaRPr>
        </a:p>
        <a:p>
          <a:r>
            <a:rPr lang="pt-BR" sz="1400" b="1" baseline="0">
              <a:solidFill>
                <a:sysClr val="windowText" lastClr="000000"/>
              </a:solidFill>
            </a:rPr>
            <a:t>SUPERMERCADOS: </a:t>
          </a:r>
          <a:r>
            <a:rPr lang="pt-BR" sz="1400" baseline="0">
              <a:solidFill>
                <a:sysClr val="windowText" lastClr="000000"/>
              </a:solidFill>
            </a:rPr>
            <a:t>1/2 Teto + PDL + 25 cm</a:t>
          </a:r>
        </a:p>
        <a:p>
          <a:endParaRPr lang="pt-BR" sz="1400" baseline="0">
            <a:solidFill>
              <a:sysClr val="windowText" lastClr="000000"/>
            </a:solidFill>
          </a:endParaRPr>
        </a:p>
        <a:p>
          <a:r>
            <a:rPr lang="pt-BR" sz="1400" b="1" baseline="0">
              <a:solidFill>
                <a:sysClr val="windowText" lastClr="000000"/>
              </a:solidFill>
            </a:rPr>
            <a:t>CENTROS DE DISTRIBUIÇÃO (CD) ou CÂMARAS ALTAS: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aseline="0">
              <a:solidFill>
                <a:sysClr val="windowText" lastClr="000000"/>
              </a:solidFill>
            </a:rPr>
            <a:t>	- Até 7,0m de PDL: </a:t>
          </a:r>
          <a:r>
            <a:rPr lang="pt-BR" sz="14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1/2 Teto + PDL + 30 cm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	- Mais de 7,0m de PDL: 1/2 Teto + PDL + 35 cm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400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**Caso o cliente informe algo diferente deve-se analisar**</a:t>
          </a:r>
          <a:endParaRPr lang="pt-BR" sz="1400" b="1">
            <a:solidFill>
              <a:srgbClr val="FF0000"/>
            </a:solidFill>
            <a:effectLst/>
          </a:endParaRPr>
        </a:p>
      </xdr:txBody>
    </xdr:sp>
    <xdr:clientData/>
  </xdr:twoCellAnchor>
  <xdr:twoCellAnchor editAs="oneCell">
    <xdr:from>
      <xdr:col>18</xdr:col>
      <xdr:colOff>0</xdr:colOff>
      <xdr:row>217</xdr:row>
      <xdr:rowOff>0</xdr:rowOff>
    </xdr:from>
    <xdr:to>
      <xdr:col>18</xdr:col>
      <xdr:colOff>304800</xdr:colOff>
      <xdr:row>218</xdr:row>
      <xdr:rowOff>142875</xdr:rowOff>
    </xdr:to>
    <xdr:sp macro="" textlink="">
      <xdr:nvSpPr>
        <xdr:cNvPr id="1028" name="AutoShape 4">
          <a:extLst>
            <a:ext uri="{FF2B5EF4-FFF2-40B4-BE49-F238E27FC236}">
              <a16:creationId xmlns:a16="http://schemas.microsoft.com/office/drawing/2014/main" id="{5914AFF5-D5DC-879F-6ED8-120154E6D81F}"/>
            </a:ext>
          </a:extLst>
        </xdr:cNvPr>
        <xdr:cNvSpPr>
          <a:spLocks noChangeAspect="1" noChangeArrowheads="1"/>
        </xdr:cNvSpPr>
      </xdr:nvSpPr>
      <xdr:spPr bwMode="auto">
        <a:xfrm>
          <a:off x="16049625" y="3519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642936</xdr:colOff>
      <xdr:row>213</xdr:row>
      <xdr:rowOff>-1</xdr:rowOff>
    </xdr:from>
    <xdr:to>
      <xdr:col>28</xdr:col>
      <xdr:colOff>456066</xdr:colOff>
      <xdr:row>242</xdr:row>
      <xdr:rowOff>166686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F5144BC-50D2-2388-9629-05CDA96A1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3061" y="35504437"/>
          <a:ext cx="9492911" cy="50006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152400</xdr:rowOff>
        </xdr:from>
        <xdr:to>
          <xdr:col>11</xdr:col>
          <xdr:colOff>638175</xdr:colOff>
          <xdr:row>3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285750</xdr:colOff>
      <xdr:row>2</xdr:row>
      <xdr:rowOff>71436</xdr:rowOff>
    </xdr:from>
    <xdr:to>
      <xdr:col>73</xdr:col>
      <xdr:colOff>297656</xdr:colOff>
      <xdr:row>6</xdr:row>
      <xdr:rowOff>42861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0620375" y="404811"/>
          <a:ext cx="3048000" cy="638175"/>
        </a:xfrm>
        <a:prstGeom prst="rect">
          <a:avLst/>
        </a:prstGeom>
        <a:solidFill>
          <a:srgbClr val="FB9393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>
              <a:solidFill>
                <a:sysClr val="windowText" lastClr="000000"/>
              </a:solidFill>
            </a:rPr>
            <a:t>PVVs</a:t>
          </a:r>
          <a:r>
            <a:rPr lang="pt-BR" sz="1600" b="1" baseline="0">
              <a:solidFill>
                <a:sysClr val="windowText" lastClr="000000"/>
              </a:solidFill>
            </a:rPr>
            <a:t> rígidas: </a:t>
          </a:r>
          <a:r>
            <a:rPr lang="pt-BR" sz="1600" baseline="0">
              <a:solidFill>
                <a:sysClr val="windowText" lastClr="000000"/>
              </a:solidFill>
            </a:rPr>
            <a:t>largura mínima para portas 02 folhas 1,40m</a:t>
          </a:r>
          <a:endParaRPr lang="pt-BR" sz="16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85725</xdr:rowOff>
        </xdr:from>
        <xdr:to>
          <xdr:col>6</xdr:col>
          <xdr:colOff>533400</xdr:colOff>
          <xdr:row>2</xdr:row>
          <xdr:rowOff>85725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85725</xdr:rowOff>
        </xdr:from>
        <xdr:to>
          <xdr:col>11</xdr:col>
          <xdr:colOff>0</xdr:colOff>
          <xdr:row>2</xdr:row>
          <xdr:rowOff>85725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Criar Resumo Ordenado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2"/>
  <dimension ref="A1:A72"/>
  <sheetViews>
    <sheetView showGridLines="0" zoomScale="70" zoomScaleNormal="70" workbookViewId="0">
      <selection activeCell="A7" sqref="A7"/>
    </sheetView>
  </sheetViews>
  <sheetFormatPr defaultRowHeight="12.75" x14ac:dyDescent="0.2"/>
  <cols>
    <col min="1" max="1" width="100.42578125" style="269" customWidth="1"/>
    <col min="2" max="256" width="9.140625" style="269"/>
    <col min="257" max="257" width="100.42578125" style="269" customWidth="1"/>
    <col min="258" max="512" width="9.140625" style="269"/>
    <col min="513" max="513" width="100.42578125" style="269" customWidth="1"/>
    <col min="514" max="768" width="9.140625" style="269"/>
    <col min="769" max="769" width="100.42578125" style="269" customWidth="1"/>
    <col min="770" max="1024" width="9.140625" style="269"/>
    <col min="1025" max="1025" width="100.42578125" style="269" customWidth="1"/>
    <col min="1026" max="1280" width="9.140625" style="269"/>
    <col min="1281" max="1281" width="100.42578125" style="269" customWidth="1"/>
    <col min="1282" max="1536" width="9.140625" style="269"/>
    <col min="1537" max="1537" width="100.42578125" style="269" customWidth="1"/>
    <col min="1538" max="1792" width="9.140625" style="269"/>
    <col min="1793" max="1793" width="100.42578125" style="269" customWidth="1"/>
    <col min="1794" max="2048" width="9.140625" style="269"/>
    <col min="2049" max="2049" width="100.42578125" style="269" customWidth="1"/>
    <col min="2050" max="2304" width="9.140625" style="269"/>
    <col min="2305" max="2305" width="100.42578125" style="269" customWidth="1"/>
    <col min="2306" max="2560" width="9.140625" style="269"/>
    <col min="2561" max="2561" width="100.42578125" style="269" customWidth="1"/>
    <col min="2562" max="2816" width="9.140625" style="269"/>
    <col min="2817" max="2817" width="100.42578125" style="269" customWidth="1"/>
    <col min="2818" max="3072" width="9.140625" style="269"/>
    <col min="3073" max="3073" width="100.42578125" style="269" customWidth="1"/>
    <col min="3074" max="3328" width="9.140625" style="269"/>
    <col min="3329" max="3329" width="100.42578125" style="269" customWidth="1"/>
    <col min="3330" max="3584" width="9.140625" style="269"/>
    <col min="3585" max="3585" width="100.42578125" style="269" customWidth="1"/>
    <col min="3586" max="3840" width="9.140625" style="269"/>
    <col min="3841" max="3841" width="100.42578125" style="269" customWidth="1"/>
    <col min="3842" max="4096" width="9.140625" style="269"/>
    <col min="4097" max="4097" width="100.42578125" style="269" customWidth="1"/>
    <col min="4098" max="4352" width="9.140625" style="269"/>
    <col min="4353" max="4353" width="100.42578125" style="269" customWidth="1"/>
    <col min="4354" max="4608" width="9.140625" style="269"/>
    <col min="4609" max="4609" width="100.42578125" style="269" customWidth="1"/>
    <col min="4610" max="4864" width="9.140625" style="269"/>
    <col min="4865" max="4865" width="100.42578125" style="269" customWidth="1"/>
    <col min="4866" max="5120" width="9.140625" style="269"/>
    <col min="5121" max="5121" width="100.42578125" style="269" customWidth="1"/>
    <col min="5122" max="5376" width="9.140625" style="269"/>
    <col min="5377" max="5377" width="100.42578125" style="269" customWidth="1"/>
    <col min="5378" max="5632" width="9.140625" style="269"/>
    <col min="5633" max="5633" width="100.42578125" style="269" customWidth="1"/>
    <col min="5634" max="5888" width="9.140625" style="269"/>
    <col min="5889" max="5889" width="100.42578125" style="269" customWidth="1"/>
    <col min="5890" max="6144" width="9.140625" style="269"/>
    <col min="6145" max="6145" width="100.42578125" style="269" customWidth="1"/>
    <col min="6146" max="6400" width="9.140625" style="269"/>
    <col min="6401" max="6401" width="100.42578125" style="269" customWidth="1"/>
    <col min="6402" max="6656" width="9.140625" style="269"/>
    <col min="6657" max="6657" width="100.42578125" style="269" customWidth="1"/>
    <col min="6658" max="6912" width="9.140625" style="269"/>
    <col min="6913" max="6913" width="100.42578125" style="269" customWidth="1"/>
    <col min="6914" max="7168" width="9.140625" style="269"/>
    <col min="7169" max="7169" width="100.42578125" style="269" customWidth="1"/>
    <col min="7170" max="7424" width="9.140625" style="269"/>
    <col min="7425" max="7425" width="100.42578125" style="269" customWidth="1"/>
    <col min="7426" max="7680" width="9.140625" style="269"/>
    <col min="7681" max="7681" width="100.42578125" style="269" customWidth="1"/>
    <col min="7682" max="7936" width="9.140625" style="269"/>
    <col min="7937" max="7937" width="100.42578125" style="269" customWidth="1"/>
    <col min="7938" max="8192" width="9.140625" style="269"/>
    <col min="8193" max="8193" width="100.42578125" style="269" customWidth="1"/>
    <col min="8194" max="8448" width="9.140625" style="269"/>
    <col min="8449" max="8449" width="100.42578125" style="269" customWidth="1"/>
    <col min="8450" max="8704" width="9.140625" style="269"/>
    <col min="8705" max="8705" width="100.42578125" style="269" customWidth="1"/>
    <col min="8706" max="8960" width="9.140625" style="269"/>
    <col min="8961" max="8961" width="100.42578125" style="269" customWidth="1"/>
    <col min="8962" max="9216" width="9.140625" style="269"/>
    <col min="9217" max="9217" width="100.42578125" style="269" customWidth="1"/>
    <col min="9218" max="9472" width="9.140625" style="269"/>
    <col min="9473" max="9473" width="100.42578125" style="269" customWidth="1"/>
    <col min="9474" max="9728" width="9.140625" style="269"/>
    <col min="9729" max="9729" width="100.42578125" style="269" customWidth="1"/>
    <col min="9730" max="9984" width="9.140625" style="269"/>
    <col min="9985" max="9985" width="100.42578125" style="269" customWidth="1"/>
    <col min="9986" max="10240" width="9.140625" style="269"/>
    <col min="10241" max="10241" width="100.42578125" style="269" customWidth="1"/>
    <col min="10242" max="10496" width="9.140625" style="269"/>
    <col min="10497" max="10497" width="100.42578125" style="269" customWidth="1"/>
    <col min="10498" max="10752" width="9.140625" style="269"/>
    <col min="10753" max="10753" width="100.42578125" style="269" customWidth="1"/>
    <col min="10754" max="11008" width="9.140625" style="269"/>
    <col min="11009" max="11009" width="100.42578125" style="269" customWidth="1"/>
    <col min="11010" max="11264" width="9.140625" style="269"/>
    <col min="11265" max="11265" width="100.42578125" style="269" customWidth="1"/>
    <col min="11266" max="11520" width="9.140625" style="269"/>
    <col min="11521" max="11521" width="100.42578125" style="269" customWidth="1"/>
    <col min="11522" max="11776" width="9.140625" style="269"/>
    <col min="11777" max="11777" width="100.42578125" style="269" customWidth="1"/>
    <col min="11778" max="12032" width="9.140625" style="269"/>
    <col min="12033" max="12033" width="100.42578125" style="269" customWidth="1"/>
    <col min="12034" max="12288" width="9.140625" style="269"/>
    <col min="12289" max="12289" width="100.42578125" style="269" customWidth="1"/>
    <col min="12290" max="12544" width="9.140625" style="269"/>
    <col min="12545" max="12545" width="100.42578125" style="269" customWidth="1"/>
    <col min="12546" max="12800" width="9.140625" style="269"/>
    <col min="12801" max="12801" width="100.42578125" style="269" customWidth="1"/>
    <col min="12802" max="13056" width="9.140625" style="269"/>
    <col min="13057" max="13057" width="100.42578125" style="269" customWidth="1"/>
    <col min="13058" max="13312" width="9.140625" style="269"/>
    <col min="13313" max="13313" width="100.42578125" style="269" customWidth="1"/>
    <col min="13314" max="13568" width="9.140625" style="269"/>
    <col min="13569" max="13569" width="100.42578125" style="269" customWidth="1"/>
    <col min="13570" max="13824" width="9.140625" style="269"/>
    <col min="13825" max="13825" width="100.42578125" style="269" customWidth="1"/>
    <col min="13826" max="14080" width="9.140625" style="269"/>
    <col min="14081" max="14081" width="100.42578125" style="269" customWidth="1"/>
    <col min="14082" max="14336" width="9.140625" style="269"/>
    <col min="14337" max="14337" width="100.42578125" style="269" customWidth="1"/>
    <col min="14338" max="14592" width="9.140625" style="269"/>
    <col min="14593" max="14593" width="100.42578125" style="269" customWidth="1"/>
    <col min="14594" max="14848" width="9.140625" style="269"/>
    <col min="14849" max="14849" width="100.42578125" style="269" customWidth="1"/>
    <col min="14850" max="15104" width="9.140625" style="269"/>
    <col min="15105" max="15105" width="100.42578125" style="269" customWidth="1"/>
    <col min="15106" max="15360" width="9.140625" style="269"/>
    <col min="15361" max="15361" width="100.42578125" style="269" customWidth="1"/>
    <col min="15362" max="15616" width="9.140625" style="269"/>
    <col min="15617" max="15617" width="100.42578125" style="269" customWidth="1"/>
    <col min="15618" max="15872" width="9.140625" style="269"/>
    <col min="15873" max="15873" width="100.42578125" style="269" customWidth="1"/>
    <col min="15874" max="16128" width="9.140625" style="269"/>
    <col min="16129" max="16129" width="100.42578125" style="269" customWidth="1"/>
    <col min="16130" max="16384" width="9.140625" style="269"/>
  </cols>
  <sheetData>
    <row r="1" spans="1:1" ht="28.5" thickBot="1" x14ac:dyDescent="0.25">
      <c r="A1" s="270" t="s">
        <v>517</v>
      </c>
    </row>
    <row r="2" spans="1:1" ht="15.75" customHeight="1" thickBot="1" x14ac:dyDescent="0.25">
      <c r="A2" s="271" t="s">
        <v>518</v>
      </c>
    </row>
    <row r="3" spans="1:1" ht="15.75" customHeight="1" thickBot="1" x14ac:dyDescent="0.25">
      <c r="A3" s="271" t="s">
        <v>519</v>
      </c>
    </row>
    <row r="4" spans="1:1" ht="27.75" x14ac:dyDescent="0.2">
      <c r="A4" s="270" t="s">
        <v>540</v>
      </c>
    </row>
    <row r="5" spans="1:1" ht="14.25" customHeight="1" x14ac:dyDescent="0.2"/>
    <row r="6" spans="1:1" ht="14.25" customHeight="1" x14ac:dyDescent="0.2"/>
    <row r="7" spans="1:1" ht="28.5" customHeight="1" x14ac:dyDescent="0.2">
      <c r="A7" s="270" t="s">
        <v>541</v>
      </c>
    </row>
    <row r="8" spans="1:1" ht="14.25" customHeight="1" x14ac:dyDescent="0.2">
      <c r="A8" s="269" t="s">
        <v>542</v>
      </c>
    </row>
    <row r="9" spans="1:1" ht="23.25" customHeight="1" x14ac:dyDescent="0.2"/>
    <row r="10" spans="1:1" ht="14.25" customHeight="1" x14ac:dyDescent="0.2"/>
    <row r="11" spans="1:1" ht="14.25" customHeight="1" x14ac:dyDescent="0.2"/>
    <row r="12" spans="1:1" ht="14.25" customHeight="1" x14ac:dyDescent="0.2"/>
    <row r="13" spans="1:1" ht="14.25" customHeight="1" x14ac:dyDescent="0.2"/>
    <row r="14" spans="1:1" ht="14.25" customHeight="1" x14ac:dyDescent="0.2"/>
    <row r="15" spans="1:1" ht="14.25" customHeight="1" x14ac:dyDescent="0.2"/>
    <row r="16" spans="1:1" ht="14.25" customHeight="1" x14ac:dyDescent="0.2"/>
    <row r="17" ht="14.25" customHeight="1" x14ac:dyDescent="0.2"/>
    <row r="18" ht="14.25" customHeight="1" x14ac:dyDescent="0.2"/>
    <row r="19" ht="14.25" customHeight="1" x14ac:dyDescent="0.2"/>
    <row r="20" ht="14.25" customHeight="1" x14ac:dyDescent="0.2"/>
    <row r="21" ht="14.25" customHeight="1" x14ac:dyDescent="0.2"/>
    <row r="22" ht="14.25" customHeight="1" x14ac:dyDescent="0.2"/>
    <row r="23" ht="14.25" customHeight="1" x14ac:dyDescent="0.2"/>
    <row r="24" ht="14.25" customHeight="1" x14ac:dyDescent="0.2"/>
    <row r="25" ht="14.25" customHeight="1" x14ac:dyDescent="0.2"/>
    <row r="26" ht="14.25" customHeight="1" x14ac:dyDescent="0.2"/>
    <row r="27" ht="14.25" customHeight="1" x14ac:dyDescent="0.2"/>
    <row r="28" ht="14.25" customHeight="1" x14ac:dyDescent="0.2"/>
    <row r="29" ht="14.25" customHeight="1" x14ac:dyDescent="0.2"/>
    <row r="30" ht="14.25" customHeight="1" x14ac:dyDescent="0.2"/>
    <row r="31" ht="14.25" customHeight="1" x14ac:dyDescent="0.2"/>
    <row r="32" ht="14.25" customHeight="1" x14ac:dyDescent="0.2"/>
    <row r="33" ht="14.25" customHeight="1" x14ac:dyDescent="0.2"/>
    <row r="34" ht="14.25" customHeight="1" x14ac:dyDescent="0.2"/>
    <row r="35" ht="14.25" customHeight="1" x14ac:dyDescent="0.2"/>
    <row r="36" ht="14.25" customHeight="1" x14ac:dyDescent="0.2"/>
    <row r="37" ht="14.25" customHeight="1" x14ac:dyDescent="0.2"/>
    <row r="38" ht="14.25" customHeight="1" x14ac:dyDescent="0.2"/>
    <row r="39" ht="14.25" customHeight="1" x14ac:dyDescent="0.2"/>
    <row r="40" ht="14.25" customHeight="1" x14ac:dyDescent="0.2"/>
    <row r="41" ht="14.25" customHeight="1" x14ac:dyDescent="0.2"/>
    <row r="42" ht="14.25" customHeight="1" x14ac:dyDescent="0.2"/>
    <row r="43" ht="14.25" customHeight="1" x14ac:dyDescent="0.2"/>
    <row r="44" ht="14.25" customHeight="1" x14ac:dyDescent="0.2"/>
    <row r="45" ht="14.25" customHeight="1" x14ac:dyDescent="0.2"/>
    <row r="46" ht="14.25" customHeight="1" x14ac:dyDescent="0.2"/>
    <row r="47" ht="14.25" customHeight="1" x14ac:dyDescent="0.2"/>
    <row r="48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</sheetData>
  <pageMargins left="0.78740157499999996" right="0.78740157499999996" top="0.984251969" bottom="0.984251969" header="0.49212598499999999" footer="0.49212598499999999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3">
    <pageSetUpPr fitToPage="1"/>
  </sheetPr>
  <dimension ref="A1:R214"/>
  <sheetViews>
    <sheetView showGridLines="0" showZeros="0" zoomScale="80" workbookViewId="0">
      <pane ySplit="8" topLeftCell="A9" activePane="bottomLeft" state="frozen"/>
      <selection pane="bottomLeft"/>
    </sheetView>
  </sheetViews>
  <sheetFormatPr defaultColWidth="9.140625" defaultRowHeight="12.75" x14ac:dyDescent="0.2"/>
  <cols>
    <col min="1" max="1" width="2.42578125" style="14" customWidth="1"/>
    <col min="2" max="2" width="10.85546875" style="19" hidden="1" customWidth="1"/>
    <col min="3" max="3" width="10.7109375" style="19" bestFit="1" customWidth="1"/>
    <col min="4" max="5" width="18.7109375" style="19" customWidth="1"/>
    <col min="6" max="6" width="11.28515625" style="19" customWidth="1"/>
    <col min="7" max="7" width="11" style="19" customWidth="1"/>
    <col min="8" max="8" width="14.28515625" style="19" customWidth="1"/>
    <col min="9" max="9" width="11.5703125" style="19" customWidth="1"/>
    <col min="10" max="10" width="25.140625" style="21" customWidth="1"/>
    <col min="11" max="11" width="24.85546875" style="19" customWidth="1"/>
    <col min="12" max="15" width="0" style="19" hidden="1" customWidth="1"/>
    <col min="16" max="16384" width="9.140625" style="19"/>
  </cols>
  <sheetData>
    <row r="1" spans="1:18" s="21" customFormat="1" x14ac:dyDescent="0.2">
      <c r="A1" s="14"/>
      <c r="B1" s="19"/>
      <c r="C1" s="14"/>
      <c r="D1" s="14"/>
      <c r="E1" s="14"/>
      <c r="F1" s="14"/>
      <c r="G1" s="14"/>
      <c r="H1" s="14"/>
      <c r="I1" s="14"/>
      <c r="J1" s="38"/>
      <c r="K1" s="19"/>
      <c r="L1" s="19"/>
      <c r="M1" s="19"/>
    </row>
    <row r="2" spans="1:18" x14ac:dyDescent="0.2">
      <c r="A2" s="55"/>
      <c r="C2" s="56" t="s">
        <v>217</v>
      </c>
      <c r="D2" s="309">
        <f>'PAREDE-TETO'!D2</f>
        <v>0</v>
      </c>
      <c r="E2" s="310"/>
      <c r="F2" s="311"/>
      <c r="G2" s="56" t="s">
        <v>198</v>
      </c>
      <c r="H2" s="252">
        <f>'PAREDE-TETO'!I2</f>
        <v>0</v>
      </c>
      <c r="I2" s="14"/>
    </row>
    <row r="3" spans="1:18" x14ac:dyDescent="0.2">
      <c r="A3" s="55"/>
      <c r="C3" s="56" t="s">
        <v>216</v>
      </c>
      <c r="D3" s="309">
        <f>'PAREDE-TETO'!D3</f>
        <v>0</v>
      </c>
      <c r="E3" s="310"/>
      <c r="F3" s="311"/>
      <c r="G3" s="56" t="s">
        <v>215</v>
      </c>
      <c r="H3" s="246">
        <f>'PAREDE-TETO'!I3</f>
        <v>0</v>
      </c>
      <c r="I3" s="14"/>
    </row>
    <row r="4" spans="1:18" x14ac:dyDescent="0.2">
      <c r="A4" s="55"/>
      <c r="C4" s="56" t="s">
        <v>214</v>
      </c>
      <c r="D4" s="312">
        <f>'PAREDE-TETO'!D4</f>
        <v>0</v>
      </c>
      <c r="E4" s="312"/>
      <c r="F4" s="312"/>
      <c r="G4" s="55"/>
      <c r="H4" s="55"/>
      <c r="I4" s="55"/>
      <c r="J4" s="14"/>
    </row>
    <row r="5" spans="1:18" s="14" customFormat="1" ht="13.5" thickBot="1" x14ac:dyDescent="0.25">
      <c r="B5" s="19"/>
    </row>
    <row r="6" spans="1:18" ht="13.5" thickBot="1" x14ac:dyDescent="0.25">
      <c r="B6" s="31" t="s">
        <v>323</v>
      </c>
      <c r="C6" s="306" t="s">
        <v>227</v>
      </c>
      <c r="D6" s="307"/>
      <c r="E6" s="307"/>
      <c r="F6" s="307"/>
      <c r="G6" s="307"/>
      <c r="H6" s="307"/>
      <c r="I6" s="307"/>
      <c r="J6" s="307"/>
      <c r="K6" s="308"/>
      <c r="P6" s="292" t="s">
        <v>229</v>
      </c>
      <c r="Q6" s="293"/>
      <c r="R6" s="57">
        <v>0.05</v>
      </c>
    </row>
    <row r="7" spans="1:18" ht="13.5" thickBot="1" x14ac:dyDescent="0.25">
      <c r="B7" s="58">
        <v>1</v>
      </c>
      <c r="C7" s="313" t="s">
        <v>16</v>
      </c>
      <c r="D7" s="315" t="s">
        <v>412</v>
      </c>
      <c r="E7" s="317" t="s">
        <v>413</v>
      </c>
      <c r="F7" s="304" t="s">
        <v>225</v>
      </c>
      <c r="G7" s="305"/>
      <c r="H7" s="300" t="s">
        <v>414</v>
      </c>
      <c r="I7" s="300" t="s">
        <v>415</v>
      </c>
      <c r="J7" s="298" t="s">
        <v>226</v>
      </c>
      <c r="K7" s="302" t="s">
        <v>409</v>
      </c>
      <c r="P7" s="294" t="s">
        <v>230</v>
      </c>
      <c r="Q7" s="295"/>
      <c r="R7" s="60">
        <v>1</v>
      </c>
    </row>
    <row r="8" spans="1:18" ht="16.5" customHeight="1" x14ac:dyDescent="0.2">
      <c r="B8" s="61">
        <v>1</v>
      </c>
      <c r="C8" s="314"/>
      <c r="D8" s="316"/>
      <c r="E8" s="318"/>
      <c r="F8" s="273" t="s">
        <v>224</v>
      </c>
      <c r="G8" s="273" t="s">
        <v>223</v>
      </c>
      <c r="H8" s="301"/>
      <c r="I8" s="301"/>
      <c r="J8" s="299"/>
      <c r="K8" s="303"/>
    </row>
    <row r="9" spans="1:18" x14ac:dyDescent="0.2">
      <c r="B9" s="61" t="str">
        <f t="shared" ref="B9" si="0">IF(D9&lt;&gt;0,1,"")</f>
        <v/>
      </c>
      <c r="C9" s="10">
        <v>1</v>
      </c>
      <c r="D9" s="40">
        <f>'PAREDE-TETO'!D10</f>
        <v>0</v>
      </c>
      <c r="E9" s="41"/>
      <c r="F9" s="41"/>
      <c r="G9" s="41"/>
      <c r="H9" s="42">
        <f>(D9-E9)*F9</f>
        <v>0</v>
      </c>
      <c r="I9" s="42">
        <f>(D9-E9)*G9</f>
        <v>0</v>
      </c>
      <c r="J9" s="62" t="str">
        <f>IF(SUM(F9:G9)&gt;0,IF(F9&lt;&gt;0,"CHAPA XADREZ "&amp;VALUE(H9)&amp;" cm",IF(G9&lt;&gt;0,"CHAPA LISA "&amp;VALUE(I9)&amp;" cm")),IF(D9&lt;&gt;0,"","0"))</f>
        <v>0</v>
      </c>
      <c r="K9" s="34">
        <f>'PAREDE-TETO'!M10</f>
        <v>0</v>
      </c>
      <c r="L9" s="19">
        <f t="shared" ref="L9:L40" si="1">H9/100*$R$7*(1+$R$6)</f>
        <v>0</v>
      </c>
      <c r="M9" s="19">
        <f t="shared" ref="M9:M40" si="2">I9/100*$R$7*(1+$R$6)</f>
        <v>0</v>
      </c>
      <c r="N9" s="19">
        <f>ROUNDUP(L9/2.5,0)</f>
        <v>0</v>
      </c>
      <c r="O9" s="19">
        <f>ROUNDUP(M9/2.5,0)</f>
        <v>0</v>
      </c>
    </row>
    <row r="10" spans="1:18" x14ac:dyDescent="0.2">
      <c r="B10" s="61" t="str">
        <f>IF(D10&lt;&gt;0,1,"")</f>
        <v/>
      </c>
      <c r="C10" s="10">
        <v>2</v>
      </c>
      <c r="D10" s="39">
        <f>'PAREDE-TETO'!D11</f>
        <v>0</v>
      </c>
      <c r="E10" s="41"/>
      <c r="F10" s="41"/>
      <c r="G10" s="41"/>
      <c r="H10" s="42">
        <f t="shared" ref="H10:H73" si="3">(D10-E10)*F10</f>
        <v>0</v>
      </c>
      <c r="I10" s="42">
        <f t="shared" ref="I10:I73" si="4">(D10-E10)*G10</f>
        <v>0</v>
      </c>
      <c r="J10" s="62" t="str">
        <f t="shared" ref="J10:J73" si="5">IF(SUM(F10:G10)&gt;0,IF(F10&lt;&gt;0,"CHAPA XADREZ "&amp;VALUE(H10)&amp;" cm",IF(G10&lt;&gt;0,"CHAPA LISA "&amp;VALUE(I10)&amp;" cm")),IF(D10&lt;&gt;0,"","0"))</f>
        <v>0</v>
      </c>
      <c r="K10" s="34">
        <f>'PAREDE-TETO'!M11</f>
        <v>0</v>
      </c>
      <c r="L10" s="19">
        <f t="shared" si="1"/>
        <v>0</v>
      </c>
      <c r="M10" s="19">
        <f t="shared" si="2"/>
        <v>0</v>
      </c>
      <c r="N10" s="19">
        <f t="shared" ref="N10:N73" si="6">ROUNDUP(L10/2.5,0)</f>
        <v>0</v>
      </c>
      <c r="O10" s="19">
        <f t="shared" ref="O10:O73" si="7">ROUNDUP(M10/2.5,0)</f>
        <v>0</v>
      </c>
    </row>
    <row r="11" spans="1:18" x14ac:dyDescent="0.2">
      <c r="B11" s="61" t="str">
        <f t="shared" ref="B11:B74" si="8">IF(D11&lt;&gt;0,1,"")</f>
        <v/>
      </c>
      <c r="C11" s="10">
        <v>3</v>
      </c>
      <c r="D11" s="39">
        <f>'PAREDE-TETO'!D12</f>
        <v>0</v>
      </c>
      <c r="E11" s="41"/>
      <c r="F11" s="41"/>
      <c r="G11" s="41"/>
      <c r="H11" s="42">
        <f t="shared" si="3"/>
        <v>0</v>
      </c>
      <c r="I11" s="42">
        <f t="shared" si="4"/>
        <v>0</v>
      </c>
      <c r="J11" s="62" t="str">
        <f t="shared" si="5"/>
        <v>0</v>
      </c>
      <c r="K11" s="34">
        <f>'PAREDE-TETO'!M12</f>
        <v>0</v>
      </c>
      <c r="L11" s="19">
        <f t="shared" si="1"/>
        <v>0</v>
      </c>
      <c r="M11" s="19">
        <f t="shared" si="2"/>
        <v>0</v>
      </c>
      <c r="N11" s="19">
        <f t="shared" si="6"/>
        <v>0</v>
      </c>
      <c r="O11" s="19">
        <f t="shared" si="7"/>
        <v>0</v>
      </c>
    </row>
    <row r="12" spans="1:18" x14ac:dyDescent="0.2">
      <c r="B12" s="61" t="str">
        <f t="shared" si="8"/>
        <v/>
      </c>
      <c r="C12" s="10">
        <v>4</v>
      </c>
      <c r="D12" s="39">
        <f>'PAREDE-TETO'!D13</f>
        <v>0</v>
      </c>
      <c r="E12" s="41"/>
      <c r="F12" s="41"/>
      <c r="G12" s="41"/>
      <c r="H12" s="42">
        <f t="shared" si="3"/>
        <v>0</v>
      </c>
      <c r="I12" s="42">
        <f t="shared" si="4"/>
        <v>0</v>
      </c>
      <c r="J12" s="62" t="str">
        <f t="shared" si="5"/>
        <v>0</v>
      </c>
      <c r="K12" s="34">
        <f>'PAREDE-TETO'!M13</f>
        <v>0</v>
      </c>
      <c r="L12" s="19">
        <f t="shared" si="1"/>
        <v>0</v>
      </c>
      <c r="M12" s="19">
        <f t="shared" si="2"/>
        <v>0</v>
      </c>
      <c r="N12" s="19">
        <f t="shared" si="6"/>
        <v>0</v>
      </c>
      <c r="O12" s="19">
        <f t="shared" si="7"/>
        <v>0</v>
      </c>
    </row>
    <row r="13" spans="1:18" x14ac:dyDescent="0.2">
      <c r="B13" s="61" t="str">
        <f t="shared" si="8"/>
        <v/>
      </c>
      <c r="C13" s="10">
        <v>5</v>
      </c>
      <c r="D13" s="39">
        <f>'PAREDE-TETO'!D14</f>
        <v>0</v>
      </c>
      <c r="E13" s="41"/>
      <c r="F13" s="41"/>
      <c r="G13" s="41"/>
      <c r="H13" s="42">
        <f t="shared" si="3"/>
        <v>0</v>
      </c>
      <c r="I13" s="42">
        <f t="shared" si="4"/>
        <v>0</v>
      </c>
      <c r="J13" s="62" t="str">
        <f t="shared" si="5"/>
        <v>0</v>
      </c>
      <c r="K13" s="34">
        <f>'PAREDE-TETO'!M14</f>
        <v>0</v>
      </c>
      <c r="L13" s="19">
        <f t="shared" si="1"/>
        <v>0</v>
      </c>
      <c r="M13" s="19">
        <f t="shared" si="2"/>
        <v>0</v>
      </c>
      <c r="N13" s="19">
        <f t="shared" si="6"/>
        <v>0</v>
      </c>
      <c r="O13" s="19">
        <f t="shared" si="7"/>
        <v>0</v>
      </c>
    </row>
    <row r="14" spans="1:18" x14ac:dyDescent="0.2">
      <c r="B14" s="61" t="str">
        <f t="shared" si="8"/>
        <v/>
      </c>
      <c r="C14" s="10">
        <v>6</v>
      </c>
      <c r="D14" s="39">
        <f>'PAREDE-TETO'!D15</f>
        <v>0</v>
      </c>
      <c r="E14" s="41"/>
      <c r="F14" s="41"/>
      <c r="G14" s="41"/>
      <c r="H14" s="42">
        <f t="shared" si="3"/>
        <v>0</v>
      </c>
      <c r="I14" s="42">
        <f t="shared" si="4"/>
        <v>0</v>
      </c>
      <c r="J14" s="62" t="str">
        <f t="shared" si="5"/>
        <v>0</v>
      </c>
      <c r="K14" s="34">
        <f>'PAREDE-TETO'!M15</f>
        <v>0</v>
      </c>
      <c r="L14" s="19">
        <f t="shared" si="1"/>
        <v>0</v>
      </c>
      <c r="M14" s="19">
        <f t="shared" si="2"/>
        <v>0</v>
      </c>
      <c r="N14" s="19">
        <f t="shared" si="6"/>
        <v>0</v>
      </c>
      <c r="O14" s="19">
        <f t="shared" si="7"/>
        <v>0</v>
      </c>
    </row>
    <row r="15" spans="1:18" x14ac:dyDescent="0.2">
      <c r="B15" s="61" t="str">
        <f t="shared" si="8"/>
        <v/>
      </c>
      <c r="C15" s="10">
        <v>7</v>
      </c>
      <c r="D15" s="39">
        <f>'PAREDE-TETO'!D16</f>
        <v>0</v>
      </c>
      <c r="E15" s="41"/>
      <c r="F15" s="41"/>
      <c r="G15" s="41"/>
      <c r="H15" s="42">
        <f t="shared" si="3"/>
        <v>0</v>
      </c>
      <c r="I15" s="42">
        <f t="shared" si="4"/>
        <v>0</v>
      </c>
      <c r="J15" s="62" t="str">
        <f t="shared" si="5"/>
        <v>0</v>
      </c>
      <c r="K15" s="34">
        <f>'PAREDE-TETO'!M16</f>
        <v>0</v>
      </c>
      <c r="L15" s="19">
        <f t="shared" si="1"/>
        <v>0</v>
      </c>
      <c r="M15" s="19">
        <f t="shared" si="2"/>
        <v>0</v>
      </c>
      <c r="N15" s="19">
        <f t="shared" si="6"/>
        <v>0</v>
      </c>
      <c r="O15" s="19">
        <f t="shared" si="7"/>
        <v>0</v>
      </c>
    </row>
    <row r="16" spans="1:18" x14ac:dyDescent="0.2">
      <c r="B16" s="61" t="str">
        <f t="shared" si="8"/>
        <v/>
      </c>
      <c r="C16" s="10">
        <v>8</v>
      </c>
      <c r="D16" s="39">
        <f>'PAREDE-TETO'!D17</f>
        <v>0</v>
      </c>
      <c r="E16" s="41"/>
      <c r="F16" s="41"/>
      <c r="G16" s="41"/>
      <c r="H16" s="42">
        <f t="shared" si="3"/>
        <v>0</v>
      </c>
      <c r="I16" s="42">
        <f t="shared" si="4"/>
        <v>0</v>
      </c>
      <c r="J16" s="62" t="str">
        <f t="shared" si="5"/>
        <v>0</v>
      </c>
      <c r="K16" s="34">
        <f>'PAREDE-TETO'!M17</f>
        <v>0</v>
      </c>
      <c r="L16" s="19">
        <f t="shared" si="1"/>
        <v>0</v>
      </c>
      <c r="M16" s="19">
        <f t="shared" si="2"/>
        <v>0</v>
      </c>
      <c r="N16" s="19">
        <f t="shared" si="6"/>
        <v>0</v>
      </c>
      <c r="O16" s="19">
        <f t="shared" si="7"/>
        <v>0</v>
      </c>
    </row>
    <row r="17" spans="2:15" x14ac:dyDescent="0.2">
      <c r="B17" s="61" t="str">
        <f t="shared" si="8"/>
        <v/>
      </c>
      <c r="C17" s="10">
        <v>9</v>
      </c>
      <c r="D17" s="39">
        <f>'PAREDE-TETO'!D18</f>
        <v>0</v>
      </c>
      <c r="E17" s="41"/>
      <c r="F17" s="41"/>
      <c r="G17" s="41"/>
      <c r="H17" s="42">
        <f t="shared" si="3"/>
        <v>0</v>
      </c>
      <c r="I17" s="42">
        <f t="shared" si="4"/>
        <v>0</v>
      </c>
      <c r="J17" s="62" t="str">
        <f t="shared" si="5"/>
        <v>0</v>
      </c>
      <c r="K17" s="34">
        <f>'PAREDE-TETO'!M18</f>
        <v>0</v>
      </c>
      <c r="L17" s="19">
        <f t="shared" si="1"/>
        <v>0</v>
      </c>
      <c r="M17" s="19">
        <f t="shared" si="2"/>
        <v>0</v>
      </c>
      <c r="N17" s="19">
        <f t="shared" si="6"/>
        <v>0</v>
      </c>
      <c r="O17" s="19">
        <f t="shared" si="7"/>
        <v>0</v>
      </c>
    </row>
    <row r="18" spans="2:15" x14ac:dyDescent="0.2">
      <c r="B18" s="61" t="str">
        <f t="shared" si="8"/>
        <v/>
      </c>
      <c r="C18" s="10">
        <v>10</v>
      </c>
      <c r="D18" s="39">
        <f>'PAREDE-TETO'!D19</f>
        <v>0</v>
      </c>
      <c r="E18" s="41"/>
      <c r="F18" s="41"/>
      <c r="G18" s="41"/>
      <c r="H18" s="42">
        <f t="shared" si="3"/>
        <v>0</v>
      </c>
      <c r="I18" s="42">
        <f t="shared" si="4"/>
        <v>0</v>
      </c>
      <c r="J18" s="62" t="str">
        <f t="shared" si="5"/>
        <v>0</v>
      </c>
      <c r="K18" s="34">
        <f>'PAREDE-TETO'!M19</f>
        <v>0</v>
      </c>
      <c r="L18" s="19">
        <f t="shared" si="1"/>
        <v>0</v>
      </c>
      <c r="M18" s="19">
        <f t="shared" si="2"/>
        <v>0</v>
      </c>
      <c r="N18" s="19">
        <f t="shared" si="6"/>
        <v>0</v>
      </c>
      <c r="O18" s="19">
        <f t="shared" si="7"/>
        <v>0</v>
      </c>
    </row>
    <row r="19" spans="2:15" x14ac:dyDescent="0.2">
      <c r="B19" s="61" t="str">
        <f t="shared" si="8"/>
        <v/>
      </c>
      <c r="C19" s="10">
        <v>11</v>
      </c>
      <c r="D19" s="39">
        <f>'PAREDE-TETO'!D20</f>
        <v>0</v>
      </c>
      <c r="E19" s="41"/>
      <c r="F19" s="41"/>
      <c r="G19" s="41"/>
      <c r="H19" s="42">
        <f t="shared" si="3"/>
        <v>0</v>
      </c>
      <c r="I19" s="42">
        <f t="shared" si="4"/>
        <v>0</v>
      </c>
      <c r="J19" s="62" t="str">
        <f t="shared" si="5"/>
        <v>0</v>
      </c>
      <c r="K19" s="34">
        <f>'PAREDE-TETO'!M20</f>
        <v>0</v>
      </c>
      <c r="L19" s="19">
        <f t="shared" si="1"/>
        <v>0</v>
      </c>
      <c r="M19" s="19">
        <f t="shared" si="2"/>
        <v>0</v>
      </c>
      <c r="N19" s="19">
        <f t="shared" si="6"/>
        <v>0</v>
      </c>
      <c r="O19" s="19">
        <f t="shared" si="7"/>
        <v>0</v>
      </c>
    </row>
    <row r="20" spans="2:15" x14ac:dyDescent="0.2">
      <c r="B20" s="61" t="str">
        <f t="shared" si="8"/>
        <v/>
      </c>
      <c r="C20" s="10">
        <v>12</v>
      </c>
      <c r="D20" s="39">
        <f>'PAREDE-TETO'!D21</f>
        <v>0</v>
      </c>
      <c r="E20" s="41"/>
      <c r="F20" s="41"/>
      <c r="G20" s="41"/>
      <c r="H20" s="42">
        <f t="shared" si="3"/>
        <v>0</v>
      </c>
      <c r="I20" s="42">
        <f t="shared" si="4"/>
        <v>0</v>
      </c>
      <c r="J20" s="62" t="str">
        <f t="shared" si="5"/>
        <v>0</v>
      </c>
      <c r="K20" s="34">
        <f>'PAREDE-TETO'!M21</f>
        <v>0</v>
      </c>
      <c r="L20" s="19">
        <f t="shared" si="1"/>
        <v>0</v>
      </c>
      <c r="M20" s="19">
        <f t="shared" si="2"/>
        <v>0</v>
      </c>
      <c r="N20" s="19">
        <f t="shared" si="6"/>
        <v>0</v>
      </c>
      <c r="O20" s="19">
        <f t="shared" si="7"/>
        <v>0</v>
      </c>
    </row>
    <row r="21" spans="2:15" x14ac:dyDescent="0.2">
      <c r="B21" s="61" t="str">
        <f t="shared" si="8"/>
        <v/>
      </c>
      <c r="C21" s="10">
        <v>13</v>
      </c>
      <c r="D21" s="39">
        <f>'PAREDE-TETO'!D22</f>
        <v>0</v>
      </c>
      <c r="E21" s="41"/>
      <c r="F21" s="41"/>
      <c r="G21" s="41"/>
      <c r="H21" s="42">
        <f t="shared" si="3"/>
        <v>0</v>
      </c>
      <c r="I21" s="42">
        <f t="shared" si="4"/>
        <v>0</v>
      </c>
      <c r="J21" s="62" t="str">
        <f t="shared" si="5"/>
        <v>0</v>
      </c>
      <c r="K21" s="34">
        <f>'PAREDE-TETO'!M22</f>
        <v>0</v>
      </c>
      <c r="L21" s="19">
        <f t="shared" si="1"/>
        <v>0</v>
      </c>
      <c r="M21" s="19">
        <f t="shared" si="2"/>
        <v>0</v>
      </c>
      <c r="N21" s="19">
        <f t="shared" si="6"/>
        <v>0</v>
      </c>
      <c r="O21" s="19">
        <f t="shared" si="7"/>
        <v>0</v>
      </c>
    </row>
    <row r="22" spans="2:15" x14ac:dyDescent="0.2">
      <c r="B22" s="61" t="str">
        <f t="shared" si="8"/>
        <v/>
      </c>
      <c r="C22" s="10">
        <v>14</v>
      </c>
      <c r="D22" s="39">
        <f>'PAREDE-TETO'!D23</f>
        <v>0</v>
      </c>
      <c r="E22" s="41"/>
      <c r="F22" s="41"/>
      <c r="G22" s="41"/>
      <c r="H22" s="42">
        <f t="shared" si="3"/>
        <v>0</v>
      </c>
      <c r="I22" s="42">
        <f t="shared" si="4"/>
        <v>0</v>
      </c>
      <c r="J22" s="62" t="str">
        <f t="shared" si="5"/>
        <v>0</v>
      </c>
      <c r="K22" s="34">
        <f>'PAREDE-TETO'!M23</f>
        <v>0</v>
      </c>
      <c r="L22" s="19">
        <f t="shared" si="1"/>
        <v>0</v>
      </c>
      <c r="M22" s="19">
        <f t="shared" si="2"/>
        <v>0</v>
      </c>
      <c r="N22" s="19">
        <f t="shared" si="6"/>
        <v>0</v>
      </c>
      <c r="O22" s="19">
        <f t="shared" si="7"/>
        <v>0</v>
      </c>
    </row>
    <row r="23" spans="2:15" x14ac:dyDescent="0.2">
      <c r="B23" s="61" t="str">
        <f t="shared" si="8"/>
        <v/>
      </c>
      <c r="C23" s="10">
        <v>15</v>
      </c>
      <c r="D23" s="39">
        <f>'PAREDE-TETO'!D24</f>
        <v>0</v>
      </c>
      <c r="E23" s="41"/>
      <c r="F23" s="41"/>
      <c r="G23" s="41"/>
      <c r="H23" s="42">
        <f t="shared" si="3"/>
        <v>0</v>
      </c>
      <c r="I23" s="42">
        <f t="shared" si="4"/>
        <v>0</v>
      </c>
      <c r="J23" s="62" t="str">
        <f t="shared" si="5"/>
        <v>0</v>
      </c>
      <c r="K23" s="34">
        <f>'PAREDE-TETO'!M24</f>
        <v>0</v>
      </c>
      <c r="L23" s="19">
        <f t="shared" si="1"/>
        <v>0</v>
      </c>
      <c r="M23" s="19">
        <f t="shared" si="2"/>
        <v>0</v>
      </c>
      <c r="N23" s="19">
        <f t="shared" si="6"/>
        <v>0</v>
      </c>
      <c r="O23" s="19">
        <f t="shared" si="7"/>
        <v>0</v>
      </c>
    </row>
    <row r="24" spans="2:15" x14ac:dyDescent="0.2">
      <c r="B24" s="61" t="str">
        <f t="shared" si="8"/>
        <v/>
      </c>
      <c r="C24" s="10">
        <v>16</v>
      </c>
      <c r="D24" s="39">
        <f>'PAREDE-TETO'!D25</f>
        <v>0</v>
      </c>
      <c r="E24" s="41"/>
      <c r="F24" s="41"/>
      <c r="G24" s="41"/>
      <c r="H24" s="42">
        <f t="shared" si="3"/>
        <v>0</v>
      </c>
      <c r="I24" s="42">
        <f t="shared" si="4"/>
        <v>0</v>
      </c>
      <c r="J24" s="62" t="str">
        <f t="shared" si="5"/>
        <v>0</v>
      </c>
      <c r="K24" s="34">
        <f>'PAREDE-TETO'!M25</f>
        <v>0</v>
      </c>
      <c r="L24" s="19">
        <f t="shared" si="1"/>
        <v>0</v>
      </c>
      <c r="M24" s="19">
        <f t="shared" si="2"/>
        <v>0</v>
      </c>
      <c r="N24" s="19">
        <f t="shared" si="6"/>
        <v>0</v>
      </c>
      <c r="O24" s="19">
        <f t="shared" si="7"/>
        <v>0</v>
      </c>
    </row>
    <row r="25" spans="2:15" x14ac:dyDescent="0.2">
      <c r="B25" s="61" t="str">
        <f t="shared" si="8"/>
        <v/>
      </c>
      <c r="C25" s="10">
        <v>17</v>
      </c>
      <c r="D25" s="39">
        <f>'PAREDE-TETO'!D26</f>
        <v>0</v>
      </c>
      <c r="E25" s="41"/>
      <c r="F25" s="41"/>
      <c r="G25" s="41"/>
      <c r="H25" s="42">
        <f t="shared" si="3"/>
        <v>0</v>
      </c>
      <c r="I25" s="42">
        <f t="shared" si="4"/>
        <v>0</v>
      </c>
      <c r="J25" s="62" t="str">
        <f t="shared" si="5"/>
        <v>0</v>
      </c>
      <c r="K25" s="34">
        <f>'PAREDE-TETO'!M26</f>
        <v>0</v>
      </c>
      <c r="L25" s="19">
        <f t="shared" si="1"/>
        <v>0</v>
      </c>
      <c r="M25" s="19">
        <f t="shared" si="2"/>
        <v>0</v>
      </c>
      <c r="N25" s="19">
        <f t="shared" si="6"/>
        <v>0</v>
      </c>
      <c r="O25" s="19">
        <f t="shared" si="7"/>
        <v>0</v>
      </c>
    </row>
    <row r="26" spans="2:15" x14ac:dyDescent="0.2">
      <c r="B26" s="61" t="str">
        <f t="shared" si="8"/>
        <v/>
      </c>
      <c r="C26" s="10">
        <v>18</v>
      </c>
      <c r="D26" s="39">
        <f>'PAREDE-TETO'!D27</f>
        <v>0</v>
      </c>
      <c r="E26" s="41"/>
      <c r="F26" s="41"/>
      <c r="G26" s="41"/>
      <c r="H26" s="42">
        <f t="shared" si="3"/>
        <v>0</v>
      </c>
      <c r="I26" s="42">
        <f t="shared" si="4"/>
        <v>0</v>
      </c>
      <c r="J26" s="62" t="str">
        <f t="shared" si="5"/>
        <v>0</v>
      </c>
      <c r="K26" s="34">
        <f>'PAREDE-TETO'!M27</f>
        <v>0</v>
      </c>
      <c r="L26" s="19">
        <f t="shared" si="1"/>
        <v>0</v>
      </c>
      <c r="M26" s="19">
        <f t="shared" si="2"/>
        <v>0</v>
      </c>
      <c r="N26" s="19">
        <f t="shared" si="6"/>
        <v>0</v>
      </c>
      <c r="O26" s="19">
        <f t="shared" si="7"/>
        <v>0</v>
      </c>
    </row>
    <row r="27" spans="2:15" x14ac:dyDescent="0.2">
      <c r="B27" s="61" t="str">
        <f t="shared" si="8"/>
        <v/>
      </c>
      <c r="C27" s="10">
        <v>19</v>
      </c>
      <c r="D27" s="39">
        <f>'PAREDE-TETO'!D28</f>
        <v>0</v>
      </c>
      <c r="E27" s="41"/>
      <c r="F27" s="41"/>
      <c r="G27" s="41"/>
      <c r="H27" s="42">
        <f t="shared" si="3"/>
        <v>0</v>
      </c>
      <c r="I27" s="42">
        <f t="shared" si="4"/>
        <v>0</v>
      </c>
      <c r="J27" s="62" t="str">
        <f t="shared" si="5"/>
        <v>0</v>
      </c>
      <c r="K27" s="34">
        <f>'PAREDE-TETO'!M28</f>
        <v>0</v>
      </c>
      <c r="L27" s="19">
        <f t="shared" si="1"/>
        <v>0</v>
      </c>
      <c r="M27" s="19">
        <f t="shared" si="2"/>
        <v>0</v>
      </c>
      <c r="N27" s="19">
        <f t="shared" si="6"/>
        <v>0</v>
      </c>
      <c r="O27" s="19">
        <f t="shared" si="7"/>
        <v>0</v>
      </c>
    </row>
    <row r="28" spans="2:15" x14ac:dyDescent="0.2">
      <c r="B28" s="61" t="str">
        <f t="shared" si="8"/>
        <v/>
      </c>
      <c r="C28" s="10">
        <v>20</v>
      </c>
      <c r="D28" s="39">
        <f>'PAREDE-TETO'!D29</f>
        <v>0</v>
      </c>
      <c r="E28" s="41"/>
      <c r="F28" s="41"/>
      <c r="G28" s="41"/>
      <c r="H28" s="42">
        <f t="shared" si="3"/>
        <v>0</v>
      </c>
      <c r="I28" s="42">
        <f t="shared" si="4"/>
        <v>0</v>
      </c>
      <c r="J28" s="62" t="str">
        <f t="shared" si="5"/>
        <v>0</v>
      </c>
      <c r="K28" s="34">
        <f>'PAREDE-TETO'!M29</f>
        <v>0</v>
      </c>
      <c r="L28" s="19">
        <f t="shared" si="1"/>
        <v>0</v>
      </c>
      <c r="M28" s="19">
        <f t="shared" si="2"/>
        <v>0</v>
      </c>
      <c r="N28" s="19">
        <f t="shared" si="6"/>
        <v>0</v>
      </c>
      <c r="O28" s="19">
        <f t="shared" si="7"/>
        <v>0</v>
      </c>
    </row>
    <row r="29" spans="2:15" x14ac:dyDescent="0.2">
      <c r="B29" s="61" t="str">
        <f t="shared" si="8"/>
        <v/>
      </c>
      <c r="C29" s="10">
        <v>21</v>
      </c>
      <c r="D29" s="39">
        <f>'PAREDE-TETO'!D30</f>
        <v>0</v>
      </c>
      <c r="E29" s="41"/>
      <c r="F29" s="41"/>
      <c r="G29" s="41"/>
      <c r="H29" s="42">
        <f t="shared" si="3"/>
        <v>0</v>
      </c>
      <c r="I29" s="42">
        <f t="shared" si="4"/>
        <v>0</v>
      </c>
      <c r="J29" s="62" t="str">
        <f t="shared" si="5"/>
        <v>0</v>
      </c>
      <c r="K29" s="34">
        <f>'PAREDE-TETO'!M30</f>
        <v>0</v>
      </c>
      <c r="L29" s="19">
        <f t="shared" si="1"/>
        <v>0</v>
      </c>
      <c r="M29" s="19">
        <f t="shared" si="2"/>
        <v>0</v>
      </c>
      <c r="N29" s="19">
        <f t="shared" si="6"/>
        <v>0</v>
      </c>
      <c r="O29" s="19">
        <f t="shared" si="7"/>
        <v>0</v>
      </c>
    </row>
    <row r="30" spans="2:15" x14ac:dyDescent="0.2">
      <c r="B30" s="61" t="str">
        <f t="shared" si="8"/>
        <v/>
      </c>
      <c r="C30" s="10">
        <v>22</v>
      </c>
      <c r="D30" s="39">
        <f>'PAREDE-TETO'!D31</f>
        <v>0</v>
      </c>
      <c r="E30" s="41"/>
      <c r="F30" s="41"/>
      <c r="G30" s="41"/>
      <c r="H30" s="42">
        <f t="shared" si="3"/>
        <v>0</v>
      </c>
      <c r="I30" s="42">
        <f t="shared" si="4"/>
        <v>0</v>
      </c>
      <c r="J30" s="62" t="str">
        <f t="shared" si="5"/>
        <v>0</v>
      </c>
      <c r="K30" s="34">
        <f>'PAREDE-TETO'!M31</f>
        <v>0</v>
      </c>
      <c r="L30" s="19">
        <f t="shared" si="1"/>
        <v>0</v>
      </c>
      <c r="M30" s="19">
        <f t="shared" si="2"/>
        <v>0</v>
      </c>
      <c r="N30" s="19">
        <f t="shared" si="6"/>
        <v>0</v>
      </c>
      <c r="O30" s="19">
        <f t="shared" si="7"/>
        <v>0</v>
      </c>
    </row>
    <row r="31" spans="2:15" x14ac:dyDescent="0.2">
      <c r="B31" s="61" t="str">
        <f t="shared" si="8"/>
        <v/>
      </c>
      <c r="C31" s="10">
        <v>23</v>
      </c>
      <c r="D31" s="39">
        <f>'PAREDE-TETO'!D32</f>
        <v>0</v>
      </c>
      <c r="E31" s="41"/>
      <c r="F31" s="41"/>
      <c r="G31" s="41"/>
      <c r="H31" s="42">
        <f t="shared" si="3"/>
        <v>0</v>
      </c>
      <c r="I31" s="42">
        <f t="shared" si="4"/>
        <v>0</v>
      </c>
      <c r="J31" s="62" t="str">
        <f t="shared" si="5"/>
        <v>0</v>
      </c>
      <c r="K31" s="34">
        <f>'PAREDE-TETO'!M32</f>
        <v>0</v>
      </c>
      <c r="L31" s="19">
        <f t="shared" si="1"/>
        <v>0</v>
      </c>
      <c r="M31" s="19">
        <f t="shared" si="2"/>
        <v>0</v>
      </c>
      <c r="N31" s="19">
        <f t="shared" si="6"/>
        <v>0</v>
      </c>
      <c r="O31" s="19">
        <f t="shared" si="7"/>
        <v>0</v>
      </c>
    </row>
    <row r="32" spans="2:15" x14ac:dyDescent="0.2">
      <c r="B32" s="61" t="str">
        <f t="shared" si="8"/>
        <v/>
      </c>
      <c r="C32" s="10">
        <v>24</v>
      </c>
      <c r="D32" s="39">
        <f>'PAREDE-TETO'!D33</f>
        <v>0</v>
      </c>
      <c r="E32" s="41"/>
      <c r="F32" s="41"/>
      <c r="G32" s="41"/>
      <c r="H32" s="42">
        <f t="shared" si="3"/>
        <v>0</v>
      </c>
      <c r="I32" s="42">
        <f t="shared" si="4"/>
        <v>0</v>
      </c>
      <c r="J32" s="62" t="str">
        <f t="shared" si="5"/>
        <v>0</v>
      </c>
      <c r="K32" s="34">
        <f>'PAREDE-TETO'!M33</f>
        <v>0</v>
      </c>
      <c r="L32" s="19">
        <f t="shared" si="1"/>
        <v>0</v>
      </c>
      <c r="M32" s="19">
        <f t="shared" si="2"/>
        <v>0</v>
      </c>
      <c r="N32" s="19">
        <f t="shared" si="6"/>
        <v>0</v>
      </c>
      <c r="O32" s="19">
        <f t="shared" si="7"/>
        <v>0</v>
      </c>
    </row>
    <row r="33" spans="2:15" x14ac:dyDescent="0.2">
      <c r="B33" s="61" t="str">
        <f t="shared" si="8"/>
        <v/>
      </c>
      <c r="C33" s="10">
        <v>25</v>
      </c>
      <c r="D33" s="39">
        <f>'PAREDE-TETO'!D34</f>
        <v>0</v>
      </c>
      <c r="E33" s="41"/>
      <c r="F33" s="41"/>
      <c r="G33" s="41"/>
      <c r="H33" s="42">
        <f t="shared" si="3"/>
        <v>0</v>
      </c>
      <c r="I33" s="42">
        <f t="shared" si="4"/>
        <v>0</v>
      </c>
      <c r="J33" s="62" t="str">
        <f t="shared" si="5"/>
        <v>0</v>
      </c>
      <c r="K33" s="34">
        <f>'PAREDE-TETO'!M34</f>
        <v>0</v>
      </c>
      <c r="L33" s="19">
        <f t="shared" si="1"/>
        <v>0</v>
      </c>
      <c r="M33" s="19">
        <f t="shared" si="2"/>
        <v>0</v>
      </c>
      <c r="N33" s="19">
        <f t="shared" si="6"/>
        <v>0</v>
      </c>
      <c r="O33" s="19">
        <f t="shared" si="7"/>
        <v>0</v>
      </c>
    </row>
    <row r="34" spans="2:15" x14ac:dyDescent="0.2">
      <c r="B34" s="61" t="str">
        <f t="shared" si="8"/>
        <v/>
      </c>
      <c r="C34" s="10">
        <v>26</v>
      </c>
      <c r="D34" s="39">
        <f>'PAREDE-TETO'!D35</f>
        <v>0</v>
      </c>
      <c r="E34" s="41"/>
      <c r="F34" s="41"/>
      <c r="G34" s="41"/>
      <c r="H34" s="42">
        <f t="shared" si="3"/>
        <v>0</v>
      </c>
      <c r="I34" s="42">
        <f t="shared" si="4"/>
        <v>0</v>
      </c>
      <c r="J34" s="62" t="str">
        <f t="shared" si="5"/>
        <v>0</v>
      </c>
      <c r="K34" s="34">
        <f>'PAREDE-TETO'!M35</f>
        <v>0</v>
      </c>
      <c r="L34" s="19">
        <f t="shared" si="1"/>
        <v>0</v>
      </c>
      <c r="M34" s="19">
        <f t="shared" si="2"/>
        <v>0</v>
      </c>
      <c r="N34" s="19">
        <f t="shared" si="6"/>
        <v>0</v>
      </c>
      <c r="O34" s="19">
        <f t="shared" si="7"/>
        <v>0</v>
      </c>
    </row>
    <row r="35" spans="2:15" x14ac:dyDescent="0.2">
      <c r="B35" s="61" t="str">
        <f t="shared" si="8"/>
        <v/>
      </c>
      <c r="C35" s="10">
        <v>27</v>
      </c>
      <c r="D35" s="39">
        <f>'PAREDE-TETO'!D36</f>
        <v>0</v>
      </c>
      <c r="E35" s="41"/>
      <c r="F35" s="41"/>
      <c r="G35" s="41"/>
      <c r="H35" s="42">
        <f t="shared" si="3"/>
        <v>0</v>
      </c>
      <c r="I35" s="42">
        <f t="shared" si="4"/>
        <v>0</v>
      </c>
      <c r="J35" s="62" t="str">
        <f t="shared" si="5"/>
        <v>0</v>
      </c>
      <c r="K35" s="34">
        <f>'PAREDE-TETO'!M36</f>
        <v>0</v>
      </c>
      <c r="L35" s="19">
        <f t="shared" si="1"/>
        <v>0</v>
      </c>
      <c r="M35" s="19">
        <f t="shared" si="2"/>
        <v>0</v>
      </c>
      <c r="N35" s="19">
        <f t="shared" si="6"/>
        <v>0</v>
      </c>
      <c r="O35" s="19">
        <f t="shared" si="7"/>
        <v>0</v>
      </c>
    </row>
    <row r="36" spans="2:15" x14ac:dyDescent="0.2">
      <c r="B36" s="61" t="str">
        <f t="shared" si="8"/>
        <v/>
      </c>
      <c r="C36" s="10">
        <v>28</v>
      </c>
      <c r="D36" s="39">
        <f>'PAREDE-TETO'!D37</f>
        <v>0</v>
      </c>
      <c r="E36" s="41"/>
      <c r="F36" s="41"/>
      <c r="G36" s="41"/>
      <c r="H36" s="42">
        <f t="shared" si="3"/>
        <v>0</v>
      </c>
      <c r="I36" s="42">
        <f t="shared" si="4"/>
        <v>0</v>
      </c>
      <c r="J36" s="62" t="str">
        <f t="shared" si="5"/>
        <v>0</v>
      </c>
      <c r="K36" s="34">
        <f>'PAREDE-TETO'!M37</f>
        <v>0</v>
      </c>
      <c r="L36" s="19">
        <f t="shared" si="1"/>
        <v>0</v>
      </c>
      <c r="M36" s="19">
        <f t="shared" si="2"/>
        <v>0</v>
      </c>
      <c r="N36" s="19">
        <f t="shared" si="6"/>
        <v>0</v>
      </c>
      <c r="O36" s="19">
        <f t="shared" si="7"/>
        <v>0</v>
      </c>
    </row>
    <row r="37" spans="2:15" x14ac:dyDescent="0.2">
      <c r="B37" s="61" t="str">
        <f t="shared" si="8"/>
        <v/>
      </c>
      <c r="C37" s="10">
        <v>29</v>
      </c>
      <c r="D37" s="39">
        <f>'PAREDE-TETO'!D38</f>
        <v>0</v>
      </c>
      <c r="E37" s="41"/>
      <c r="F37" s="41"/>
      <c r="G37" s="41"/>
      <c r="H37" s="42">
        <f t="shared" si="3"/>
        <v>0</v>
      </c>
      <c r="I37" s="42">
        <f t="shared" si="4"/>
        <v>0</v>
      </c>
      <c r="J37" s="62" t="str">
        <f t="shared" si="5"/>
        <v>0</v>
      </c>
      <c r="K37" s="34">
        <f>'PAREDE-TETO'!M38</f>
        <v>0</v>
      </c>
      <c r="L37" s="19">
        <f t="shared" si="1"/>
        <v>0</v>
      </c>
      <c r="M37" s="19">
        <f t="shared" si="2"/>
        <v>0</v>
      </c>
      <c r="N37" s="19">
        <f t="shared" si="6"/>
        <v>0</v>
      </c>
      <c r="O37" s="19">
        <f t="shared" si="7"/>
        <v>0</v>
      </c>
    </row>
    <row r="38" spans="2:15" x14ac:dyDescent="0.2">
      <c r="B38" s="61" t="str">
        <f t="shared" si="8"/>
        <v/>
      </c>
      <c r="C38" s="10">
        <v>30</v>
      </c>
      <c r="D38" s="39">
        <f>'PAREDE-TETO'!D39</f>
        <v>0</v>
      </c>
      <c r="E38" s="41"/>
      <c r="F38" s="41"/>
      <c r="G38" s="41"/>
      <c r="H38" s="42">
        <f t="shared" si="3"/>
        <v>0</v>
      </c>
      <c r="I38" s="42">
        <f t="shared" si="4"/>
        <v>0</v>
      </c>
      <c r="J38" s="62" t="str">
        <f t="shared" si="5"/>
        <v>0</v>
      </c>
      <c r="K38" s="34">
        <f>'PAREDE-TETO'!M39</f>
        <v>0</v>
      </c>
      <c r="L38" s="19">
        <f t="shared" si="1"/>
        <v>0</v>
      </c>
      <c r="M38" s="19">
        <f t="shared" si="2"/>
        <v>0</v>
      </c>
      <c r="N38" s="19">
        <f t="shared" si="6"/>
        <v>0</v>
      </c>
      <c r="O38" s="19">
        <f t="shared" si="7"/>
        <v>0</v>
      </c>
    </row>
    <row r="39" spans="2:15" x14ac:dyDescent="0.2">
      <c r="B39" s="61" t="str">
        <f t="shared" si="8"/>
        <v/>
      </c>
      <c r="C39" s="10">
        <v>31</v>
      </c>
      <c r="D39" s="39">
        <f>'PAREDE-TETO'!D40</f>
        <v>0</v>
      </c>
      <c r="E39" s="41"/>
      <c r="F39" s="41"/>
      <c r="G39" s="41"/>
      <c r="H39" s="42">
        <f t="shared" si="3"/>
        <v>0</v>
      </c>
      <c r="I39" s="42">
        <f t="shared" si="4"/>
        <v>0</v>
      </c>
      <c r="J39" s="62" t="str">
        <f t="shared" si="5"/>
        <v>0</v>
      </c>
      <c r="K39" s="34">
        <f>'PAREDE-TETO'!M40</f>
        <v>0</v>
      </c>
      <c r="L39" s="19">
        <f t="shared" si="1"/>
        <v>0</v>
      </c>
      <c r="M39" s="19">
        <f t="shared" si="2"/>
        <v>0</v>
      </c>
      <c r="N39" s="19">
        <f t="shared" si="6"/>
        <v>0</v>
      </c>
      <c r="O39" s="19">
        <f t="shared" si="7"/>
        <v>0</v>
      </c>
    </row>
    <row r="40" spans="2:15" x14ac:dyDescent="0.2">
      <c r="B40" s="61" t="str">
        <f t="shared" si="8"/>
        <v/>
      </c>
      <c r="C40" s="10">
        <v>32</v>
      </c>
      <c r="D40" s="39">
        <f>'PAREDE-TETO'!D41</f>
        <v>0</v>
      </c>
      <c r="E40" s="41"/>
      <c r="F40" s="41"/>
      <c r="G40" s="41"/>
      <c r="H40" s="42">
        <f t="shared" si="3"/>
        <v>0</v>
      </c>
      <c r="I40" s="42">
        <f t="shared" si="4"/>
        <v>0</v>
      </c>
      <c r="J40" s="62" t="str">
        <f t="shared" si="5"/>
        <v>0</v>
      </c>
      <c r="K40" s="34">
        <f>'PAREDE-TETO'!M41</f>
        <v>0</v>
      </c>
      <c r="L40" s="19">
        <f t="shared" si="1"/>
        <v>0</v>
      </c>
      <c r="M40" s="19">
        <f t="shared" si="2"/>
        <v>0</v>
      </c>
      <c r="N40" s="19">
        <f t="shared" si="6"/>
        <v>0</v>
      </c>
      <c r="O40" s="19">
        <f t="shared" si="7"/>
        <v>0</v>
      </c>
    </row>
    <row r="41" spans="2:15" x14ac:dyDescent="0.2">
      <c r="B41" s="61" t="str">
        <f t="shared" si="8"/>
        <v/>
      </c>
      <c r="C41" s="10">
        <v>33</v>
      </c>
      <c r="D41" s="39">
        <f>'PAREDE-TETO'!D42</f>
        <v>0</v>
      </c>
      <c r="E41" s="41"/>
      <c r="F41" s="41"/>
      <c r="G41" s="41"/>
      <c r="H41" s="42">
        <f t="shared" si="3"/>
        <v>0</v>
      </c>
      <c r="I41" s="42">
        <f t="shared" si="4"/>
        <v>0</v>
      </c>
      <c r="J41" s="62" t="str">
        <f t="shared" si="5"/>
        <v>0</v>
      </c>
      <c r="K41" s="34">
        <f>'PAREDE-TETO'!M42</f>
        <v>0</v>
      </c>
      <c r="L41" s="19">
        <f t="shared" ref="L41:L72" si="9">H41/100*$R$7*(1+$R$6)</f>
        <v>0</v>
      </c>
      <c r="M41" s="19">
        <f t="shared" ref="M41:M72" si="10">I41/100*$R$7*(1+$R$6)</f>
        <v>0</v>
      </c>
      <c r="N41" s="19">
        <f t="shared" si="6"/>
        <v>0</v>
      </c>
      <c r="O41" s="19">
        <f t="shared" si="7"/>
        <v>0</v>
      </c>
    </row>
    <row r="42" spans="2:15" x14ac:dyDescent="0.2">
      <c r="B42" s="61" t="str">
        <f t="shared" si="8"/>
        <v/>
      </c>
      <c r="C42" s="10">
        <v>34</v>
      </c>
      <c r="D42" s="39">
        <f>'PAREDE-TETO'!D43</f>
        <v>0</v>
      </c>
      <c r="E42" s="41"/>
      <c r="F42" s="41"/>
      <c r="G42" s="41"/>
      <c r="H42" s="42">
        <f t="shared" si="3"/>
        <v>0</v>
      </c>
      <c r="I42" s="42">
        <f t="shared" si="4"/>
        <v>0</v>
      </c>
      <c r="J42" s="62" t="str">
        <f t="shared" si="5"/>
        <v>0</v>
      </c>
      <c r="K42" s="34">
        <f>'PAREDE-TETO'!M43</f>
        <v>0</v>
      </c>
      <c r="L42" s="19">
        <f t="shared" si="9"/>
        <v>0</v>
      </c>
      <c r="M42" s="19">
        <f t="shared" si="10"/>
        <v>0</v>
      </c>
      <c r="N42" s="19">
        <f t="shared" si="6"/>
        <v>0</v>
      </c>
      <c r="O42" s="19">
        <f t="shared" si="7"/>
        <v>0</v>
      </c>
    </row>
    <row r="43" spans="2:15" x14ac:dyDescent="0.2">
      <c r="B43" s="61" t="str">
        <f t="shared" si="8"/>
        <v/>
      </c>
      <c r="C43" s="10">
        <v>35</v>
      </c>
      <c r="D43" s="39">
        <f>'PAREDE-TETO'!D44</f>
        <v>0</v>
      </c>
      <c r="E43" s="41"/>
      <c r="F43" s="41"/>
      <c r="G43" s="41"/>
      <c r="H43" s="42">
        <f t="shared" si="3"/>
        <v>0</v>
      </c>
      <c r="I43" s="42">
        <f t="shared" si="4"/>
        <v>0</v>
      </c>
      <c r="J43" s="62" t="str">
        <f t="shared" si="5"/>
        <v>0</v>
      </c>
      <c r="K43" s="34">
        <f>'PAREDE-TETO'!M44</f>
        <v>0</v>
      </c>
      <c r="L43" s="19">
        <f t="shared" si="9"/>
        <v>0</v>
      </c>
      <c r="M43" s="19">
        <f t="shared" si="10"/>
        <v>0</v>
      </c>
      <c r="N43" s="19">
        <f t="shared" si="6"/>
        <v>0</v>
      </c>
      <c r="O43" s="19">
        <f t="shared" si="7"/>
        <v>0</v>
      </c>
    </row>
    <row r="44" spans="2:15" x14ac:dyDescent="0.2">
      <c r="B44" s="61" t="str">
        <f t="shared" si="8"/>
        <v/>
      </c>
      <c r="C44" s="10">
        <v>36</v>
      </c>
      <c r="D44" s="39">
        <f>'PAREDE-TETO'!D45</f>
        <v>0</v>
      </c>
      <c r="E44" s="41"/>
      <c r="F44" s="41"/>
      <c r="G44" s="41"/>
      <c r="H44" s="42">
        <f t="shared" si="3"/>
        <v>0</v>
      </c>
      <c r="I44" s="42">
        <f t="shared" si="4"/>
        <v>0</v>
      </c>
      <c r="J44" s="62" t="str">
        <f t="shared" si="5"/>
        <v>0</v>
      </c>
      <c r="K44" s="34">
        <f>'PAREDE-TETO'!M45</f>
        <v>0</v>
      </c>
      <c r="L44" s="19">
        <f t="shared" si="9"/>
        <v>0</v>
      </c>
      <c r="M44" s="19">
        <f t="shared" si="10"/>
        <v>0</v>
      </c>
      <c r="N44" s="19">
        <f t="shared" si="6"/>
        <v>0</v>
      </c>
      <c r="O44" s="19">
        <f t="shared" si="7"/>
        <v>0</v>
      </c>
    </row>
    <row r="45" spans="2:15" x14ac:dyDescent="0.2">
      <c r="B45" s="61" t="str">
        <f t="shared" si="8"/>
        <v/>
      </c>
      <c r="C45" s="10">
        <v>37</v>
      </c>
      <c r="D45" s="39">
        <f>'PAREDE-TETO'!D46</f>
        <v>0</v>
      </c>
      <c r="E45" s="41"/>
      <c r="F45" s="41"/>
      <c r="G45" s="41"/>
      <c r="H45" s="42">
        <f t="shared" si="3"/>
        <v>0</v>
      </c>
      <c r="I45" s="42">
        <f t="shared" si="4"/>
        <v>0</v>
      </c>
      <c r="J45" s="62" t="str">
        <f t="shared" si="5"/>
        <v>0</v>
      </c>
      <c r="K45" s="34">
        <f>'PAREDE-TETO'!M46</f>
        <v>0</v>
      </c>
      <c r="L45" s="19">
        <f t="shared" si="9"/>
        <v>0</v>
      </c>
      <c r="M45" s="19">
        <f t="shared" si="10"/>
        <v>0</v>
      </c>
      <c r="N45" s="19">
        <f t="shared" si="6"/>
        <v>0</v>
      </c>
      <c r="O45" s="19">
        <f t="shared" si="7"/>
        <v>0</v>
      </c>
    </row>
    <row r="46" spans="2:15" x14ac:dyDescent="0.2">
      <c r="B46" s="61" t="str">
        <f t="shared" si="8"/>
        <v/>
      </c>
      <c r="C46" s="10">
        <v>38</v>
      </c>
      <c r="D46" s="39">
        <f>'PAREDE-TETO'!D47</f>
        <v>0</v>
      </c>
      <c r="E46" s="41"/>
      <c r="F46" s="41"/>
      <c r="G46" s="41"/>
      <c r="H46" s="42">
        <f t="shared" si="3"/>
        <v>0</v>
      </c>
      <c r="I46" s="42">
        <f t="shared" si="4"/>
        <v>0</v>
      </c>
      <c r="J46" s="62" t="str">
        <f t="shared" si="5"/>
        <v>0</v>
      </c>
      <c r="K46" s="34">
        <f>'PAREDE-TETO'!M47</f>
        <v>0</v>
      </c>
      <c r="L46" s="19">
        <f t="shared" si="9"/>
        <v>0</v>
      </c>
      <c r="M46" s="19">
        <f t="shared" si="10"/>
        <v>0</v>
      </c>
      <c r="N46" s="19">
        <f t="shared" si="6"/>
        <v>0</v>
      </c>
      <c r="O46" s="19">
        <f t="shared" si="7"/>
        <v>0</v>
      </c>
    </row>
    <row r="47" spans="2:15" x14ac:dyDescent="0.2">
      <c r="B47" s="61" t="str">
        <f t="shared" si="8"/>
        <v/>
      </c>
      <c r="C47" s="10">
        <v>39</v>
      </c>
      <c r="D47" s="39">
        <f>'PAREDE-TETO'!D48</f>
        <v>0</v>
      </c>
      <c r="E47" s="41"/>
      <c r="F47" s="41"/>
      <c r="G47" s="41"/>
      <c r="H47" s="42">
        <f t="shared" si="3"/>
        <v>0</v>
      </c>
      <c r="I47" s="42">
        <f t="shared" si="4"/>
        <v>0</v>
      </c>
      <c r="J47" s="62" t="str">
        <f t="shared" si="5"/>
        <v>0</v>
      </c>
      <c r="K47" s="34">
        <f>'PAREDE-TETO'!M48</f>
        <v>0</v>
      </c>
      <c r="L47" s="19">
        <f t="shared" si="9"/>
        <v>0</v>
      </c>
      <c r="M47" s="19">
        <f t="shared" si="10"/>
        <v>0</v>
      </c>
      <c r="N47" s="19">
        <f t="shared" si="6"/>
        <v>0</v>
      </c>
      <c r="O47" s="19">
        <f t="shared" si="7"/>
        <v>0</v>
      </c>
    </row>
    <row r="48" spans="2:15" x14ac:dyDescent="0.2">
      <c r="B48" s="61" t="str">
        <f t="shared" si="8"/>
        <v/>
      </c>
      <c r="C48" s="10">
        <v>40</v>
      </c>
      <c r="D48" s="39">
        <f>'PAREDE-TETO'!D49</f>
        <v>0</v>
      </c>
      <c r="E48" s="41"/>
      <c r="F48" s="41"/>
      <c r="G48" s="41"/>
      <c r="H48" s="42">
        <f t="shared" si="3"/>
        <v>0</v>
      </c>
      <c r="I48" s="42">
        <f t="shared" si="4"/>
        <v>0</v>
      </c>
      <c r="J48" s="62" t="str">
        <f t="shared" si="5"/>
        <v>0</v>
      </c>
      <c r="K48" s="34">
        <f>'PAREDE-TETO'!M49</f>
        <v>0</v>
      </c>
      <c r="L48" s="19">
        <f t="shared" si="9"/>
        <v>0</v>
      </c>
      <c r="M48" s="19">
        <f t="shared" si="10"/>
        <v>0</v>
      </c>
      <c r="N48" s="19">
        <f t="shared" si="6"/>
        <v>0</v>
      </c>
      <c r="O48" s="19">
        <f t="shared" si="7"/>
        <v>0</v>
      </c>
    </row>
    <row r="49" spans="2:15" x14ac:dyDescent="0.2">
      <c r="B49" s="61" t="str">
        <f t="shared" si="8"/>
        <v/>
      </c>
      <c r="C49" s="10">
        <v>41</v>
      </c>
      <c r="D49" s="39">
        <f>'PAREDE-TETO'!D50</f>
        <v>0</v>
      </c>
      <c r="E49" s="41"/>
      <c r="F49" s="41"/>
      <c r="G49" s="41"/>
      <c r="H49" s="42">
        <f t="shared" si="3"/>
        <v>0</v>
      </c>
      <c r="I49" s="42">
        <f t="shared" si="4"/>
        <v>0</v>
      </c>
      <c r="J49" s="62" t="str">
        <f t="shared" si="5"/>
        <v>0</v>
      </c>
      <c r="K49" s="34">
        <f>'PAREDE-TETO'!M50</f>
        <v>0</v>
      </c>
      <c r="L49" s="19">
        <f t="shared" si="9"/>
        <v>0</v>
      </c>
      <c r="M49" s="19">
        <f t="shared" si="10"/>
        <v>0</v>
      </c>
      <c r="N49" s="19">
        <f t="shared" si="6"/>
        <v>0</v>
      </c>
      <c r="O49" s="19">
        <f t="shared" si="7"/>
        <v>0</v>
      </c>
    </row>
    <row r="50" spans="2:15" x14ac:dyDescent="0.2">
      <c r="B50" s="61" t="str">
        <f t="shared" si="8"/>
        <v/>
      </c>
      <c r="C50" s="10">
        <v>42</v>
      </c>
      <c r="D50" s="39">
        <f>'PAREDE-TETO'!D51</f>
        <v>0</v>
      </c>
      <c r="E50" s="41"/>
      <c r="F50" s="41"/>
      <c r="G50" s="41"/>
      <c r="H50" s="42">
        <f t="shared" si="3"/>
        <v>0</v>
      </c>
      <c r="I50" s="42">
        <f t="shared" si="4"/>
        <v>0</v>
      </c>
      <c r="J50" s="62" t="str">
        <f t="shared" si="5"/>
        <v>0</v>
      </c>
      <c r="K50" s="34">
        <f>'PAREDE-TETO'!M51</f>
        <v>0</v>
      </c>
      <c r="L50" s="19">
        <f t="shared" si="9"/>
        <v>0</v>
      </c>
      <c r="M50" s="19">
        <f t="shared" si="10"/>
        <v>0</v>
      </c>
      <c r="N50" s="19">
        <f t="shared" si="6"/>
        <v>0</v>
      </c>
      <c r="O50" s="19">
        <f t="shared" si="7"/>
        <v>0</v>
      </c>
    </row>
    <row r="51" spans="2:15" x14ac:dyDescent="0.2">
      <c r="B51" s="61" t="str">
        <f t="shared" si="8"/>
        <v/>
      </c>
      <c r="C51" s="10">
        <v>43</v>
      </c>
      <c r="D51" s="39">
        <f>'PAREDE-TETO'!D52</f>
        <v>0</v>
      </c>
      <c r="E51" s="41"/>
      <c r="F51" s="41"/>
      <c r="G51" s="41"/>
      <c r="H51" s="42">
        <f t="shared" si="3"/>
        <v>0</v>
      </c>
      <c r="I51" s="42">
        <f t="shared" si="4"/>
        <v>0</v>
      </c>
      <c r="J51" s="62" t="str">
        <f t="shared" si="5"/>
        <v>0</v>
      </c>
      <c r="K51" s="34">
        <f>'PAREDE-TETO'!M52</f>
        <v>0</v>
      </c>
      <c r="L51" s="19">
        <f t="shared" si="9"/>
        <v>0</v>
      </c>
      <c r="M51" s="19">
        <f t="shared" si="10"/>
        <v>0</v>
      </c>
      <c r="N51" s="19">
        <f t="shared" si="6"/>
        <v>0</v>
      </c>
      <c r="O51" s="19">
        <f t="shared" si="7"/>
        <v>0</v>
      </c>
    </row>
    <row r="52" spans="2:15" x14ac:dyDescent="0.2">
      <c r="B52" s="61" t="str">
        <f t="shared" si="8"/>
        <v/>
      </c>
      <c r="C52" s="10">
        <v>44</v>
      </c>
      <c r="D52" s="39">
        <f>'PAREDE-TETO'!D53</f>
        <v>0</v>
      </c>
      <c r="E52" s="41"/>
      <c r="F52" s="41"/>
      <c r="G52" s="41"/>
      <c r="H52" s="42">
        <f t="shared" si="3"/>
        <v>0</v>
      </c>
      <c r="I52" s="42">
        <f t="shared" si="4"/>
        <v>0</v>
      </c>
      <c r="J52" s="62" t="str">
        <f t="shared" si="5"/>
        <v>0</v>
      </c>
      <c r="K52" s="34">
        <f>'PAREDE-TETO'!M53</f>
        <v>0</v>
      </c>
      <c r="L52" s="19">
        <f t="shared" si="9"/>
        <v>0</v>
      </c>
      <c r="M52" s="19">
        <f t="shared" si="10"/>
        <v>0</v>
      </c>
      <c r="N52" s="19">
        <f t="shared" si="6"/>
        <v>0</v>
      </c>
      <c r="O52" s="19">
        <f t="shared" si="7"/>
        <v>0</v>
      </c>
    </row>
    <row r="53" spans="2:15" x14ac:dyDescent="0.2">
      <c r="B53" s="61" t="str">
        <f t="shared" si="8"/>
        <v/>
      </c>
      <c r="C53" s="10">
        <v>45</v>
      </c>
      <c r="D53" s="39">
        <f>'PAREDE-TETO'!D54</f>
        <v>0</v>
      </c>
      <c r="E53" s="41"/>
      <c r="F53" s="41"/>
      <c r="G53" s="41"/>
      <c r="H53" s="42">
        <f t="shared" si="3"/>
        <v>0</v>
      </c>
      <c r="I53" s="42">
        <f t="shared" si="4"/>
        <v>0</v>
      </c>
      <c r="J53" s="62" t="str">
        <f t="shared" si="5"/>
        <v>0</v>
      </c>
      <c r="K53" s="34">
        <f>'PAREDE-TETO'!M54</f>
        <v>0</v>
      </c>
      <c r="L53" s="19">
        <f t="shared" si="9"/>
        <v>0</v>
      </c>
      <c r="M53" s="19">
        <f t="shared" si="10"/>
        <v>0</v>
      </c>
      <c r="N53" s="19">
        <f t="shared" si="6"/>
        <v>0</v>
      </c>
      <c r="O53" s="19">
        <f t="shared" si="7"/>
        <v>0</v>
      </c>
    </row>
    <row r="54" spans="2:15" x14ac:dyDescent="0.2">
      <c r="B54" s="61" t="str">
        <f t="shared" si="8"/>
        <v/>
      </c>
      <c r="C54" s="10">
        <v>46</v>
      </c>
      <c r="D54" s="39">
        <f>'PAREDE-TETO'!D55</f>
        <v>0</v>
      </c>
      <c r="E54" s="41"/>
      <c r="F54" s="41"/>
      <c r="G54" s="41"/>
      <c r="H54" s="42">
        <f t="shared" si="3"/>
        <v>0</v>
      </c>
      <c r="I54" s="42">
        <f t="shared" si="4"/>
        <v>0</v>
      </c>
      <c r="J54" s="62" t="str">
        <f t="shared" si="5"/>
        <v>0</v>
      </c>
      <c r="K54" s="34">
        <f>'PAREDE-TETO'!M55</f>
        <v>0</v>
      </c>
      <c r="L54" s="19">
        <f t="shared" si="9"/>
        <v>0</v>
      </c>
      <c r="M54" s="19">
        <f t="shared" si="10"/>
        <v>0</v>
      </c>
      <c r="N54" s="19">
        <f t="shared" si="6"/>
        <v>0</v>
      </c>
      <c r="O54" s="19">
        <f t="shared" si="7"/>
        <v>0</v>
      </c>
    </row>
    <row r="55" spans="2:15" x14ac:dyDescent="0.2">
      <c r="B55" s="61" t="str">
        <f t="shared" si="8"/>
        <v/>
      </c>
      <c r="C55" s="10">
        <v>47</v>
      </c>
      <c r="D55" s="39">
        <f>'PAREDE-TETO'!D56</f>
        <v>0</v>
      </c>
      <c r="E55" s="41"/>
      <c r="F55" s="41"/>
      <c r="G55" s="41"/>
      <c r="H55" s="42">
        <f t="shared" si="3"/>
        <v>0</v>
      </c>
      <c r="I55" s="42">
        <f t="shared" si="4"/>
        <v>0</v>
      </c>
      <c r="J55" s="62" t="str">
        <f t="shared" si="5"/>
        <v>0</v>
      </c>
      <c r="K55" s="34">
        <f>'PAREDE-TETO'!M56</f>
        <v>0</v>
      </c>
      <c r="L55" s="19">
        <f t="shared" si="9"/>
        <v>0</v>
      </c>
      <c r="M55" s="19">
        <f t="shared" si="10"/>
        <v>0</v>
      </c>
      <c r="N55" s="19">
        <f t="shared" si="6"/>
        <v>0</v>
      </c>
      <c r="O55" s="19">
        <f t="shared" si="7"/>
        <v>0</v>
      </c>
    </row>
    <row r="56" spans="2:15" x14ac:dyDescent="0.2">
      <c r="B56" s="61" t="str">
        <f t="shared" si="8"/>
        <v/>
      </c>
      <c r="C56" s="10">
        <v>48</v>
      </c>
      <c r="D56" s="39">
        <f>'PAREDE-TETO'!D57</f>
        <v>0</v>
      </c>
      <c r="E56" s="41"/>
      <c r="F56" s="41"/>
      <c r="G56" s="41"/>
      <c r="H56" s="42">
        <f t="shared" si="3"/>
        <v>0</v>
      </c>
      <c r="I56" s="42">
        <f t="shared" si="4"/>
        <v>0</v>
      </c>
      <c r="J56" s="62" t="str">
        <f t="shared" si="5"/>
        <v>0</v>
      </c>
      <c r="K56" s="34">
        <f>'PAREDE-TETO'!M57</f>
        <v>0</v>
      </c>
      <c r="L56" s="19">
        <f t="shared" si="9"/>
        <v>0</v>
      </c>
      <c r="M56" s="19">
        <f t="shared" si="10"/>
        <v>0</v>
      </c>
      <c r="N56" s="19">
        <f t="shared" si="6"/>
        <v>0</v>
      </c>
      <c r="O56" s="19">
        <f t="shared" si="7"/>
        <v>0</v>
      </c>
    </row>
    <row r="57" spans="2:15" x14ac:dyDescent="0.2">
      <c r="B57" s="61" t="str">
        <f t="shared" si="8"/>
        <v/>
      </c>
      <c r="C57" s="10">
        <v>49</v>
      </c>
      <c r="D57" s="39">
        <f>'PAREDE-TETO'!D58</f>
        <v>0</v>
      </c>
      <c r="E57" s="41"/>
      <c r="F57" s="41"/>
      <c r="G57" s="41"/>
      <c r="H57" s="42">
        <f t="shared" si="3"/>
        <v>0</v>
      </c>
      <c r="I57" s="42">
        <f t="shared" si="4"/>
        <v>0</v>
      </c>
      <c r="J57" s="62" t="str">
        <f t="shared" si="5"/>
        <v>0</v>
      </c>
      <c r="K57" s="34">
        <f>'PAREDE-TETO'!M58</f>
        <v>0</v>
      </c>
      <c r="L57" s="19">
        <f t="shared" si="9"/>
        <v>0</v>
      </c>
      <c r="M57" s="19">
        <f t="shared" si="10"/>
        <v>0</v>
      </c>
      <c r="N57" s="19">
        <f t="shared" si="6"/>
        <v>0</v>
      </c>
      <c r="O57" s="19">
        <f t="shared" si="7"/>
        <v>0</v>
      </c>
    </row>
    <row r="58" spans="2:15" x14ac:dyDescent="0.2">
      <c r="B58" s="61" t="str">
        <f t="shared" si="8"/>
        <v/>
      </c>
      <c r="C58" s="10">
        <v>50</v>
      </c>
      <c r="D58" s="39">
        <f>'PAREDE-TETO'!D59</f>
        <v>0</v>
      </c>
      <c r="E58" s="41"/>
      <c r="F58" s="41"/>
      <c r="G58" s="41"/>
      <c r="H58" s="42">
        <f t="shared" si="3"/>
        <v>0</v>
      </c>
      <c r="I58" s="42">
        <f t="shared" si="4"/>
        <v>0</v>
      </c>
      <c r="J58" s="62" t="str">
        <f t="shared" si="5"/>
        <v>0</v>
      </c>
      <c r="K58" s="34">
        <f>'PAREDE-TETO'!M59</f>
        <v>0</v>
      </c>
      <c r="L58" s="19">
        <f t="shared" si="9"/>
        <v>0</v>
      </c>
      <c r="M58" s="19">
        <f t="shared" si="10"/>
        <v>0</v>
      </c>
      <c r="N58" s="19">
        <f t="shared" si="6"/>
        <v>0</v>
      </c>
      <c r="O58" s="19">
        <f t="shared" si="7"/>
        <v>0</v>
      </c>
    </row>
    <row r="59" spans="2:15" x14ac:dyDescent="0.2">
      <c r="B59" s="61" t="str">
        <f t="shared" si="8"/>
        <v/>
      </c>
      <c r="C59" s="10">
        <v>51</v>
      </c>
      <c r="D59" s="39">
        <f>'PAREDE-TETO'!D60</f>
        <v>0</v>
      </c>
      <c r="E59" s="41"/>
      <c r="F59" s="41"/>
      <c r="G59" s="41"/>
      <c r="H59" s="42">
        <f t="shared" si="3"/>
        <v>0</v>
      </c>
      <c r="I59" s="42">
        <f t="shared" si="4"/>
        <v>0</v>
      </c>
      <c r="J59" s="62" t="str">
        <f t="shared" si="5"/>
        <v>0</v>
      </c>
      <c r="K59" s="34">
        <f>'PAREDE-TETO'!M60</f>
        <v>0</v>
      </c>
      <c r="L59" s="19">
        <f t="shared" si="9"/>
        <v>0</v>
      </c>
      <c r="M59" s="19">
        <f t="shared" si="10"/>
        <v>0</v>
      </c>
      <c r="N59" s="19">
        <f t="shared" si="6"/>
        <v>0</v>
      </c>
      <c r="O59" s="19">
        <f t="shared" si="7"/>
        <v>0</v>
      </c>
    </row>
    <row r="60" spans="2:15" x14ac:dyDescent="0.2">
      <c r="B60" s="61" t="str">
        <f t="shared" si="8"/>
        <v/>
      </c>
      <c r="C60" s="10">
        <v>52</v>
      </c>
      <c r="D60" s="39">
        <f>'PAREDE-TETO'!D61</f>
        <v>0</v>
      </c>
      <c r="E60" s="41"/>
      <c r="F60" s="41"/>
      <c r="G60" s="41"/>
      <c r="H60" s="42">
        <f t="shared" si="3"/>
        <v>0</v>
      </c>
      <c r="I60" s="42">
        <f t="shared" si="4"/>
        <v>0</v>
      </c>
      <c r="J60" s="62" t="str">
        <f t="shared" si="5"/>
        <v>0</v>
      </c>
      <c r="K60" s="34">
        <f>'PAREDE-TETO'!M61</f>
        <v>0</v>
      </c>
      <c r="L60" s="19">
        <f t="shared" si="9"/>
        <v>0</v>
      </c>
      <c r="M60" s="19">
        <f t="shared" si="10"/>
        <v>0</v>
      </c>
      <c r="N60" s="19">
        <f t="shared" si="6"/>
        <v>0</v>
      </c>
      <c r="O60" s="19">
        <f t="shared" si="7"/>
        <v>0</v>
      </c>
    </row>
    <row r="61" spans="2:15" x14ac:dyDescent="0.2">
      <c r="B61" s="61" t="str">
        <f t="shared" si="8"/>
        <v/>
      </c>
      <c r="C61" s="10">
        <v>53</v>
      </c>
      <c r="D61" s="39">
        <f>'PAREDE-TETO'!D62</f>
        <v>0</v>
      </c>
      <c r="E61" s="41"/>
      <c r="F61" s="41"/>
      <c r="G61" s="41"/>
      <c r="H61" s="42">
        <f t="shared" si="3"/>
        <v>0</v>
      </c>
      <c r="I61" s="42">
        <f t="shared" si="4"/>
        <v>0</v>
      </c>
      <c r="J61" s="62" t="str">
        <f t="shared" si="5"/>
        <v>0</v>
      </c>
      <c r="K61" s="34">
        <f>'PAREDE-TETO'!M62</f>
        <v>0</v>
      </c>
      <c r="L61" s="19">
        <f t="shared" si="9"/>
        <v>0</v>
      </c>
      <c r="M61" s="19">
        <f t="shared" si="10"/>
        <v>0</v>
      </c>
      <c r="N61" s="19">
        <f t="shared" si="6"/>
        <v>0</v>
      </c>
      <c r="O61" s="19">
        <f t="shared" si="7"/>
        <v>0</v>
      </c>
    </row>
    <row r="62" spans="2:15" x14ac:dyDescent="0.2">
      <c r="B62" s="61" t="str">
        <f t="shared" si="8"/>
        <v/>
      </c>
      <c r="C62" s="10">
        <v>54</v>
      </c>
      <c r="D62" s="39">
        <f>'PAREDE-TETO'!D63</f>
        <v>0</v>
      </c>
      <c r="E62" s="41"/>
      <c r="F62" s="41"/>
      <c r="G62" s="41"/>
      <c r="H62" s="42">
        <f t="shared" si="3"/>
        <v>0</v>
      </c>
      <c r="I62" s="42">
        <f t="shared" si="4"/>
        <v>0</v>
      </c>
      <c r="J62" s="62" t="str">
        <f t="shared" si="5"/>
        <v>0</v>
      </c>
      <c r="K62" s="34">
        <f>'PAREDE-TETO'!M63</f>
        <v>0</v>
      </c>
      <c r="L62" s="19">
        <f t="shared" si="9"/>
        <v>0</v>
      </c>
      <c r="M62" s="19">
        <f t="shared" si="10"/>
        <v>0</v>
      </c>
      <c r="N62" s="19">
        <f t="shared" si="6"/>
        <v>0</v>
      </c>
      <c r="O62" s="19">
        <f t="shared" si="7"/>
        <v>0</v>
      </c>
    </row>
    <row r="63" spans="2:15" x14ac:dyDescent="0.2">
      <c r="B63" s="61" t="str">
        <f t="shared" si="8"/>
        <v/>
      </c>
      <c r="C63" s="10">
        <v>55</v>
      </c>
      <c r="D63" s="39">
        <f>'PAREDE-TETO'!D64</f>
        <v>0</v>
      </c>
      <c r="E63" s="41"/>
      <c r="F63" s="41"/>
      <c r="G63" s="41"/>
      <c r="H63" s="42">
        <f t="shared" si="3"/>
        <v>0</v>
      </c>
      <c r="I63" s="42">
        <f t="shared" si="4"/>
        <v>0</v>
      </c>
      <c r="J63" s="62" t="str">
        <f t="shared" si="5"/>
        <v>0</v>
      </c>
      <c r="K63" s="34">
        <f>'PAREDE-TETO'!M64</f>
        <v>0</v>
      </c>
      <c r="L63" s="19">
        <f t="shared" si="9"/>
        <v>0</v>
      </c>
      <c r="M63" s="19">
        <f t="shared" si="10"/>
        <v>0</v>
      </c>
      <c r="N63" s="19">
        <f t="shared" si="6"/>
        <v>0</v>
      </c>
      <c r="O63" s="19">
        <f t="shared" si="7"/>
        <v>0</v>
      </c>
    </row>
    <row r="64" spans="2:15" x14ac:dyDescent="0.2">
      <c r="B64" s="61" t="str">
        <f t="shared" si="8"/>
        <v/>
      </c>
      <c r="C64" s="10">
        <v>56</v>
      </c>
      <c r="D64" s="39">
        <f>'PAREDE-TETO'!D65</f>
        <v>0</v>
      </c>
      <c r="E64" s="41"/>
      <c r="F64" s="41"/>
      <c r="G64" s="41"/>
      <c r="H64" s="42">
        <f t="shared" si="3"/>
        <v>0</v>
      </c>
      <c r="I64" s="42">
        <f t="shared" si="4"/>
        <v>0</v>
      </c>
      <c r="J64" s="62" t="str">
        <f t="shared" si="5"/>
        <v>0</v>
      </c>
      <c r="K64" s="34">
        <f>'PAREDE-TETO'!M65</f>
        <v>0</v>
      </c>
      <c r="L64" s="19">
        <f t="shared" si="9"/>
        <v>0</v>
      </c>
      <c r="M64" s="19">
        <f t="shared" si="10"/>
        <v>0</v>
      </c>
      <c r="N64" s="19">
        <f t="shared" si="6"/>
        <v>0</v>
      </c>
      <c r="O64" s="19">
        <f t="shared" si="7"/>
        <v>0</v>
      </c>
    </row>
    <row r="65" spans="2:15" x14ac:dyDescent="0.2">
      <c r="B65" s="61" t="str">
        <f t="shared" si="8"/>
        <v/>
      </c>
      <c r="C65" s="10">
        <v>57</v>
      </c>
      <c r="D65" s="39">
        <f>'PAREDE-TETO'!D66</f>
        <v>0</v>
      </c>
      <c r="E65" s="41"/>
      <c r="F65" s="41"/>
      <c r="G65" s="41"/>
      <c r="H65" s="42">
        <f t="shared" si="3"/>
        <v>0</v>
      </c>
      <c r="I65" s="42">
        <f t="shared" si="4"/>
        <v>0</v>
      </c>
      <c r="J65" s="62" t="str">
        <f t="shared" si="5"/>
        <v>0</v>
      </c>
      <c r="K65" s="34">
        <f>'PAREDE-TETO'!M66</f>
        <v>0</v>
      </c>
      <c r="L65" s="19">
        <f t="shared" si="9"/>
        <v>0</v>
      </c>
      <c r="M65" s="19">
        <f t="shared" si="10"/>
        <v>0</v>
      </c>
      <c r="N65" s="19">
        <f t="shared" si="6"/>
        <v>0</v>
      </c>
      <c r="O65" s="19">
        <f t="shared" si="7"/>
        <v>0</v>
      </c>
    </row>
    <row r="66" spans="2:15" x14ac:dyDescent="0.2">
      <c r="B66" s="61" t="str">
        <f t="shared" si="8"/>
        <v/>
      </c>
      <c r="C66" s="10">
        <v>58</v>
      </c>
      <c r="D66" s="39">
        <f>'PAREDE-TETO'!D67</f>
        <v>0</v>
      </c>
      <c r="E66" s="41"/>
      <c r="F66" s="41"/>
      <c r="G66" s="41"/>
      <c r="H66" s="42">
        <f t="shared" si="3"/>
        <v>0</v>
      </c>
      <c r="I66" s="42">
        <f t="shared" si="4"/>
        <v>0</v>
      </c>
      <c r="J66" s="62" t="str">
        <f t="shared" si="5"/>
        <v>0</v>
      </c>
      <c r="K66" s="34">
        <f>'PAREDE-TETO'!M67</f>
        <v>0</v>
      </c>
      <c r="L66" s="19">
        <f t="shared" si="9"/>
        <v>0</v>
      </c>
      <c r="M66" s="19">
        <f t="shared" si="10"/>
        <v>0</v>
      </c>
      <c r="N66" s="19">
        <f t="shared" si="6"/>
        <v>0</v>
      </c>
      <c r="O66" s="19">
        <f t="shared" si="7"/>
        <v>0</v>
      </c>
    </row>
    <row r="67" spans="2:15" x14ac:dyDescent="0.2">
      <c r="B67" s="61" t="str">
        <f t="shared" si="8"/>
        <v/>
      </c>
      <c r="C67" s="10">
        <v>59</v>
      </c>
      <c r="D67" s="39">
        <f>'PAREDE-TETO'!D68</f>
        <v>0</v>
      </c>
      <c r="E67" s="41"/>
      <c r="F67" s="41"/>
      <c r="G67" s="41"/>
      <c r="H67" s="42">
        <f t="shared" si="3"/>
        <v>0</v>
      </c>
      <c r="I67" s="42">
        <f t="shared" si="4"/>
        <v>0</v>
      </c>
      <c r="J67" s="62" t="str">
        <f t="shared" si="5"/>
        <v>0</v>
      </c>
      <c r="K67" s="34">
        <f>'PAREDE-TETO'!M68</f>
        <v>0</v>
      </c>
      <c r="L67" s="19">
        <f t="shared" si="9"/>
        <v>0</v>
      </c>
      <c r="M67" s="19">
        <f t="shared" si="10"/>
        <v>0</v>
      </c>
      <c r="N67" s="19">
        <f t="shared" si="6"/>
        <v>0</v>
      </c>
      <c r="O67" s="19">
        <f t="shared" si="7"/>
        <v>0</v>
      </c>
    </row>
    <row r="68" spans="2:15" x14ac:dyDescent="0.2">
      <c r="B68" s="61" t="str">
        <f t="shared" si="8"/>
        <v/>
      </c>
      <c r="C68" s="10">
        <v>60</v>
      </c>
      <c r="D68" s="39">
        <f>'PAREDE-TETO'!D69</f>
        <v>0</v>
      </c>
      <c r="E68" s="41"/>
      <c r="F68" s="41"/>
      <c r="G68" s="41"/>
      <c r="H68" s="42">
        <f t="shared" si="3"/>
        <v>0</v>
      </c>
      <c r="I68" s="42">
        <f t="shared" si="4"/>
        <v>0</v>
      </c>
      <c r="J68" s="62" t="str">
        <f t="shared" si="5"/>
        <v>0</v>
      </c>
      <c r="K68" s="34">
        <f>'PAREDE-TETO'!M69</f>
        <v>0</v>
      </c>
      <c r="L68" s="19">
        <f t="shared" si="9"/>
        <v>0</v>
      </c>
      <c r="M68" s="19">
        <f t="shared" si="10"/>
        <v>0</v>
      </c>
      <c r="N68" s="19">
        <f t="shared" si="6"/>
        <v>0</v>
      </c>
      <c r="O68" s="19">
        <f t="shared" si="7"/>
        <v>0</v>
      </c>
    </row>
    <row r="69" spans="2:15" x14ac:dyDescent="0.2">
      <c r="B69" s="61" t="str">
        <f t="shared" si="8"/>
        <v/>
      </c>
      <c r="C69" s="10">
        <v>61</v>
      </c>
      <c r="D69" s="39">
        <f>'PAREDE-TETO'!D70</f>
        <v>0</v>
      </c>
      <c r="E69" s="41"/>
      <c r="F69" s="41"/>
      <c r="G69" s="41"/>
      <c r="H69" s="42">
        <f t="shared" si="3"/>
        <v>0</v>
      </c>
      <c r="I69" s="42">
        <f t="shared" si="4"/>
        <v>0</v>
      </c>
      <c r="J69" s="62" t="str">
        <f t="shared" si="5"/>
        <v>0</v>
      </c>
      <c r="K69" s="34">
        <f>'PAREDE-TETO'!M70</f>
        <v>0</v>
      </c>
      <c r="L69" s="19">
        <f t="shared" si="9"/>
        <v>0</v>
      </c>
      <c r="M69" s="19">
        <f t="shared" si="10"/>
        <v>0</v>
      </c>
      <c r="N69" s="19">
        <f t="shared" si="6"/>
        <v>0</v>
      </c>
      <c r="O69" s="19">
        <f t="shared" si="7"/>
        <v>0</v>
      </c>
    </row>
    <row r="70" spans="2:15" x14ac:dyDescent="0.2">
      <c r="B70" s="61" t="str">
        <f t="shared" si="8"/>
        <v/>
      </c>
      <c r="C70" s="10">
        <v>62</v>
      </c>
      <c r="D70" s="39">
        <f>'PAREDE-TETO'!D71</f>
        <v>0</v>
      </c>
      <c r="E70" s="41"/>
      <c r="F70" s="41"/>
      <c r="G70" s="41"/>
      <c r="H70" s="42">
        <f t="shared" si="3"/>
        <v>0</v>
      </c>
      <c r="I70" s="42">
        <f t="shared" si="4"/>
        <v>0</v>
      </c>
      <c r="J70" s="62" t="str">
        <f t="shared" si="5"/>
        <v>0</v>
      </c>
      <c r="K70" s="34">
        <f>'PAREDE-TETO'!M71</f>
        <v>0</v>
      </c>
      <c r="L70" s="19">
        <f t="shared" si="9"/>
        <v>0</v>
      </c>
      <c r="M70" s="19">
        <f t="shared" si="10"/>
        <v>0</v>
      </c>
      <c r="N70" s="19">
        <f t="shared" si="6"/>
        <v>0</v>
      </c>
      <c r="O70" s="19">
        <f t="shared" si="7"/>
        <v>0</v>
      </c>
    </row>
    <row r="71" spans="2:15" x14ac:dyDescent="0.2">
      <c r="B71" s="61" t="str">
        <f t="shared" si="8"/>
        <v/>
      </c>
      <c r="C71" s="10">
        <v>63</v>
      </c>
      <c r="D71" s="39">
        <f>'PAREDE-TETO'!D72</f>
        <v>0</v>
      </c>
      <c r="E71" s="41"/>
      <c r="F71" s="41"/>
      <c r="G71" s="41"/>
      <c r="H71" s="42">
        <f t="shared" si="3"/>
        <v>0</v>
      </c>
      <c r="I71" s="42">
        <f t="shared" si="4"/>
        <v>0</v>
      </c>
      <c r="J71" s="62" t="str">
        <f t="shared" si="5"/>
        <v>0</v>
      </c>
      <c r="K71" s="34">
        <f>'PAREDE-TETO'!M72</f>
        <v>0</v>
      </c>
      <c r="L71" s="19">
        <f t="shared" si="9"/>
        <v>0</v>
      </c>
      <c r="M71" s="19">
        <f t="shared" si="10"/>
        <v>0</v>
      </c>
      <c r="N71" s="19">
        <f t="shared" si="6"/>
        <v>0</v>
      </c>
      <c r="O71" s="19">
        <f t="shared" si="7"/>
        <v>0</v>
      </c>
    </row>
    <row r="72" spans="2:15" x14ac:dyDescent="0.2">
      <c r="B72" s="61" t="str">
        <f t="shared" si="8"/>
        <v/>
      </c>
      <c r="C72" s="10">
        <v>64</v>
      </c>
      <c r="D72" s="39">
        <f>'PAREDE-TETO'!D73</f>
        <v>0</v>
      </c>
      <c r="E72" s="41"/>
      <c r="F72" s="41"/>
      <c r="G72" s="41"/>
      <c r="H72" s="42">
        <f t="shared" si="3"/>
        <v>0</v>
      </c>
      <c r="I72" s="42">
        <f t="shared" si="4"/>
        <v>0</v>
      </c>
      <c r="J72" s="62" t="str">
        <f t="shared" si="5"/>
        <v>0</v>
      </c>
      <c r="K72" s="34">
        <f>'PAREDE-TETO'!M73</f>
        <v>0</v>
      </c>
      <c r="L72" s="19">
        <f t="shared" si="9"/>
        <v>0</v>
      </c>
      <c r="M72" s="19">
        <f t="shared" si="10"/>
        <v>0</v>
      </c>
      <c r="N72" s="19">
        <f t="shared" si="6"/>
        <v>0</v>
      </c>
      <c r="O72" s="19">
        <f t="shared" si="7"/>
        <v>0</v>
      </c>
    </row>
    <row r="73" spans="2:15" x14ac:dyDescent="0.2">
      <c r="B73" s="61" t="str">
        <f t="shared" si="8"/>
        <v/>
      </c>
      <c r="C73" s="10">
        <v>65</v>
      </c>
      <c r="D73" s="39">
        <f>'PAREDE-TETO'!D74</f>
        <v>0</v>
      </c>
      <c r="E73" s="41"/>
      <c r="F73" s="41"/>
      <c r="G73" s="41"/>
      <c r="H73" s="42">
        <f t="shared" si="3"/>
        <v>0</v>
      </c>
      <c r="I73" s="42">
        <f t="shared" si="4"/>
        <v>0</v>
      </c>
      <c r="J73" s="62" t="str">
        <f t="shared" si="5"/>
        <v>0</v>
      </c>
      <c r="K73" s="34">
        <f>'PAREDE-TETO'!M74</f>
        <v>0</v>
      </c>
      <c r="L73" s="19">
        <f t="shared" ref="L73:L104" si="11">H73/100*$R$7*(1+$R$6)</f>
        <v>0</v>
      </c>
      <c r="M73" s="19">
        <f t="shared" ref="M73:M104" si="12">I73/100*$R$7*(1+$R$6)</f>
        <v>0</v>
      </c>
      <c r="N73" s="19">
        <f t="shared" si="6"/>
        <v>0</v>
      </c>
      <c r="O73" s="19">
        <f t="shared" si="7"/>
        <v>0</v>
      </c>
    </row>
    <row r="74" spans="2:15" x14ac:dyDescent="0.2">
      <c r="B74" s="61" t="str">
        <f t="shared" si="8"/>
        <v/>
      </c>
      <c r="C74" s="10">
        <v>66</v>
      </c>
      <c r="D74" s="39">
        <f>'PAREDE-TETO'!D75</f>
        <v>0</v>
      </c>
      <c r="E74" s="41"/>
      <c r="F74" s="41"/>
      <c r="G74" s="41"/>
      <c r="H74" s="42">
        <f t="shared" ref="H74:H106" si="13">(D74-E74)*F74</f>
        <v>0</v>
      </c>
      <c r="I74" s="42">
        <f t="shared" ref="I74:I106" si="14">(D74-E74)*G74</f>
        <v>0</v>
      </c>
      <c r="J74" s="62" t="str">
        <f t="shared" ref="J74:J137" si="15">IF(SUM(F74:G74)&gt;0,IF(F74&lt;&gt;0,"CHAPA XADREZ "&amp;VALUE(H74)&amp;" cm",IF(G74&lt;&gt;0,"CHAPA LISA "&amp;VALUE(I74)&amp;" cm")),IF(D74&lt;&gt;0,"","0"))</f>
        <v>0</v>
      </c>
      <c r="K74" s="34">
        <f>'PAREDE-TETO'!M75</f>
        <v>0</v>
      </c>
      <c r="L74" s="19">
        <f t="shared" si="11"/>
        <v>0</v>
      </c>
      <c r="M74" s="19">
        <f t="shared" si="12"/>
        <v>0</v>
      </c>
      <c r="N74" s="19">
        <f t="shared" ref="N74:N137" si="16">ROUNDUP(L74/2.5,0)</f>
        <v>0</v>
      </c>
      <c r="O74" s="19">
        <f t="shared" ref="O74:O137" si="17">ROUNDUP(M74/2.5,0)</f>
        <v>0</v>
      </c>
    </row>
    <row r="75" spans="2:15" x14ac:dyDescent="0.2">
      <c r="B75" s="61" t="str">
        <f t="shared" ref="B75:B138" si="18">IF(D75&lt;&gt;0,1,"")</f>
        <v/>
      </c>
      <c r="C75" s="10">
        <v>67</v>
      </c>
      <c r="D75" s="39">
        <f>'PAREDE-TETO'!D76</f>
        <v>0</v>
      </c>
      <c r="E75" s="41"/>
      <c r="F75" s="41"/>
      <c r="G75" s="41"/>
      <c r="H75" s="42">
        <f t="shared" si="13"/>
        <v>0</v>
      </c>
      <c r="I75" s="42">
        <f t="shared" si="14"/>
        <v>0</v>
      </c>
      <c r="J75" s="62" t="str">
        <f t="shared" si="15"/>
        <v>0</v>
      </c>
      <c r="K75" s="34">
        <f>'PAREDE-TETO'!M76</f>
        <v>0</v>
      </c>
      <c r="L75" s="19">
        <f t="shared" si="11"/>
        <v>0</v>
      </c>
      <c r="M75" s="19">
        <f t="shared" si="12"/>
        <v>0</v>
      </c>
      <c r="N75" s="19">
        <f t="shared" si="16"/>
        <v>0</v>
      </c>
      <c r="O75" s="19">
        <f t="shared" si="17"/>
        <v>0</v>
      </c>
    </row>
    <row r="76" spans="2:15" x14ac:dyDescent="0.2">
      <c r="B76" s="61" t="str">
        <f t="shared" si="18"/>
        <v/>
      </c>
      <c r="C76" s="10">
        <v>68</v>
      </c>
      <c r="D76" s="39">
        <f>'PAREDE-TETO'!D77</f>
        <v>0</v>
      </c>
      <c r="E76" s="41"/>
      <c r="F76" s="41"/>
      <c r="G76" s="41"/>
      <c r="H76" s="42">
        <f t="shared" si="13"/>
        <v>0</v>
      </c>
      <c r="I76" s="42">
        <f t="shared" si="14"/>
        <v>0</v>
      </c>
      <c r="J76" s="62" t="str">
        <f t="shared" si="15"/>
        <v>0</v>
      </c>
      <c r="K76" s="34">
        <f>'PAREDE-TETO'!M77</f>
        <v>0</v>
      </c>
      <c r="L76" s="19">
        <f t="shared" si="11"/>
        <v>0</v>
      </c>
      <c r="M76" s="19">
        <f t="shared" si="12"/>
        <v>0</v>
      </c>
      <c r="N76" s="19">
        <f t="shared" si="16"/>
        <v>0</v>
      </c>
      <c r="O76" s="19">
        <f t="shared" si="17"/>
        <v>0</v>
      </c>
    </row>
    <row r="77" spans="2:15" x14ac:dyDescent="0.2">
      <c r="B77" s="61" t="str">
        <f t="shared" si="18"/>
        <v/>
      </c>
      <c r="C77" s="10">
        <v>69</v>
      </c>
      <c r="D77" s="39">
        <f>'PAREDE-TETO'!D78</f>
        <v>0</v>
      </c>
      <c r="E77" s="41"/>
      <c r="F77" s="41"/>
      <c r="G77" s="41"/>
      <c r="H77" s="42">
        <f t="shared" si="13"/>
        <v>0</v>
      </c>
      <c r="I77" s="42">
        <f t="shared" si="14"/>
        <v>0</v>
      </c>
      <c r="J77" s="62" t="str">
        <f t="shared" si="15"/>
        <v>0</v>
      </c>
      <c r="K77" s="34">
        <f>'PAREDE-TETO'!M78</f>
        <v>0</v>
      </c>
      <c r="L77" s="19">
        <f t="shared" si="11"/>
        <v>0</v>
      </c>
      <c r="M77" s="19">
        <f t="shared" si="12"/>
        <v>0</v>
      </c>
      <c r="N77" s="19">
        <f t="shared" si="16"/>
        <v>0</v>
      </c>
      <c r="O77" s="19">
        <f t="shared" si="17"/>
        <v>0</v>
      </c>
    </row>
    <row r="78" spans="2:15" x14ac:dyDescent="0.2">
      <c r="B78" s="61" t="str">
        <f t="shared" si="18"/>
        <v/>
      </c>
      <c r="C78" s="10">
        <v>70</v>
      </c>
      <c r="D78" s="39">
        <f>'PAREDE-TETO'!D79</f>
        <v>0</v>
      </c>
      <c r="E78" s="41"/>
      <c r="F78" s="41"/>
      <c r="G78" s="41"/>
      <c r="H78" s="42">
        <f t="shared" si="13"/>
        <v>0</v>
      </c>
      <c r="I78" s="42">
        <f t="shared" si="14"/>
        <v>0</v>
      </c>
      <c r="J78" s="62" t="str">
        <f t="shared" si="15"/>
        <v>0</v>
      </c>
      <c r="K78" s="34">
        <f>'PAREDE-TETO'!M79</f>
        <v>0</v>
      </c>
      <c r="L78" s="19">
        <f t="shared" si="11"/>
        <v>0</v>
      </c>
      <c r="M78" s="19">
        <f t="shared" si="12"/>
        <v>0</v>
      </c>
      <c r="N78" s="19">
        <f t="shared" si="16"/>
        <v>0</v>
      </c>
      <c r="O78" s="19">
        <f t="shared" si="17"/>
        <v>0</v>
      </c>
    </row>
    <row r="79" spans="2:15" x14ac:dyDescent="0.2">
      <c r="B79" s="61" t="str">
        <f t="shared" si="18"/>
        <v/>
      </c>
      <c r="C79" s="10">
        <v>71</v>
      </c>
      <c r="D79" s="39">
        <f>'PAREDE-TETO'!D80</f>
        <v>0</v>
      </c>
      <c r="E79" s="41"/>
      <c r="F79" s="41"/>
      <c r="G79" s="41"/>
      <c r="H79" s="42">
        <f t="shared" si="13"/>
        <v>0</v>
      </c>
      <c r="I79" s="42">
        <f t="shared" si="14"/>
        <v>0</v>
      </c>
      <c r="J79" s="62" t="str">
        <f t="shared" si="15"/>
        <v>0</v>
      </c>
      <c r="K79" s="34">
        <f>'PAREDE-TETO'!M80</f>
        <v>0</v>
      </c>
      <c r="L79" s="19">
        <f t="shared" si="11"/>
        <v>0</v>
      </c>
      <c r="M79" s="19">
        <f t="shared" si="12"/>
        <v>0</v>
      </c>
      <c r="N79" s="19">
        <f t="shared" si="16"/>
        <v>0</v>
      </c>
      <c r="O79" s="19">
        <f t="shared" si="17"/>
        <v>0</v>
      </c>
    </row>
    <row r="80" spans="2:15" x14ac:dyDescent="0.2">
      <c r="B80" s="61" t="str">
        <f t="shared" si="18"/>
        <v/>
      </c>
      <c r="C80" s="10">
        <v>72</v>
      </c>
      <c r="D80" s="39">
        <f>'PAREDE-TETO'!D81</f>
        <v>0</v>
      </c>
      <c r="E80" s="41"/>
      <c r="F80" s="41"/>
      <c r="G80" s="41"/>
      <c r="H80" s="42">
        <f t="shared" si="13"/>
        <v>0</v>
      </c>
      <c r="I80" s="42">
        <f t="shared" si="14"/>
        <v>0</v>
      </c>
      <c r="J80" s="62" t="str">
        <f t="shared" si="15"/>
        <v>0</v>
      </c>
      <c r="K80" s="34">
        <f>'PAREDE-TETO'!M81</f>
        <v>0</v>
      </c>
      <c r="L80" s="19">
        <f t="shared" si="11"/>
        <v>0</v>
      </c>
      <c r="M80" s="19">
        <f t="shared" si="12"/>
        <v>0</v>
      </c>
      <c r="N80" s="19">
        <f t="shared" si="16"/>
        <v>0</v>
      </c>
      <c r="O80" s="19">
        <f t="shared" si="17"/>
        <v>0</v>
      </c>
    </row>
    <row r="81" spans="2:15" x14ac:dyDescent="0.2">
      <c r="B81" s="61" t="str">
        <f t="shared" si="18"/>
        <v/>
      </c>
      <c r="C81" s="10">
        <v>73</v>
      </c>
      <c r="D81" s="39">
        <f>'PAREDE-TETO'!D82</f>
        <v>0</v>
      </c>
      <c r="E81" s="41"/>
      <c r="F81" s="41"/>
      <c r="G81" s="41"/>
      <c r="H81" s="42">
        <f t="shared" si="13"/>
        <v>0</v>
      </c>
      <c r="I81" s="42">
        <f t="shared" si="14"/>
        <v>0</v>
      </c>
      <c r="J81" s="62" t="str">
        <f t="shared" si="15"/>
        <v>0</v>
      </c>
      <c r="K81" s="34">
        <f>'PAREDE-TETO'!M82</f>
        <v>0</v>
      </c>
      <c r="L81" s="19">
        <f t="shared" si="11"/>
        <v>0</v>
      </c>
      <c r="M81" s="19">
        <f t="shared" si="12"/>
        <v>0</v>
      </c>
      <c r="N81" s="19">
        <f t="shared" si="16"/>
        <v>0</v>
      </c>
      <c r="O81" s="19">
        <f t="shared" si="17"/>
        <v>0</v>
      </c>
    </row>
    <row r="82" spans="2:15" x14ac:dyDescent="0.2">
      <c r="B82" s="61" t="str">
        <f t="shared" si="18"/>
        <v/>
      </c>
      <c r="C82" s="10">
        <v>74</v>
      </c>
      <c r="D82" s="39">
        <f>'PAREDE-TETO'!D83</f>
        <v>0</v>
      </c>
      <c r="E82" s="41"/>
      <c r="F82" s="41"/>
      <c r="G82" s="41"/>
      <c r="H82" s="42">
        <f t="shared" si="13"/>
        <v>0</v>
      </c>
      <c r="I82" s="42">
        <f t="shared" si="14"/>
        <v>0</v>
      </c>
      <c r="J82" s="62" t="str">
        <f t="shared" si="15"/>
        <v>0</v>
      </c>
      <c r="K82" s="34">
        <f>'PAREDE-TETO'!M83</f>
        <v>0</v>
      </c>
      <c r="L82" s="19">
        <f t="shared" si="11"/>
        <v>0</v>
      </c>
      <c r="M82" s="19">
        <f t="shared" si="12"/>
        <v>0</v>
      </c>
      <c r="N82" s="19">
        <f t="shared" si="16"/>
        <v>0</v>
      </c>
      <c r="O82" s="19">
        <f t="shared" si="17"/>
        <v>0</v>
      </c>
    </row>
    <row r="83" spans="2:15" x14ac:dyDescent="0.2">
      <c r="B83" s="61" t="str">
        <f t="shared" si="18"/>
        <v/>
      </c>
      <c r="C83" s="10">
        <v>75</v>
      </c>
      <c r="D83" s="39">
        <f>'PAREDE-TETO'!D84</f>
        <v>0</v>
      </c>
      <c r="E83" s="41"/>
      <c r="F83" s="41"/>
      <c r="G83" s="41"/>
      <c r="H83" s="42">
        <f t="shared" si="13"/>
        <v>0</v>
      </c>
      <c r="I83" s="42">
        <f t="shared" si="14"/>
        <v>0</v>
      </c>
      <c r="J83" s="62" t="str">
        <f t="shared" si="15"/>
        <v>0</v>
      </c>
      <c r="K83" s="34">
        <f>'PAREDE-TETO'!M84</f>
        <v>0</v>
      </c>
      <c r="L83" s="19">
        <f t="shared" si="11"/>
        <v>0</v>
      </c>
      <c r="M83" s="19">
        <f t="shared" si="12"/>
        <v>0</v>
      </c>
      <c r="N83" s="19">
        <f t="shared" si="16"/>
        <v>0</v>
      </c>
      <c r="O83" s="19">
        <f t="shared" si="17"/>
        <v>0</v>
      </c>
    </row>
    <row r="84" spans="2:15" x14ac:dyDescent="0.2">
      <c r="B84" s="61" t="str">
        <f t="shared" si="18"/>
        <v/>
      </c>
      <c r="C84" s="10">
        <v>76</v>
      </c>
      <c r="D84" s="39">
        <f>'PAREDE-TETO'!D85</f>
        <v>0</v>
      </c>
      <c r="E84" s="41"/>
      <c r="F84" s="41"/>
      <c r="G84" s="41"/>
      <c r="H84" s="42">
        <f t="shared" si="13"/>
        <v>0</v>
      </c>
      <c r="I84" s="42">
        <f t="shared" si="14"/>
        <v>0</v>
      </c>
      <c r="J84" s="62" t="str">
        <f t="shared" si="15"/>
        <v>0</v>
      </c>
      <c r="K84" s="34">
        <f>'PAREDE-TETO'!M85</f>
        <v>0</v>
      </c>
      <c r="L84" s="19">
        <f t="shared" si="11"/>
        <v>0</v>
      </c>
      <c r="M84" s="19">
        <f t="shared" si="12"/>
        <v>0</v>
      </c>
      <c r="N84" s="19">
        <f t="shared" si="16"/>
        <v>0</v>
      </c>
      <c r="O84" s="19">
        <f t="shared" si="17"/>
        <v>0</v>
      </c>
    </row>
    <row r="85" spans="2:15" x14ac:dyDescent="0.2">
      <c r="B85" s="61" t="str">
        <f t="shared" si="18"/>
        <v/>
      </c>
      <c r="C85" s="10">
        <v>77</v>
      </c>
      <c r="D85" s="39">
        <f>'PAREDE-TETO'!D86</f>
        <v>0</v>
      </c>
      <c r="E85" s="41"/>
      <c r="F85" s="41"/>
      <c r="G85" s="41"/>
      <c r="H85" s="42">
        <f t="shared" si="13"/>
        <v>0</v>
      </c>
      <c r="I85" s="42">
        <f t="shared" si="14"/>
        <v>0</v>
      </c>
      <c r="J85" s="62" t="str">
        <f t="shared" si="15"/>
        <v>0</v>
      </c>
      <c r="K85" s="34">
        <f>'PAREDE-TETO'!M86</f>
        <v>0</v>
      </c>
      <c r="L85" s="19">
        <f t="shared" si="11"/>
        <v>0</v>
      </c>
      <c r="M85" s="19">
        <f t="shared" si="12"/>
        <v>0</v>
      </c>
      <c r="N85" s="19">
        <f t="shared" si="16"/>
        <v>0</v>
      </c>
      <c r="O85" s="19">
        <f t="shared" si="17"/>
        <v>0</v>
      </c>
    </row>
    <row r="86" spans="2:15" x14ac:dyDescent="0.2">
      <c r="B86" s="61" t="str">
        <f t="shared" si="18"/>
        <v/>
      </c>
      <c r="C86" s="10">
        <v>78</v>
      </c>
      <c r="D86" s="39">
        <f>'PAREDE-TETO'!D87</f>
        <v>0</v>
      </c>
      <c r="E86" s="41"/>
      <c r="F86" s="41"/>
      <c r="G86" s="41"/>
      <c r="H86" s="42">
        <f t="shared" si="13"/>
        <v>0</v>
      </c>
      <c r="I86" s="42">
        <f t="shared" si="14"/>
        <v>0</v>
      </c>
      <c r="J86" s="62" t="str">
        <f t="shared" si="15"/>
        <v>0</v>
      </c>
      <c r="K86" s="34">
        <f>'PAREDE-TETO'!M87</f>
        <v>0</v>
      </c>
      <c r="L86" s="19">
        <f t="shared" si="11"/>
        <v>0</v>
      </c>
      <c r="M86" s="19">
        <f t="shared" si="12"/>
        <v>0</v>
      </c>
      <c r="N86" s="19">
        <f t="shared" si="16"/>
        <v>0</v>
      </c>
      <c r="O86" s="19">
        <f t="shared" si="17"/>
        <v>0</v>
      </c>
    </row>
    <row r="87" spans="2:15" x14ac:dyDescent="0.2">
      <c r="B87" s="61" t="str">
        <f t="shared" si="18"/>
        <v/>
      </c>
      <c r="C87" s="10">
        <v>79</v>
      </c>
      <c r="D87" s="39">
        <f>'PAREDE-TETO'!D88</f>
        <v>0</v>
      </c>
      <c r="E87" s="41"/>
      <c r="F87" s="41"/>
      <c r="G87" s="41"/>
      <c r="H87" s="42">
        <f t="shared" si="13"/>
        <v>0</v>
      </c>
      <c r="I87" s="42">
        <f t="shared" si="14"/>
        <v>0</v>
      </c>
      <c r="J87" s="62" t="str">
        <f t="shared" si="15"/>
        <v>0</v>
      </c>
      <c r="K87" s="34">
        <f>'PAREDE-TETO'!M88</f>
        <v>0</v>
      </c>
      <c r="L87" s="19">
        <f t="shared" si="11"/>
        <v>0</v>
      </c>
      <c r="M87" s="19">
        <f t="shared" si="12"/>
        <v>0</v>
      </c>
      <c r="N87" s="19">
        <f t="shared" si="16"/>
        <v>0</v>
      </c>
      <c r="O87" s="19">
        <f t="shared" si="17"/>
        <v>0</v>
      </c>
    </row>
    <row r="88" spans="2:15" x14ac:dyDescent="0.2">
      <c r="B88" s="61" t="str">
        <f t="shared" si="18"/>
        <v/>
      </c>
      <c r="C88" s="10">
        <v>80</v>
      </c>
      <c r="D88" s="39">
        <f>'PAREDE-TETO'!D89</f>
        <v>0</v>
      </c>
      <c r="E88" s="41"/>
      <c r="F88" s="41"/>
      <c r="G88" s="41"/>
      <c r="H88" s="42">
        <f t="shared" si="13"/>
        <v>0</v>
      </c>
      <c r="I88" s="42">
        <f t="shared" si="14"/>
        <v>0</v>
      </c>
      <c r="J88" s="62" t="str">
        <f t="shared" si="15"/>
        <v>0</v>
      </c>
      <c r="K88" s="34">
        <f>'PAREDE-TETO'!M89</f>
        <v>0</v>
      </c>
      <c r="L88" s="19">
        <f t="shared" si="11"/>
        <v>0</v>
      </c>
      <c r="M88" s="19">
        <f t="shared" si="12"/>
        <v>0</v>
      </c>
      <c r="N88" s="19">
        <f t="shared" si="16"/>
        <v>0</v>
      </c>
      <c r="O88" s="19">
        <f t="shared" si="17"/>
        <v>0</v>
      </c>
    </row>
    <row r="89" spans="2:15" x14ac:dyDescent="0.2">
      <c r="B89" s="61" t="str">
        <f t="shared" si="18"/>
        <v/>
      </c>
      <c r="C89" s="10">
        <v>81</v>
      </c>
      <c r="D89" s="39">
        <f>'PAREDE-TETO'!D90</f>
        <v>0</v>
      </c>
      <c r="E89" s="41"/>
      <c r="F89" s="41"/>
      <c r="G89" s="41"/>
      <c r="H89" s="42">
        <f t="shared" si="13"/>
        <v>0</v>
      </c>
      <c r="I89" s="42">
        <f t="shared" si="14"/>
        <v>0</v>
      </c>
      <c r="J89" s="62" t="str">
        <f t="shared" si="15"/>
        <v>0</v>
      </c>
      <c r="K89" s="34">
        <f>'PAREDE-TETO'!M90</f>
        <v>0</v>
      </c>
      <c r="L89" s="19">
        <f t="shared" si="11"/>
        <v>0</v>
      </c>
      <c r="M89" s="19">
        <f t="shared" si="12"/>
        <v>0</v>
      </c>
      <c r="N89" s="19">
        <f t="shared" si="16"/>
        <v>0</v>
      </c>
      <c r="O89" s="19">
        <f t="shared" si="17"/>
        <v>0</v>
      </c>
    </row>
    <row r="90" spans="2:15" x14ac:dyDescent="0.2">
      <c r="B90" s="61" t="str">
        <f t="shared" si="18"/>
        <v/>
      </c>
      <c r="C90" s="10">
        <v>82</v>
      </c>
      <c r="D90" s="39">
        <f>'PAREDE-TETO'!D91</f>
        <v>0</v>
      </c>
      <c r="E90" s="41"/>
      <c r="F90" s="41"/>
      <c r="G90" s="41"/>
      <c r="H90" s="42">
        <f t="shared" si="13"/>
        <v>0</v>
      </c>
      <c r="I90" s="42">
        <f t="shared" si="14"/>
        <v>0</v>
      </c>
      <c r="J90" s="62" t="str">
        <f t="shared" si="15"/>
        <v>0</v>
      </c>
      <c r="K90" s="34">
        <f>'PAREDE-TETO'!M91</f>
        <v>0</v>
      </c>
      <c r="L90" s="19">
        <f t="shared" si="11"/>
        <v>0</v>
      </c>
      <c r="M90" s="19">
        <f t="shared" si="12"/>
        <v>0</v>
      </c>
      <c r="N90" s="19">
        <f t="shared" si="16"/>
        <v>0</v>
      </c>
      <c r="O90" s="19">
        <f t="shared" si="17"/>
        <v>0</v>
      </c>
    </row>
    <row r="91" spans="2:15" x14ac:dyDescent="0.2">
      <c r="B91" s="61" t="str">
        <f t="shared" si="18"/>
        <v/>
      </c>
      <c r="C91" s="10">
        <v>83</v>
      </c>
      <c r="D91" s="39">
        <f>'PAREDE-TETO'!D92</f>
        <v>0</v>
      </c>
      <c r="E91" s="41"/>
      <c r="F91" s="41"/>
      <c r="G91" s="41"/>
      <c r="H91" s="42">
        <f t="shared" si="13"/>
        <v>0</v>
      </c>
      <c r="I91" s="42">
        <f t="shared" si="14"/>
        <v>0</v>
      </c>
      <c r="J91" s="62" t="str">
        <f t="shared" si="15"/>
        <v>0</v>
      </c>
      <c r="K91" s="34">
        <f>'PAREDE-TETO'!M92</f>
        <v>0</v>
      </c>
      <c r="L91" s="19">
        <f t="shared" si="11"/>
        <v>0</v>
      </c>
      <c r="M91" s="19">
        <f t="shared" si="12"/>
        <v>0</v>
      </c>
      <c r="N91" s="19">
        <f t="shared" si="16"/>
        <v>0</v>
      </c>
      <c r="O91" s="19">
        <f t="shared" si="17"/>
        <v>0</v>
      </c>
    </row>
    <row r="92" spans="2:15" x14ac:dyDescent="0.2">
      <c r="B92" s="61" t="str">
        <f t="shared" si="18"/>
        <v/>
      </c>
      <c r="C92" s="10">
        <v>84</v>
      </c>
      <c r="D92" s="39">
        <f>'PAREDE-TETO'!D93</f>
        <v>0</v>
      </c>
      <c r="E92" s="41"/>
      <c r="F92" s="41"/>
      <c r="G92" s="41"/>
      <c r="H92" s="42">
        <f t="shared" si="13"/>
        <v>0</v>
      </c>
      <c r="I92" s="42">
        <f t="shared" si="14"/>
        <v>0</v>
      </c>
      <c r="J92" s="62" t="str">
        <f t="shared" si="15"/>
        <v>0</v>
      </c>
      <c r="K92" s="34">
        <f>'PAREDE-TETO'!M93</f>
        <v>0</v>
      </c>
      <c r="L92" s="19">
        <f t="shared" si="11"/>
        <v>0</v>
      </c>
      <c r="M92" s="19">
        <f t="shared" si="12"/>
        <v>0</v>
      </c>
      <c r="N92" s="19">
        <f t="shared" si="16"/>
        <v>0</v>
      </c>
      <c r="O92" s="19">
        <f t="shared" si="17"/>
        <v>0</v>
      </c>
    </row>
    <row r="93" spans="2:15" x14ac:dyDescent="0.2">
      <c r="B93" s="61" t="str">
        <f t="shared" si="18"/>
        <v/>
      </c>
      <c r="C93" s="10">
        <v>85</v>
      </c>
      <c r="D93" s="39">
        <f>'PAREDE-TETO'!D94</f>
        <v>0</v>
      </c>
      <c r="E93" s="41"/>
      <c r="F93" s="41"/>
      <c r="G93" s="41"/>
      <c r="H93" s="42">
        <f t="shared" si="13"/>
        <v>0</v>
      </c>
      <c r="I93" s="42">
        <f t="shared" si="14"/>
        <v>0</v>
      </c>
      <c r="J93" s="62" t="str">
        <f t="shared" si="15"/>
        <v>0</v>
      </c>
      <c r="K93" s="34">
        <f>'PAREDE-TETO'!M94</f>
        <v>0</v>
      </c>
      <c r="L93" s="19">
        <f t="shared" si="11"/>
        <v>0</v>
      </c>
      <c r="M93" s="19">
        <f t="shared" si="12"/>
        <v>0</v>
      </c>
      <c r="N93" s="19">
        <f t="shared" si="16"/>
        <v>0</v>
      </c>
      <c r="O93" s="19">
        <f t="shared" si="17"/>
        <v>0</v>
      </c>
    </row>
    <row r="94" spans="2:15" x14ac:dyDescent="0.2">
      <c r="B94" s="61" t="str">
        <f t="shared" si="18"/>
        <v/>
      </c>
      <c r="C94" s="10">
        <v>86</v>
      </c>
      <c r="D94" s="39">
        <f>'PAREDE-TETO'!D95</f>
        <v>0</v>
      </c>
      <c r="E94" s="41"/>
      <c r="F94" s="41"/>
      <c r="G94" s="41"/>
      <c r="H94" s="42">
        <f t="shared" si="13"/>
        <v>0</v>
      </c>
      <c r="I94" s="42">
        <f t="shared" si="14"/>
        <v>0</v>
      </c>
      <c r="J94" s="62" t="str">
        <f t="shared" si="15"/>
        <v>0</v>
      </c>
      <c r="K94" s="34">
        <f>'PAREDE-TETO'!M95</f>
        <v>0</v>
      </c>
      <c r="L94" s="19">
        <f t="shared" si="11"/>
        <v>0</v>
      </c>
      <c r="M94" s="19">
        <f t="shared" si="12"/>
        <v>0</v>
      </c>
      <c r="N94" s="19">
        <f t="shared" si="16"/>
        <v>0</v>
      </c>
      <c r="O94" s="19">
        <f t="shared" si="17"/>
        <v>0</v>
      </c>
    </row>
    <row r="95" spans="2:15" x14ac:dyDescent="0.2">
      <c r="B95" s="61" t="str">
        <f t="shared" si="18"/>
        <v/>
      </c>
      <c r="C95" s="10">
        <v>87</v>
      </c>
      <c r="D95" s="39">
        <f>'PAREDE-TETO'!D96</f>
        <v>0</v>
      </c>
      <c r="E95" s="41"/>
      <c r="F95" s="41"/>
      <c r="G95" s="41"/>
      <c r="H95" s="42">
        <f t="shared" si="13"/>
        <v>0</v>
      </c>
      <c r="I95" s="42">
        <f t="shared" si="14"/>
        <v>0</v>
      </c>
      <c r="J95" s="62" t="str">
        <f t="shared" si="15"/>
        <v>0</v>
      </c>
      <c r="K95" s="34">
        <f>'PAREDE-TETO'!M96</f>
        <v>0</v>
      </c>
      <c r="L95" s="19">
        <f t="shared" si="11"/>
        <v>0</v>
      </c>
      <c r="M95" s="19">
        <f t="shared" si="12"/>
        <v>0</v>
      </c>
      <c r="N95" s="19">
        <f t="shared" si="16"/>
        <v>0</v>
      </c>
      <c r="O95" s="19">
        <f t="shared" si="17"/>
        <v>0</v>
      </c>
    </row>
    <row r="96" spans="2:15" x14ac:dyDescent="0.2">
      <c r="B96" s="61" t="str">
        <f t="shared" si="18"/>
        <v/>
      </c>
      <c r="C96" s="10">
        <v>88</v>
      </c>
      <c r="D96" s="39">
        <f>'PAREDE-TETO'!D97</f>
        <v>0</v>
      </c>
      <c r="E96" s="41"/>
      <c r="F96" s="41"/>
      <c r="G96" s="41"/>
      <c r="H96" s="42">
        <f t="shared" si="13"/>
        <v>0</v>
      </c>
      <c r="I96" s="42">
        <f t="shared" si="14"/>
        <v>0</v>
      </c>
      <c r="J96" s="62" t="str">
        <f t="shared" si="15"/>
        <v>0</v>
      </c>
      <c r="K96" s="34">
        <f>'PAREDE-TETO'!M97</f>
        <v>0</v>
      </c>
      <c r="L96" s="19">
        <f t="shared" si="11"/>
        <v>0</v>
      </c>
      <c r="M96" s="19">
        <f t="shared" si="12"/>
        <v>0</v>
      </c>
      <c r="N96" s="19">
        <f t="shared" si="16"/>
        <v>0</v>
      </c>
      <c r="O96" s="19">
        <f t="shared" si="17"/>
        <v>0</v>
      </c>
    </row>
    <row r="97" spans="2:15" x14ac:dyDescent="0.2">
      <c r="B97" s="61" t="str">
        <f t="shared" si="18"/>
        <v/>
      </c>
      <c r="C97" s="10">
        <v>89</v>
      </c>
      <c r="D97" s="39">
        <f>'PAREDE-TETO'!D98</f>
        <v>0</v>
      </c>
      <c r="E97" s="41"/>
      <c r="F97" s="41"/>
      <c r="G97" s="41"/>
      <c r="H97" s="42">
        <f t="shared" si="13"/>
        <v>0</v>
      </c>
      <c r="I97" s="42">
        <f t="shared" si="14"/>
        <v>0</v>
      </c>
      <c r="J97" s="62" t="str">
        <f t="shared" si="15"/>
        <v>0</v>
      </c>
      <c r="K97" s="34">
        <f>'PAREDE-TETO'!M98</f>
        <v>0</v>
      </c>
      <c r="L97" s="19">
        <f t="shared" si="11"/>
        <v>0</v>
      </c>
      <c r="M97" s="19">
        <f t="shared" si="12"/>
        <v>0</v>
      </c>
      <c r="N97" s="19">
        <f t="shared" si="16"/>
        <v>0</v>
      </c>
      <c r="O97" s="19">
        <f t="shared" si="17"/>
        <v>0</v>
      </c>
    </row>
    <row r="98" spans="2:15" x14ac:dyDescent="0.2">
      <c r="B98" s="61" t="str">
        <f t="shared" si="18"/>
        <v/>
      </c>
      <c r="C98" s="10">
        <v>90</v>
      </c>
      <c r="D98" s="39">
        <f>'PAREDE-TETO'!D99</f>
        <v>0</v>
      </c>
      <c r="E98" s="41"/>
      <c r="F98" s="41"/>
      <c r="G98" s="41"/>
      <c r="H98" s="42">
        <f t="shared" si="13"/>
        <v>0</v>
      </c>
      <c r="I98" s="42">
        <f t="shared" si="14"/>
        <v>0</v>
      </c>
      <c r="J98" s="62" t="str">
        <f t="shared" si="15"/>
        <v>0</v>
      </c>
      <c r="K98" s="34">
        <f>'PAREDE-TETO'!M99</f>
        <v>0</v>
      </c>
      <c r="L98" s="19">
        <f t="shared" si="11"/>
        <v>0</v>
      </c>
      <c r="M98" s="19">
        <f t="shared" si="12"/>
        <v>0</v>
      </c>
      <c r="N98" s="19">
        <f t="shared" si="16"/>
        <v>0</v>
      </c>
      <c r="O98" s="19">
        <f t="shared" si="17"/>
        <v>0</v>
      </c>
    </row>
    <row r="99" spans="2:15" x14ac:dyDescent="0.2">
      <c r="B99" s="61" t="str">
        <f t="shared" si="18"/>
        <v/>
      </c>
      <c r="C99" s="10">
        <v>91</v>
      </c>
      <c r="D99" s="39">
        <f>'PAREDE-TETO'!D100</f>
        <v>0</v>
      </c>
      <c r="E99" s="41"/>
      <c r="F99" s="41"/>
      <c r="G99" s="41"/>
      <c r="H99" s="42">
        <f t="shared" si="13"/>
        <v>0</v>
      </c>
      <c r="I99" s="42">
        <f t="shared" si="14"/>
        <v>0</v>
      </c>
      <c r="J99" s="62" t="str">
        <f t="shared" si="15"/>
        <v>0</v>
      </c>
      <c r="K99" s="34">
        <f>'PAREDE-TETO'!M100</f>
        <v>0</v>
      </c>
      <c r="L99" s="19">
        <f t="shared" si="11"/>
        <v>0</v>
      </c>
      <c r="M99" s="19">
        <f t="shared" si="12"/>
        <v>0</v>
      </c>
      <c r="N99" s="19">
        <f t="shared" si="16"/>
        <v>0</v>
      </c>
      <c r="O99" s="19">
        <f t="shared" si="17"/>
        <v>0</v>
      </c>
    </row>
    <row r="100" spans="2:15" x14ac:dyDescent="0.2">
      <c r="B100" s="61" t="str">
        <f t="shared" si="18"/>
        <v/>
      </c>
      <c r="C100" s="10">
        <v>92</v>
      </c>
      <c r="D100" s="39">
        <f>'PAREDE-TETO'!D101</f>
        <v>0</v>
      </c>
      <c r="E100" s="41"/>
      <c r="F100" s="41"/>
      <c r="G100" s="41"/>
      <c r="H100" s="42">
        <f t="shared" si="13"/>
        <v>0</v>
      </c>
      <c r="I100" s="42">
        <f t="shared" si="14"/>
        <v>0</v>
      </c>
      <c r="J100" s="62" t="str">
        <f t="shared" si="15"/>
        <v>0</v>
      </c>
      <c r="K100" s="34">
        <f>'PAREDE-TETO'!M101</f>
        <v>0</v>
      </c>
      <c r="L100" s="19">
        <f t="shared" si="11"/>
        <v>0</v>
      </c>
      <c r="M100" s="19">
        <f t="shared" si="12"/>
        <v>0</v>
      </c>
      <c r="N100" s="19">
        <f t="shared" si="16"/>
        <v>0</v>
      </c>
      <c r="O100" s="19">
        <f t="shared" si="17"/>
        <v>0</v>
      </c>
    </row>
    <row r="101" spans="2:15" x14ac:dyDescent="0.2">
      <c r="B101" s="61" t="str">
        <f t="shared" si="18"/>
        <v/>
      </c>
      <c r="C101" s="10">
        <v>93</v>
      </c>
      <c r="D101" s="39">
        <f>'PAREDE-TETO'!D102</f>
        <v>0</v>
      </c>
      <c r="E101" s="41"/>
      <c r="F101" s="41"/>
      <c r="G101" s="41"/>
      <c r="H101" s="42">
        <f t="shared" si="13"/>
        <v>0</v>
      </c>
      <c r="I101" s="42">
        <f t="shared" si="14"/>
        <v>0</v>
      </c>
      <c r="J101" s="62" t="str">
        <f t="shared" si="15"/>
        <v>0</v>
      </c>
      <c r="K101" s="34">
        <f>'PAREDE-TETO'!M102</f>
        <v>0</v>
      </c>
      <c r="L101" s="19">
        <f t="shared" si="11"/>
        <v>0</v>
      </c>
      <c r="M101" s="19">
        <f t="shared" si="12"/>
        <v>0</v>
      </c>
      <c r="N101" s="19">
        <f t="shared" si="16"/>
        <v>0</v>
      </c>
      <c r="O101" s="19">
        <f t="shared" si="17"/>
        <v>0</v>
      </c>
    </row>
    <row r="102" spans="2:15" x14ac:dyDescent="0.2">
      <c r="B102" s="61" t="str">
        <f t="shared" si="18"/>
        <v/>
      </c>
      <c r="C102" s="10">
        <v>94</v>
      </c>
      <c r="D102" s="39">
        <f>'PAREDE-TETO'!D103</f>
        <v>0</v>
      </c>
      <c r="E102" s="41"/>
      <c r="F102" s="41"/>
      <c r="G102" s="41"/>
      <c r="H102" s="42">
        <f t="shared" si="13"/>
        <v>0</v>
      </c>
      <c r="I102" s="42">
        <f t="shared" si="14"/>
        <v>0</v>
      </c>
      <c r="J102" s="62" t="str">
        <f t="shared" si="15"/>
        <v>0</v>
      </c>
      <c r="K102" s="34">
        <f>'PAREDE-TETO'!M103</f>
        <v>0</v>
      </c>
      <c r="L102" s="19">
        <f t="shared" si="11"/>
        <v>0</v>
      </c>
      <c r="M102" s="19">
        <f t="shared" si="12"/>
        <v>0</v>
      </c>
      <c r="N102" s="19">
        <f t="shared" si="16"/>
        <v>0</v>
      </c>
      <c r="O102" s="19">
        <f t="shared" si="17"/>
        <v>0</v>
      </c>
    </row>
    <row r="103" spans="2:15" x14ac:dyDescent="0.2">
      <c r="B103" s="61" t="str">
        <f t="shared" si="18"/>
        <v/>
      </c>
      <c r="C103" s="10">
        <v>95</v>
      </c>
      <c r="D103" s="39">
        <f>'PAREDE-TETO'!D104</f>
        <v>0</v>
      </c>
      <c r="E103" s="41"/>
      <c r="F103" s="41"/>
      <c r="G103" s="41"/>
      <c r="H103" s="42">
        <f t="shared" si="13"/>
        <v>0</v>
      </c>
      <c r="I103" s="42">
        <f t="shared" si="14"/>
        <v>0</v>
      </c>
      <c r="J103" s="62" t="str">
        <f t="shared" si="15"/>
        <v>0</v>
      </c>
      <c r="K103" s="34">
        <f>'PAREDE-TETO'!M104</f>
        <v>0</v>
      </c>
      <c r="L103" s="19">
        <f t="shared" si="11"/>
        <v>0</v>
      </c>
      <c r="M103" s="19">
        <f t="shared" si="12"/>
        <v>0</v>
      </c>
      <c r="N103" s="19">
        <f t="shared" si="16"/>
        <v>0</v>
      </c>
      <c r="O103" s="19">
        <f t="shared" si="17"/>
        <v>0</v>
      </c>
    </row>
    <row r="104" spans="2:15" x14ac:dyDescent="0.2">
      <c r="B104" s="61" t="str">
        <f t="shared" si="18"/>
        <v/>
      </c>
      <c r="C104" s="10">
        <v>96</v>
      </c>
      <c r="D104" s="39">
        <f>'PAREDE-TETO'!D105</f>
        <v>0</v>
      </c>
      <c r="E104" s="41"/>
      <c r="F104" s="41"/>
      <c r="G104" s="41"/>
      <c r="H104" s="42">
        <f t="shared" si="13"/>
        <v>0</v>
      </c>
      <c r="I104" s="42">
        <f t="shared" si="14"/>
        <v>0</v>
      </c>
      <c r="J104" s="62" t="str">
        <f t="shared" si="15"/>
        <v>0</v>
      </c>
      <c r="K104" s="34">
        <f>'PAREDE-TETO'!M105</f>
        <v>0</v>
      </c>
      <c r="L104" s="19">
        <f t="shared" si="11"/>
        <v>0</v>
      </c>
      <c r="M104" s="19">
        <f t="shared" si="12"/>
        <v>0</v>
      </c>
      <c r="N104" s="19">
        <f t="shared" si="16"/>
        <v>0</v>
      </c>
      <c r="O104" s="19">
        <f t="shared" si="17"/>
        <v>0</v>
      </c>
    </row>
    <row r="105" spans="2:15" x14ac:dyDescent="0.2">
      <c r="B105" s="61" t="str">
        <f t="shared" si="18"/>
        <v/>
      </c>
      <c r="C105" s="10">
        <v>97</v>
      </c>
      <c r="D105" s="39">
        <f>'PAREDE-TETO'!D106</f>
        <v>0</v>
      </c>
      <c r="E105" s="41"/>
      <c r="F105" s="41"/>
      <c r="G105" s="41"/>
      <c r="H105" s="42">
        <f t="shared" si="13"/>
        <v>0</v>
      </c>
      <c r="I105" s="42">
        <f t="shared" si="14"/>
        <v>0</v>
      </c>
      <c r="J105" s="62" t="str">
        <f t="shared" si="15"/>
        <v>0</v>
      </c>
      <c r="K105" s="34">
        <f>'PAREDE-TETO'!M106</f>
        <v>0</v>
      </c>
      <c r="L105" s="19">
        <f t="shared" ref="L105:L136" si="19">H105/100*$R$7*(1+$R$6)</f>
        <v>0</v>
      </c>
      <c r="M105" s="19">
        <f t="shared" ref="M105:M136" si="20">I105/100*$R$7*(1+$R$6)</f>
        <v>0</v>
      </c>
      <c r="N105" s="19">
        <f t="shared" si="16"/>
        <v>0</v>
      </c>
      <c r="O105" s="19">
        <f t="shared" si="17"/>
        <v>0</v>
      </c>
    </row>
    <row r="106" spans="2:15" x14ac:dyDescent="0.2">
      <c r="B106" s="61" t="str">
        <f t="shared" si="18"/>
        <v/>
      </c>
      <c r="C106" s="10">
        <v>98</v>
      </c>
      <c r="D106" s="39">
        <f>'PAREDE-TETO'!D107</f>
        <v>0</v>
      </c>
      <c r="E106" s="41"/>
      <c r="F106" s="41"/>
      <c r="G106" s="41"/>
      <c r="H106" s="42">
        <f t="shared" si="13"/>
        <v>0</v>
      </c>
      <c r="I106" s="42">
        <f t="shared" si="14"/>
        <v>0</v>
      </c>
      <c r="J106" s="62" t="str">
        <f t="shared" si="15"/>
        <v>0</v>
      </c>
      <c r="K106" s="34">
        <f>'PAREDE-TETO'!M107</f>
        <v>0</v>
      </c>
      <c r="L106" s="19">
        <f t="shared" si="19"/>
        <v>0</v>
      </c>
      <c r="M106" s="19">
        <f t="shared" si="20"/>
        <v>0</v>
      </c>
      <c r="N106" s="19">
        <f t="shared" si="16"/>
        <v>0</v>
      </c>
      <c r="O106" s="19">
        <f t="shared" si="17"/>
        <v>0</v>
      </c>
    </row>
    <row r="107" spans="2:15" x14ac:dyDescent="0.2">
      <c r="B107" s="61" t="str">
        <f t="shared" si="18"/>
        <v/>
      </c>
      <c r="C107" s="10">
        <v>99</v>
      </c>
      <c r="D107" s="39">
        <f>'PAREDE-TETO'!D108</f>
        <v>0</v>
      </c>
      <c r="E107" s="41"/>
      <c r="F107" s="41"/>
      <c r="G107" s="41"/>
      <c r="H107" s="42">
        <f t="shared" ref="H107:H170" si="21">(D107-E107)*F107</f>
        <v>0</v>
      </c>
      <c r="I107" s="42">
        <f t="shared" ref="I107:I170" si="22">(D107-E107)*G107</f>
        <v>0</v>
      </c>
      <c r="J107" s="62" t="str">
        <f t="shared" si="15"/>
        <v>0</v>
      </c>
      <c r="K107" s="34">
        <f>'PAREDE-TETO'!M108</f>
        <v>0</v>
      </c>
      <c r="L107" s="19">
        <f t="shared" si="19"/>
        <v>0</v>
      </c>
      <c r="M107" s="19">
        <f t="shared" si="20"/>
        <v>0</v>
      </c>
      <c r="N107" s="19">
        <f t="shared" si="16"/>
        <v>0</v>
      </c>
      <c r="O107" s="19">
        <f t="shared" si="17"/>
        <v>0</v>
      </c>
    </row>
    <row r="108" spans="2:15" x14ac:dyDescent="0.2">
      <c r="B108" s="61" t="str">
        <f t="shared" si="18"/>
        <v/>
      </c>
      <c r="C108" s="10">
        <v>100</v>
      </c>
      <c r="D108" s="39">
        <f>'PAREDE-TETO'!D109</f>
        <v>0</v>
      </c>
      <c r="E108" s="41"/>
      <c r="F108" s="41"/>
      <c r="G108" s="41"/>
      <c r="H108" s="42">
        <f t="shared" si="21"/>
        <v>0</v>
      </c>
      <c r="I108" s="42">
        <f t="shared" si="22"/>
        <v>0</v>
      </c>
      <c r="J108" s="62" t="str">
        <f t="shared" si="15"/>
        <v>0</v>
      </c>
      <c r="K108" s="34">
        <f>'PAREDE-TETO'!M109</f>
        <v>0</v>
      </c>
      <c r="L108" s="19">
        <f t="shared" si="19"/>
        <v>0</v>
      </c>
      <c r="M108" s="19">
        <f t="shared" si="20"/>
        <v>0</v>
      </c>
      <c r="N108" s="19">
        <f t="shared" si="16"/>
        <v>0</v>
      </c>
      <c r="O108" s="19">
        <f t="shared" si="17"/>
        <v>0</v>
      </c>
    </row>
    <row r="109" spans="2:15" x14ac:dyDescent="0.2">
      <c r="B109" s="61" t="str">
        <f t="shared" si="18"/>
        <v/>
      </c>
      <c r="C109" s="10">
        <v>101</v>
      </c>
      <c r="D109" s="39">
        <f>'PAREDE-TETO'!D110</f>
        <v>0</v>
      </c>
      <c r="E109" s="41"/>
      <c r="F109" s="41"/>
      <c r="G109" s="41"/>
      <c r="H109" s="42">
        <f t="shared" si="21"/>
        <v>0</v>
      </c>
      <c r="I109" s="42">
        <f t="shared" si="22"/>
        <v>0</v>
      </c>
      <c r="J109" s="62" t="str">
        <f t="shared" si="15"/>
        <v>0</v>
      </c>
      <c r="K109" s="34">
        <f>'PAREDE-TETO'!M110</f>
        <v>0</v>
      </c>
      <c r="L109" s="19">
        <f t="shared" si="19"/>
        <v>0</v>
      </c>
      <c r="M109" s="19">
        <f t="shared" si="20"/>
        <v>0</v>
      </c>
      <c r="N109" s="19">
        <f t="shared" si="16"/>
        <v>0</v>
      </c>
      <c r="O109" s="19">
        <f t="shared" si="17"/>
        <v>0</v>
      </c>
    </row>
    <row r="110" spans="2:15" x14ac:dyDescent="0.2">
      <c r="B110" s="61" t="str">
        <f t="shared" si="18"/>
        <v/>
      </c>
      <c r="C110" s="10">
        <v>102</v>
      </c>
      <c r="D110" s="39">
        <f>'PAREDE-TETO'!D111</f>
        <v>0</v>
      </c>
      <c r="E110" s="41"/>
      <c r="F110" s="41"/>
      <c r="G110" s="41"/>
      <c r="H110" s="42">
        <f t="shared" si="21"/>
        <v>0</v>
      </c>
      <c r="I110" s="42">
        <f t="shared" si="22"/>
        <v>0</v>
      </c>
      <c r="J110" s="62" t="str">
        <f t="shared" si="15"/>
        <v>0</v>
      </c>
      <c r="K110" s="34">
        <f>'PAREDE-TETO'!M111</f>
        <v>0</v>
      </c>
      <c r="L110" s="19">
        <f t="shared" si="19"/>
        <v>0</v>
      </c>
      <c r="M110" s="19">
        <f t="shared" si="20"/>
        <v>0</v>
      </c>
      <c r="N110" s="19">
        <f t="shared" si="16"/>
        <v>0</v>
      </c>
      <c r="O110" s="19">
        <f t="shared" si="17"/>
        <v>0</v>
      </c>
    </row>
    <row r="111" spans="2:15" x14ac:dyDescent="0.2">
      <c r="B111" s="61" t="str">
        <f t="shared" si="18"/>
        <v/>
      </c>
      <c r="C111" s="10">
        <v>103</v>
      </c>
      <c r="D111" s="39">
        <f>'PAREDE-TETO'!D112</f>
        <v>0</v>
      </c>
      <c r="E111" s="41"/>
      <c r="F111" s="41"/>
      <c r="G111" s="41"/>
      <c r="H111" s="42">
        <f t="shared" si="21"/>
        <v>0</v>
      </c>
      <c r="I111" s="42">
        <f t="shared" si="22"/>
        <v>0</v>
      </c>
      <c r="J111" s="62" t="str">
        <f t="shared" si="15"/>
        <v>0</v>
      </c>
      <c r="K111" s="34">
        <f>'PAREDE-TETO'!M112</f>
        <v>0</v>
      </c>
      <c r="L111" s="19">
        <f t="shared" si="19"/>
        <v>0</v>
      </c>
      <c r="M111" s="19">
        <f t="shared" si="20"/>
        <v>0</v>
      </c>
      <c r="N111" s="19">
        <f t="shared" si="16"/>
        <v>0</v>
      </c>
      <c r="O111" s="19">
        <f t="shared" si="17"/>
        <v>0</v>
      </c>
    </row>
    <row r="112" spans="2:15" x14ac:dyDescent="0.2">
      <c r="B112" s="61" t="str">
        <f t="shared" si="18"/>
        <v/>
      </c>
      <c r="C112" s="10">
        <v>104</v>
      </c>
      <c r="D112" s="39">
        <f>'PAREDE-TETO'!D113</f>
        <v>0</v>
      </c>
      <c r="E112" s="41"/>
      <c r="F112" s="41"/>
      <c r="G112" s="41"/>
      <c r="H112" s="42">
        <f t="shared" si="21"/>
        <v>0</v>
      </c>
      <c r="I112" s="42">
        <f t="shared" si="22"/>
        <v>0</v>
      </c>
      <c r="J112" s="62" t="str">
        <f t="shared" si="15"/>
        <v>0</v>
      </c>
      <c r="K112" s="34">
        <f>'PAREDE-TETO'!M113</f>
        <v>0</v>
      </c>
      <c r="L112" s="19">
        <f t="shared" si="19"/>
        <v>0</v>
      </c>
      <c r="M112" s="19">
        <f t="shared" si="20"/>
        <v>0</v>
      </c>
      <c r="N112" s="19">
        <f t="shared" si="16"/>
        <v>0</v>
      </c>
      <c r="O112" s="19">
        <f t="shared" si="17"/>
        <v>0</v>
      </c>
    </row>
    <row r="113" spans="2:15" x14ac:dyDescent="0.2">
      <c r="B113" s="61" t="str">
        <f t="shared" si="18"/>
        <v/>
      </c>
      <c r="C113" s="10">
        <v>105</v>
      </c>
      <c r="D113" s="39">
        <f>'PAREDE-TETO'!D114</f>
        <v>0</v>
      </c>
      <c r="E113" s="41"/>
      <c r="F113" s="41"/>
      <c r="G113" s="41"/>
      <c r="H113" s="42">
        <f t="shared" si="21"/>
        <v>0</v>
      </c>
      <c r="I113" s="42">
        <f t="shared" si="22"/>
        <v>0</v>
      </c>
      <c r="J113" s="62" t="str">
        <f t="shared" si="15"/>
        <v>0</v>
      </c>
      <c r="K113" s="34">
        <f>'PAREDE-TETO'!M114</f>
        <v>0</v>
      </c>
      <c r="L113" s="19">
        <f t="shared" si="19"/>
        <v>0</v>
      </c>
      <c r="M113" s="19">
        <f t="shared" si="20"/>
        <v>0</v>
      </c>
      <c r="N113" s="19">
        <f t="shared" si="16"/>
        <v>0</v>
      </c>
      <c r="O113" s="19">
        <f t="shared" si="17"/>
        <v>0</v>
      </c>
    </row>
    <row r="114" spans="2:15" x14ac:dyDescent="0.2">
      <c r="B114" s="61" t="str">
        <f t="shared" si="18"/>
        <v/>
      </c>
      <c r="C114" s="10">
        <v>106</v>
      </c>
      <c r="D114" s="39">
        <f>'PAREDE-TETO'!D115</f>
        <v>0</v>
      </c>
      <c r="E114" s="41"/>
      <c r="F114" s="41"/>
      <c r="G114" s="41"/>
      <c r="H114" s="42">
        <f t="shared" si="21"/>
        <v>0</v>
      </c>
      <c r="I114" s="42">
        <f t="shared" si="22"/>
        <v>0</v>
      </c>
      <c r="J114" s="62" t="str">
        <f t="shared" si="15"/>
        <v>0</v>
      </c>
      <c r="K114" s="34">
        <f>'PAREDE-TETO'!M115</f>
        <v>0</v>
      </c>
      <c r="L114" s="19">
        <f t="shared" si="19"/>
        <v>0</v>
      </c>
      <c r="M114" s="19">
        <f t="shared" si="20"/>
        <v>0</v>
      </c>
      <c r="N114" s="19">
        <f t="shared" si="16"/>
        <v>0</v>
      </c>
      <c r="O114" s="19">
        <f t="shared" si="17"/>
        <v>0</v>
      </c>
    </row>
    <row r="115" spans="2:15" x14ac:dyDescent="0.2">
      <c r="B115" s="61" t="str">
        <f t="shared" si="18"/>
        <v/>
      </c>
      <c r="C115" s="10">
        <v>107</v>
      </c>
      <c r="D115" s="39">
        <f>'PAREDE-TETO'!D116</f>
        <v>0</v>
      </c>
      <c r="E115" s="41"/>
      <c r="F115" s="41"/>
      <c r="G115" s="41"/>
      <c r="H115" s="42">
        <f t="shared" si="21"/>
        <v>0</v>
      </c>
      <c r="I115" s="42">
        <f t="shared" si="22"/>
        <v>0</v>
      </c>
      <c r="J115" s="62" t="str">
        <f t="shared" si="15"/>
        <v>0</v>
      </c>
      <c r="K115" s="34">
        <f>'PAREDE-TETO'!M116</f>
        <v>0</v>
      </c>
      <c r="L115" s="19">
        <f t="shared" si="19"/>
        <v>0</v>
      </c>
      <c r="M115" s="19">
        <f t="shared" si="20"/>
        <v>0</v>
      </c>
      <c r="N115" s="19">
        <f t="shared" si="16"/>
        <v>0</v>
      </c>
      <c r="O115" s="19">
        <f t="shared" si="17"/>
        <v>0</v>
      </c>
    </row>
    <row r="116" spans="2:15" x14ac:dyDescent="0.2">
      <c r="B116" s="61" t="str">
        <f t="shared" si="18"/>
        <v/>
      </c>
      <c r="C116" s="10">
        <v>108</v>
      </c>
      <c r="D116" s="39">
        <f>'PAREDE-TETO'!D117</f>
        <v>0</v>
      </c>
      <c r="E116" s="41"/>
      <c r="F116" s="41"/>
      <c r="G116" s="41"/>
      <c r="H116" s="42">
        <f t="shared" si="21"/>
        <v>0</v>
      </c>
      <c r="I116" s="42">
        <f t="shared" si="22"/>
        <v>0</v>
      </c>
      <c r="J116" s="62" t="str">
        <f t="shared" si="15"/>
        <v>0</v>
      </c>
      <c r="K116" s="34">
        <f>'PAREDE-TETO'!M117</f>
        <v>0</v>
      </c>
      <c r="L116" s="19">
        <f t="shared" si="19"/>
        <v>0</v>
      </c>
      <c r="M116" s="19">
        <f t="shared" si="20"/>
        <v>0</v>
      </c>
      <c r="N116" s="19">
        <f t="shared" si="16"/>
        <v>0</v>
      </c>
      <c r="O116" s="19">
        <f t="shared" si="17"/>
        <v>0</v>
      </c>
    </row>
    <row r="117" spans="2:15" x14ac:dyDescent="0.2">
      <c r="B117" s="61" t="str">
        <f t="shared" si="18"/>
        <v/>
      </c>
      <c r="C117" s="10">
        <v>109</v>
      </c>
      <c r="D117" s="39">
        <f>'PAREDE-TETO'!D118</f>
        <v>0</v>
      </c>
      <c r="E117" s="41"/>
      <c r="F117" s="41"/>
      <c r="G117" s="41"/>
      <c r="H117" s="42">
        <f t="shared" si="21"/>
        <v>0</v>
      </c>
      <c r="I117" s="42">
        <f t="shared" si="22"/>
        <v>0</v>
      </c>
      <c r="J117" s="62" t="str">
        <f t="shared" si="15"/>
        <v>0</v>
      </c>
      <c r="K117" s="34">
        <f>'PAREDE-TETO'!M118</f>
        <v>0</v>
      </c>
      <c r="L117" s="19">
        <f t="shared" si="19"/>
        <v>0</v>
      </c>
      <c r="M117" s="19">
        <f t="shared" si="20"/>
        <v>0</v>
      </c>
      <c r="N117" s="19">
        <f t="shared" si="16"/>
        <v>0</v>
      </c>
      <c r="O117" s="19">
        <f t="shared" si="17"/>
        <v>0</v>
      </c>
    </row>
    <row r="118" spans="2:15" x14ac:dyDescent="0.2">
      <c r="B118" s="61" t="str">
        <f t="shared" si="18"/>
        <v/>
      </c>
      <c r="C118" s="10">
        <v>110</v>
      </c>
      <c r="D118" s="39">
        <f>'PAREDE-TETO'!D119</f>
        <v>0</v>
      </c>
      <c r="E118" s="41"/>
      <c r="F118" s="41"/>
      <c r="G118" s="41"/>
      <c r="H118" s="42">
        <f t="shared" si="21"/>
        <v>0</v>
      </c>
      <c r="I118" s="42">
        <f t="shared" si="22"/>
        <v>0</v>
      </c>
      <c r="J118" s="62" t="str">
        <f t="shared" si="15"/>
        <v>0</v>
      </c>
      <c r="K118" s="34">
        <f>'PAREDE-TETO'!M119</f>
        <v>0</v>
      </c>
      <c r="L118" s="19">
        <f t="shared" si="19"/>
        <v>0</v>
      </c>
      <c r="M118" s="19">
        <f t="shared" si="20"/>
        <v>0</v>
      </c>
      <c r="N118" s="19">
        <f t="shared" si="16"/>
        <v>0</v>
      </c>
      <c r="O118" s="19">
        <f t="shared" si="17"/>
        <v>0</v>
      </c>
    </row>
    <row r="119" spans="2:15" x14ac:dyDescent="0.2">
      <c r="B119" s="61" t="str">
        <f t="shared" si="18"/>
        <v/>
      </c>
      <c r="C119" s="10">
        <v>111</v>
      </c>
      <c r="D119" s="39">
        <f>'PAREDE-TETO'!D120</f>
        <v>0</v>
      </c>
      <c r="E119" s="41"/>
      <c r="F119" s="41"/>
      <c r="G119" s="41"/>
      <c r="H119" s="42">
        <f t="shared" si="21"/>
        <v>0</v>
      </c>
      <c r="I119" s="42">
        <f t="shared" si="22"/>
        <v>0</v>
      </c>
      <c r="J119" s="62" t="str">
        <f t="shared" si="15"/>
        <v>0</v>
      </c>
      <c r="K119" s="34">
        <f>'PAREDE-TETO'!M120</f>
        <v>0</v>
      </c>
      <c r="L119" s="19">
        <f t="shared" si="19"/>
        <v>0</v>
      </c>
      <c r="M119" s="19">
        <f t="shared" si="20"/>
        <v>0</v>
      </c>
      <c r="N119" s="19">
        <f t="shared" si="16"/>
        <v>0</v>
      </c>
      <c r="O119" s="19">
        <f t="shared" si="17"/>
        <v>0</v>
      </c>
    </row>
    <row r="120" spans="2:15" x14ac:dyDescent="0.2">
      <c r="B120" s="61" t="str">
        <f t="shared" si="18"/>
        <v/>
      </c>
      <c r="C120" s="10">
        <v>112</v>
      </c>
      <c r="D120" s="39">
        <f>'PAREDE-TETO'!D121</f>
        <v>0</v>
      </c>
      <c r="E120" s="41"/>
      <c r="F120" s="41"/>
      <c r="G120" s="41"/>
      <c r="H120" s="42">
        <f t="shared" si="21"/>
        <v>0</v>
      </c>
      <c r="I120" s="42">
        <f t="shared" si="22"/>
        <v>0</v>
      </c>
      <c r="J120" s="62" t="str">
        <f t="shared" si="15"/>
        <v>0</v>
      </c>
      <c r="K120" s="34">
        <f>'PAREDE-TETO'!M121</f>
        <v>0</v>
      </c>
      <c r="L120" s="19">
        <f t="shared" si="19"/>
        <v>0</v>
      </c>
      <c r="M120" s="19">
        <f t="shared" si="20"/>
        <v>0</v>
      </c>
      <c r="N120" s="19">
        <f t="shared" si="16"/>
        <v>0</v>
      </c>
      <c r="O120" s="19">
        <f t="shared" si="17"/>
        <v>0</v>
      </c>
    </row>
    <row r="121" spans="2:15" x14ac:dyDescent="0.2">
      <c r="B121" s="61" t="str">
        <f t="shared" si="18"/>
        <v/>
      </c>
      <c r="C121" s="10">
        <v>113</v>
      </c>
      <c r="D121" s="39">
        <f>'PAREDE-TETO'!D122</f>
        <v>0</v>
      </c>
      <c r="E121" s="41"/>
      <c r="F121" s="41"/>
      <c r="G121" s="41"/>
      <c r="H121" s="42">
        <f t="shared" si="21"/>
        <v>0</v>
      </c>
      <c r="I121" s="42">
        <f t="shared" si="22"/>
        <v>0</v>
      </c>
      <c r="J121" s="62" t="str">
        <f t="shared" si="15"/>
        <v>0</v>
      </c>
      <c r="K121" s="34">
        <f>'PAREDE-TETO'!M122</f>
        <v>0</v>
      </c>
      <c r="L121" s="19">
        <f t="shared" si="19"/>
        <v>0</v>
      </c>
      <c r="M121" s="19">
        <f t="shared" si="20"/>
        <v>0</v>
      </c>
      <c r="N121" s="19">
        <f t="shared" si="16"/>
        <v>0</v>
      </c>
      <c r="O121" s="19">
        <f t="shared" si="17"/>
        <v>0</v>
      </c>
    </row>
    <row r="122" spans="2:15" x14ac:dyDescent="0.2">
      <c r="B122" s="61" t="str">
        <f t="shared" si="18"/>
        <v/>
      </c>
      <c r="C122" s="10">
        <v>114</v>
      </c>
      <c r="D122" s="39">
        <f>'PAREDE-TETO'!D123</f>
        <v>0</v>
      </c>
      <c r="E122" s="41"/>
      <c r="F122" s="41"/>
      <c r="G122" s="41"/>
      <c r="H122" s="42">
        <f t="shared" si="21"/>
        <v>0</v>
      </c>
      <c r="I122" s="42">
        <f t="shared" si="22"/>
        <v>0</v>
      </c>
      <c r="J122" s="62" t="str">
        <f t="shared" si="15"/>
        <v>0</v>
      </c>
      <c r="K122" s="34">
        <f>'PAREDE-TETO'!M123</f>
        <v>0</v>
      </c>
      <c r="L122" s="19">
        <f t="shared" si="19"/>
        <v>0</v>
      </c>
      <c r="M122" s="19">
        <f t="shared" si="20"/>
        <v>0</v>
      </c>
      <c r="N122" s="19">
        <f t="shared" si="16"/>
        <v>0</v>
      </c>
      <c r="O122" s="19">
        <f t="shared" si="17"/>
        <v>0</v>
      </c>
    </row>
    <row r="123" spans="2:15" x14ac:dyDescent="0.2">
      <c r="B123" s="61" t="str">
        <f t="shared" si="18"/>
        <v/>
      </c>
      <c r="C123" s="10">
        <v>115</v>
      </c>
      <c r="D123" s="39">
        <f>'PAREDE-TETO'!D124</f>
        <v>0</v>
      </c>
      <c r="E123" s="41"/>
      <c r="F123" s="41"/>
      <c r="G123" s="41"/>
      <c r="H123" s="42">
        <f t="shared" si="21"/>
        <v>0</v>
      </c>
      <c r="I123" s="42">
        <f t="shared" si="22"/>
        <v>0</v>
      </c>
      <c r="J123" s="62" t="str">
        <f t="shared" si="15"/>
        <v>0</v>
      </c>
      <c r="K123" s="34">
        <f>'PAREDE-TETO'!M124</f>
        <v>0</v>
      </c>
      <c r="L123" s="19">
        <f t="shared" si="19"/>
        <v>0</v>
      </c>
      <c r="M123" s="19">
        <f t="shared" si="20"/>
        <v>0</v>
      </c>
      <c r="N123" s="19">
        <f t="shared" si="16"/>
        <v>0</v>
      </c>
      <c r="O123" s="19">
        <f t="shared" si="17"/>
        <v>0</v>
      </c>
    </row>
    <row r="124" spans="2:15" x14ac:dyDescent="0.2">
      <c r="B124" s="61" t="str">
        <f t="shared" si="18"/>
        <v/>
      </c>
      <c r="C124" s="10">
        <v>116</v>
      </c>
      <c r="D124" s="39">
        <f>'PAREDE-TETO'!D125</f>
        <v>0</v>
      </c>
      <c r="E124" s="41"/>
      <c r="F124" s="41"/>
      <c r="G124" s="41"/>
      <c r="H124" s="42">
        <f t="shared" si="21"/>
        <v>0</v>
      </c>
      <c r="I124" s="42">
        <f t="shared" si="22"/>
        <v>0</v>
      </c>
      <c r="J124" s="62" t="str">
        <f t="shared" si="15"/>
        <v>0</v>
      </c>
      <c r="K124" s="34">
        <f>'PAREDE-TETO'!M125</f>
        <v>0</v>
      </c>
      <c r="L124" s="19">
        <f t="shared" si="19"/>
        <v>0</v>
      </c>
      <c r="M124" s="19">
        <f t="shared" si="20"/>
        <v>0</v>
      </c>
      <c r="N124" s="19">
        <f t="shared" si="16"/>
        <v>0</v>
      </c>
      <c r="O124" s="19">
        <f t="shared" si="17"/>
        <v>0</v>
      </c>
    </row>
    <row r="125" spans="2:15" x14ac:dyDescent="0.2">
      <c r="B125" s="61" t="str">
        <f t="shared" si="18"/>
        <v/>
      </c>
      <c r="C125" s="10">
        <v>117</v>
      </c>
      <c r="D125" s="39">
        <f>'PAREDE-TETO'!D126</f>
        <v>0</v>
      </c>
      <c r="E125" s="41"/>
      <c r="F125" s="41"/>
      <c r="G125" s="41"/>
      <c r="H125" s="42">
        <f t="shared" si="21"/>
        <v>0</v>
      </c>
      <c r="I125" s="42">
        <f t="shared" si="22"/>
        <v>0</v>
      </c>
      <c r="J125" s="62" t="str">
        <f t="shared" si="15"/>
        <v>0</v>
      </c>
      <c r="K125" s="34">
        <f>'PAREDE-TETO'!M126</f>
        <v>0</v>
      </c>
      <c r="L125" s="19">
        <f t="shared" si="19"/>
        <v>0</v>
      </c>
      <c r="M125" s="19">
        <f t="shared" si="20"/>
        <v>0</v>
      </c>
      <c r="N125" s="19">
        <f t="shared" si="16"/>
        <v>0</v>
      </c>
      <c r="O125" s="19">
        <f t="shared" si="17"/>
        <v>0</v>
      </c>
    </row>
    <row r="126" spans="2:15" x14ac:dyDescent="0.2">
      <c r="B126" s="61" t="str">
        <f t="shared" si="18"/>
        <v/>
      </c>
      <c r="C126" s="10">
        <v>118</v>
      </c>
      <c r="D126" s="39">
        <f>'PAREDE-TETO'!D127</f>
        <v>0</v>
      </c>
      <c r="E126" s="41"/>
      <c r="F126" s="41"/>
      <c r="G126" s="41"/>
      <c r="H126" s="42">
        <f t="shared" si="21"/>
        <v>0</v>
      </c>
      <c r="I126" s="42">
        <f t="shared" si="22"/>
        <v>0</v>
      </c>
      <c r="J126" s="62" t="str">
        <f t="shared" si="15"/>
        <v>0</v>
      </c>
      <c r="K126" s="34">
        <f>'PAREDE-TETO'!M127</f>
        <v>0</v>
      </c>
      <c r="L126" s="19">
        <f t="shared" si="19"/>
        <v>0</v>
      </c>
      <c r="M126" s="19">
        <f t="shared" si="20"/>
        <v>0</v>
      </c>
      <c r="N126" s="19">
        <f t="shared" si="16"/>
        <v>0</v>
      </c>
      <c r="O126" s="19">
        <f t="shared" si="17"/>
        <v>0</v>
      </c>
    </row>
    <row r="127" spans="2:15" x14ac:dyDescent="0.2">
      <c r="B127" s="61" t="str">
        <f t="shared" si="18"/>
        <v/>
      </c>
      <c r="C127" s="10">
        <v>119</v>
      </c>
      <c r="D127" s="39">
        <f>'PAREDE-TETO'!D128</f>
        <v>0</v>
      </c>
      <c r="E127" s="41"/>
      <c r="F127" s="41"/>
      <c r="G127" s="41"/>
      <c r="H127" s="42">
        <f t="shared" si="21"/>
        <v>0</v>
      </c>
      <c r="I127" s="42">
        <f t="shared" si="22"/>
        <v>0</v>
      </c>
      <c r="J127" s="62" t="str">
        <f t="shared" si="15"/>
        <v>0</v>
      </c>
      <c r="K127" s="34">
        <f>'PAREDE-TETO'!M128</f>
        <v>0</v>
      </c>
      <c r="L127" s="19">
        <f t="shared" si="19"/>
        <v>0</v>
      </c>
      <c r="M127" s="19">
        <f t="shared" si="20"/>
        <v>0</v>
      </c>
      <c r="N127" s="19">
        <f t="shared" si="16"/>
        <v>0</v>
      </c>
      <c r="O127" s="19">
        <f t="shared" si="17"/>
        <v>0</v>
      </c>
    </row>
    <row r="128" spans="2:15" x14ac:dyDescent="0.2">
      <c r="B128" s="61" t="str">
        <f t="shared" si="18"/>
        <v/>
      </c>
      <c r="C128" s="10">
        <v>120</v>
      </c>
      <c r="D128" s="39">
        <f>'PAREDE-TETO'!D129</f>
        <v>0</v>
      </c>
      <c r="E128" s="41"/>
      <c r="F128" s="41"/>
      <c r="G128" s="41"/>
      <c r="H128" s="42">
        <f t="shared" si="21"/>
        <v>0</v>
      </c>
      <c r="I128" s="42">
        <f t="shared" si="22"/>
        <v>0</v>
      </c>
      <c r="J128" s="62" t="str">
        <f t="shared" si="15"/>
        <v>0</v>
      </c>
      <c r="K128" s="34">
        <f>'PAREDE-TETO'!M129</f>
        <v>0</v>
      </c>
      <c r="L128" s="19">
        <f t="shared" si="19"/>
        <v>0</v>
      </c>
      <c r="M128" s="19">
        <f t="shared" si="20"/>
        <v>0</v>
      </c>
      <c r="N128" s="19">
        <f t="shared" si="16"/>
        <v>0</v>
      </c>
      <c r="O128" s="19">
        <f t="shared" si="17"/>
        <v>0</v>
      </c>
    </row>
    <row r="129" spans="2:15" x14ac:dyDescent="0.2">
      <c r="B129" s="61" t="str">
        <f t="shared" si="18"/>
        <v/>
      </c>
      <c r="C129" s="10">
        <v>121</v>
      </c>
      <c r="D129" s="39">
        <f>'PAREDE-TETO'!D130</f>
        <v>0</v>
      </c>
      <c r="E129" s="41"/>
      <c r="F129" s="41"/>
      <c r="G129" s="41"/>
      <c r="H129" s="42">
        <f t="shared" si="21"/>
        <v>0</v>
      </c>
      <c r="I129" s="42">
        <f t="shared" si="22"/>
        <v>0</v>
      </c>
      <c r="J129" s="62" t="str">
        <f t="shared" si="15"/>
        <v>0</v>
      </c>
      <c r="K129" s="34">
        <f>'PAREDE-TETO'!M130</f>
        <v>0</v>
      </c>
      <c r="L129" s="19">
        <f t="shared" si="19"/>
        <v>0</v>
      </c>
      <c r="M129" s="19">
        <f t="shared" si="20"/>
        <v>0</v>
      </c>
      <c r="N129" s="19">
        <f t="shared" si="16"/>
        <v>0</v>
      </c>
      <c r="O129" s="19">
        <f t="shared" si="17"/>
        <v>0</v>
      </c>
    </row>
    <row r="130" spans="2:15" x14ac:dyDescent="0.2">
      <c r="B130" s="61" t="str">
        <f t="shared" si="18"/>
        <v/>
      </c>
      <c r="C130" s="10">
        <v>122</v>
      </c>
      <c r="D130" s="39">
        <f>'PAREDE-TETO'!D131</f>
        <v>0</v>
      </c>
      <c r="E130" s="41"/>
      <c r="F130" s="41"/>
      <c r="G130" s="41"/>
      <c r="H130" s="42">
        <f t="shared" si="21"/>
        <v>0</v>
      </c>
      <c r="I130" s="42">
        <f t="shared" si="22"/>
        <v>0</v>
      </c>
      <c r="J130" s="62" t="str">
        <f t="shared" si="15"/>
        <v>0</v>
      </c>
      <c r="K130" s="34">
        <f>'PAREDE-TETO'!M131</f>
        <v>0</v>
      </c>
      <c r="L130" s="19">
        <f t="shared" si="19"/>
        <v>0</v>
      </c>
      <c r="M130" s="19">
        <f t="shared" si="20"/>
        <v>0</v>
      </c>
      <c r="N130" s="19">
        <f t="shared" si="16"/>
        <v>0</v>
      </c>
      <c r="O130" s="19">
        <f t="shared" si="17"/>
        <v>0</v>
      </c>
    </row>
    <row r="131" spans="2:15" x14ac:dyDescent="0.2">
      <c r="B131" s="61" t="str">
        <f t="shared" si="18"/>
        <v/>
      </c>
      <c r="C131" s="10">
        <v>123</v>
      </c>
      <c r="D131" s="39">
        <f>'PAREDE-TETO'!D132</f>
        <v>0</v>
      </c>
      <c r="E131" s="41"/>
      <c r="F131" s="41"/>
      <c r="G131" s="41"/>
      <c r="H131" s="42">
        <f t="shared" si="21"/>
        <v>0</v>
      </c>
      <c r="I131" s="42">
        <f t="shared" si="22"/>
        <v>0</v>
      </c>
      <c r="J131" s="62" t="str">
        <f t="shared" si="15"/>
        <v>0</v>
      </c>
      <c r="K131" s="34">
        <f>'PAREDE-TETO'!M132</f>
        <v>0</v>
      </c>
      <c r="L131" s="19">
        <f t="shared" si="19"/>
        <v>0</v>
      </c>
      <c r="M131" s="19">
        <f t="shared" si="20"/>
        <v>0</v>
      </c>
      <c r="N131" s="19">
        <f t="shared" si="16"/>
        <v>0</v>
      </c>
      <c r="O131" s="19">
        <f t="shared" si="17"/>
        <v>0</v>
      </c>
    </row>
    <row r="132" spans="2:15" x14ac:dyDescent="0.2">
      <c r="B132" s="61" t="str">
        <f t="shared" si="18"/>
        <v/>
      </c>
      <c r="C132" s="10">
        <v>124</v>
      </c>
      <c r="D132" s="39">
        <f>'PAREDE-TETO'!D133</f>
        <v>0</v>
      </c>
      <c r="E132" s="41"/>
      <c r="F132" s="41"/>
      <c r="G132" s="41"/>
      <c r="H132" s="42">
        <f t="shared" si="21"/>
        <v>0</v>
      </c>
      <c r="I132" s="42">
        <f t="shared" si="22"/>
        <v>0</v>
      </c>
      <c r="J132" s="62" t="str">
        <f t="shared" si="15"/>
        <v>0</v>
      </c>
      <c r="K132" s="34">
        <f>'PAREDE-TETO'!M133</f>
        <v>0</v>
      </c>
      <c r="L132" s="19">
        <f t="shared" si="19"/>
        <v>0</v>
      </c>
      <c r="M132" s="19">
        <f t="shared" si="20"/>
        <v>0</v>
      </c>
      <c r="N132" s="19">
        <f t="shared" si="16"/>
        <v>0</v>
      </c>
      <c r="O132" s="19">
        <f t="shared" si="17"/>
        <v>0</v>
      </c>
    </row>
    <row r="133" spans="2:15" x14ac:dyDescent="0.2">
      <c r="B133" s="61" t="str">
        <f t="shared" si="18"/>
        <v/>
      </c>
      <c r="C133" s="10">
        <v>125</v>
      </c>
      <c r="D133" s="39">
        <f>'PAREDE-TETO'!D134</f>
        <v>0</v>
      </c>
      <c r="E133" s="41"/>
      <c r="F133" s="41"/>
      <c r="G133" s="41"/>
      <c r="H133" s="42">
        <f t="shared" si="21"/>
        <v>0</v>
      </c>
      <c r="I133" s="42">
        <f t="shared" si="22"/>
        <v>0</v>
      </c>
      <c r="J133" s="62" t="str">
        <f t="shared" si="15"/>
        <v>0</v>
      </c>
      <c r="K133" s="34">
        <f>'PAREDE-TETO'!M134</f>
        <v>0</v>
      </c>
      <c r="L133" s="19">
        <f t="shared" si="19"/>
        <v>0</v>
      </c>
      <c r="M133" s="19">
        <f t="shared" si="20"/>
        <v>0</v>
      </c>
      <c r="N133" s="19">
        <f t="shared" si="16"/>
        <v>0</v>
      </c>
      <c r="O133" s="19">
        <f t="shared" si="17"/>
        <v>0</v>
      </c>
    </row>
    <row r="134" spans="2:15" x14ac:dyDescent="0.2">
      <c r="B134" s="61" t="str">
        <f t="shared" si="18"/>
        <v/>
      </c>
      <c r="C134" s="10">
        <v>126</v>
      </c>
      <c r="D134" s="39">
        <f>'PAREDE-TETO'!D135</f>
        <v>0</v>
      </c>
      <c r="E134" s="41"/>
      <c r="F134" s="41"/>
      <c r="G134" s="41"/>
      <c r="H134" s="42">
        <f t="shared" si="21"/>
        <v>0</v>
      </c>
      <c r="I134" s="42">
        <f t="shared" si="22"/>
        <v>0</v>
      </c>
      <c r="J134" s="62" t="str">
        <f t="shared" si="15"/>
        <v>0</v>
      </c>
      <c r="K134" s="34">
        <f>'PAREDE-TETO'!M135</f>
        <v>0</v>
      </c>
      <c r="L134" s="19">
        <f t="shared" si="19"/>
        <v>0</v>
      </c>
      <c r="M134" s="19">
        <f t="shared" si="20"/>
        <v>0</v>
      </c>
      <c r="N134" s="19">
        <f t="shared" si="16"/>
        <v>0</v>
      </c>
      <c r="O134" s="19">
        <f t="shared" si="17"/>
        <v>0</v>
      </c>
    </row>
    <row r="135" spans="2:15" x14ac:dyDescent="0.2">
      <c r="B135" s="61" t="str">
        <f t="shared" si="18"/>
        <v/>
      </c>
      <c r="C135" s="10">
        <v>127</v>
      </c>
      <c r="D135" s="39">
        <f>'PAREDE-TETO'!D136</f>
        <v>0</v>
      </c>
      <c r="E135" s="41"/>
      <c r="F135" s="41"/>
      <c r="G135" s="41"/>
      <c r="H135" s="42">
        <f t="shared" si="21"/>
        <v>0</v>
      </c>
      <c r="I135" s="42">
        <f t="shared" si="22"/>
        <v>0</v>
      </c>
      <c r="J135" s="62" t="str">
        <f t="shared" si="15"/>
        <v>0</v>
      </c>
      <c r="K135" s="34">
        <f>'PAREDE-TETO'!M136</f>
        <v>0</v>
      </c>
      <c r="L135" s="19">
        <f t="shared" si="19"/>
        <v>0</v>
      </c>
      <c r="M135" s="19">
        <f t="shared" si="20"/>
        <v>0</v>
      </c>
      <c r="N135" s="19">
        <f t="shared" si="16"/>
        <v>0</v>
      </c>
      <c r="O135" s="19">
        <f t="shared" si="17"/>
        <v>0</v>
      </c>
    </row>
    <row r="136" spans="2:15" x14ac:dyDescent="0.2">
      <c r="B136" s="61" t="str">
        <f t="shared" si="18"/>
        <v/>
      </c>
      <c r="C136" s="10">
        <v>128</v>
      </c>
      <c r="D136" s="39">
        <f>'PAREDE-TETO'!D137</f>
        <v>0</v>
      </c>
      <c r="E136" s="41"/>
      <c r="F136" s="41"/>
      <c r="G136" s="41"/>
      <c r="H136" s="42">
        <f t="shared" si="21"/>
        <v>0</v>
      </c>
      <c r="I136" s="42">
        <f t="shared" si="22"/>
        <v>0</v>
      </c>
      <c r="J136" s="62" t="str">
        <f t="shared" si="15"/>
        <v>0</v>
      </c>
      <c r="K136" s="34">
        <f>'PAREDE-TETO'!M137</f>
        <v>0</v>
      </c>
      <c r="L136" s="19">
        <f t="shared" si="19"/>
        <v>0</v>
      </c>
      <c r="M136" s="19">
        <f t="shared" si="20"/>
        <v>0</v>
      </c>
      <c r="N136" s="19">
        <f t="shared" si="16"/>
        <v>0</v>
      </c>
      <c r="O136" s="19">
        <f t="shared" si="17"/>
        <v>0</v>
      </c>
    </row>
    <row r="137" spans="2:15" x14ac:dyDescent="0.2">
      <c r="B137" s="61" t="str">
        <f t="shared" si="18"/>
        <v/>
      </c>
      <c r="C137" s="10">
        <v>129</v>
      </c>
      <c r="D137" s="39">
        <f>'PAREDE-TETO'!D138</f>
        <v>0</v>
      </c>
      <c r="E137" s="41"/>
      <c r="F137" s="41"/>
      <c r="G137" s="41"/>
      <c r="H137" s="42">
        <f t="shared" si="21"/>
        <v>0</v>
      </c>
      <c r="I137" s="42">
        <f t="shared" si="22"/>
        <v>0</v>
      </c>
      <c r="J137" s="62" t="str">
        <f t="shared" si="15"/>
        <v>0</v>
      </c>
      <c r="K137" s="34">
        <f>'PAREDE-TETO'!M138</f>
        <v>0</v>
      </c>
      <c r="L137" s="19">
        <f t="shared" ref="L137:L168" si="23">H137/100*$R$7*(1+$R$6)</f>
        <v>0</v>
      </c>
      <c r="M137" s="19">
        <f t="shared" ref="M137:M168" si="24">I137/100*$R$7*(1+$R$6)</f>
        <v>0</v>
      </c>
      <c r="N137" s="19">
        <f t="shared" si="16"/>
        <v>0</v>
      </c>
      <c r="O137" s="19">
        <f t="shared" si="17"/>
        <v>0</v>
      </c>
    </row>
    <row r="138" spans="2:15" x14ac:dyDescent="0.2">
      <c r="B138" s="61" t="str">
        <f t="shared" si="18"/>
        <v/>
      </c>
      <c r="C138" s="10">
        <v>130</v>
      </c>
      <c r="D138" s="39">
        <f>'PAREDE-TETO'!D139</f>
        <v>0</v>
      </c>
      <c r="E138" s="41"/>
      <c r="F138" s="41"/>
      <c r="G138" s="41"/>
      <c r="H138" s="42">
        <f t="shared" si="21"/>
        <v>0</v>
      </c>
      <c r="I138" s="42">
        <f t="shared" si="22"/>
        <v>0</v>
      </c>
      <c r="J138" s="62" t="str">
        <f t="shared" ref="J138:J201" si="25">IF(SUM(F138:G138)&gt;0,IF(F138&lt;&gt;0,"CHAPA XADREZ "&amp;VALUE(H138)&amp;" cm",IF(G138&lt;&gt;0,"CHAPA LISA "&amp;VALUE(I138)&amp;" cm")),IF(D138&lt;&gt;0,"","0"))</f>
        <v>0</v>
      </c>
      <c r="K138" s="34">
        <f>'PAREDE-TETO'!M139</f>
        <v>0</v>
      </c>
      <c r="L138" s="19">
        <f t="shared" si="23"/>
        <v>0</v>
      </c>
      <c r="M138" s="19">
        <f t="shared" si="24"/>
        <v>0</v>
      </c>
      <c r="N138" s="19">
        <f t="shared" ref="N138:N201" si="26">ROUNDUP(L138/2.5,0)</f>
        <v>0</v>
      </c>
      <c r="O138" s="19">
        <f t="shared" ref="O138:O201" si="27">ROUNDUP(M138/2.5,0)</f>
        <v>0</v>
      </c>
    </row>
    <row r="139" spans="2:15" x14ac:dyDescent="0.2">
      <c r="B139" s="61" t="str">
        <f t="shared" ref="B139:B202" si="28">IF(D139&lt;&gt;0,1,"")</f>
        <v/>
      </c>
      <c r="C139" s="10">
        <v>131</v>
      </c>
      <c r="D139" s="39">
        <f>'PAREDE-TETO'!D140</f>
        <v>0</v>
      </c>
      <c r="E139" s="41"/>
      <c r="F139" s="41"/>
      <c r="G139" s="41"/>
      <c r="H139" s="42">
        <f t="shared" si="21"/>
        <v>0</v>
      </c>
      <c r="I139" s="42">
        <f t="shared" si="22"/>
        <v>0</v>
      </c>
      <c r="J139" s="62" t="str">
        <f t="shared" si="25"/>
        <v>0</v>
      </c>
      <c r="K139" s="34">
        <f>'PAREDE-TETO'!M140</f>
        <v>0</v>
      </c>
      <c r="L139" s="19">
        <f t="shared" si="23"/>
        <v>0</v>
      </c>
      <c r="M139" s="19">
        <f t="shared" si="24"/>
        <v>0</v>
      </c>
      <c r="N139" s="19">
        <f t="shared" si="26"/>
        <v>0</v>
      </c>
      <c r="O139" s="19">
        <f t="shared" si="27"/>
        <v>0</v>
      </c>
    </row>
    <row r="140" spans="2:15" x14ac:dyDescent="0.2">
      <c r="B140" s="61" t="str">
        <f t="shared" si="28"/>
        <v/>
      </c>
      <c r="C140" s="10">
        <v>132</v>
      </c>
      <c r="D140" s="39">
        <f>'PAREDE-TETO'!D141</f>
        <v>0</v>
      </c>
      <c r="E140" s="41"/>
      <c r="F140" s="41"/>
      <c r="G140" s="41"/>
      <c r="H140" s="42">
        <f t="shared" si="21"/>
        <v>0</v>
      </c>
      <c r="I140" s="42">
        <f t="shared" si="22"/>
        <v>0</v>
      </c>
      <c r="J140" s="62" t="str">
        <f t="shared" si="25"/>
        <v>0</v>
      </c>
      <c r="K140" s="34">
        <f>'PAREDE-TETO'!M141</f>
        <v>0</v>
      </c>
      <c r="L140" s="19">
        <f t="shared" si="23"/>
        <v>0</v>
      </c>
      <c r="M140" s="19">
        <f t="shared" si="24"/>
        <v>0</v>
      </c>
      <c r="N140" s="19">
        <f t="shared" si="26"/>
        <v>0</v>
      </c>
      <c r="O140" s="19">
        <f t="shared" si="27"/>
        <v>0</v>
      </c>
    </row>
    <row r="141" spans="2:15" x14ac:dyDescent="0.2">
      <c r="B141" s="61" t="str">
        <f t="shared" si="28"/>
        <v/>
      </c>
      <c r="C141" s="10">
        <v>133</v>
      </c>
      <c r="D141" s="39">
        <f>'PAREDE-TETO'!D142</f>
        <v>0</v>
      </c>
      <c r="E141" s="41"/>
      <c r="F141" s="41"/>
      <c r="G141" s="41"/>
      <c r="H141" s="42">
        <f t="shared" si="21"/>
        <v>0</v>
      </c>
      <c r="I141" s="42">
        <f t="shared" si="22"/>
        <v>0</v>
      </c>
      <c r="J141" s="62" t="str">
        <f t="shared" si="25"/>
        <v>0</v>
      </c>
      <c r="K141" s="34">
        <f>'PAREDE-TETO'!M142</f>
        <v>0</v>
      </c>
      <c r="L141" s="19">
        <f t="shared" si="23"/>
        <v>0</v>
      </c>
      <c r="M141" s="19">
        <f t="shared" si="24"/>
        <v>0</v>
      </c>
      <c r="N141" s="19">
        <f t="shared" si="26"/>
        <v>0</v>
      </c>
      <c r="O141" s="19">
        <f t="shared" si="27"/>
        <v>0</v>
      </c>
    </row>
    <row r="142" spans="2:15" x14ac:dyDescent="0.2">
      <c r="B142" s="61" t="str">
        <f t="shared" si="28"/>
        <v/>
      </c>
      <c r="C142" s="10">
        <v>134</v>
      </c>
      <c r="D142" s="39">
        <f>'PAREDE-TETO'!D143</f>
        <v>0</v>
      </c>
      <c r="E142" s="41"/>
      <c r="F142" s="41"/>
      <c r="G142" s="41"/>
      <c r="H142" s="42">
        <f t="shared" si="21"/>
        <v>0</v>
      </c>
      <c r="I142" s="42">
        <f t="shared" si="22"/>
        <v>0</v>
      </c>
      <c r="J142" s="62" t="str">
        <f t="shared" si="25"/>
        <v>0</v>
      </c>
      <c r="K142" s="34">
        <f>'PAREDE-TETO'!M143</f>
        <v>0</v>
      </c>
      <c r="L142" s="19">
        <f t="shared" si="23"/>
        <v>0</v>
      </c>
      <c r="M142" s="19">
        <f t="shared" si="24"/>
        <v>0</v>
      </c>
      <c r="N142" s="19">
        <f t="shared" si="26"/>
        <v>0</v>
      </c>
      <c r="O142" s="19">
        <f t="shared" si="27"/>
        <v>0</v>
      </c>
    </row>
    <row r="143" spans="2:15" x14ac:dyDescent="0.2">
      <c r="B143" s="61" t="str">
        <f t="shared" si="28"/>
        <v/>
      </c>
      <c r="C143" s="10">
        <v>135</v>
      </c>
      <c r="D143" s="39">
        <f>'PAREDE-TETO'!D144</f>
        <v>0</v>
      </c>
      <c r="E143" s="41"/>
      <c r="F143" s="41"/>
      <c r="G143" s="41"/>
      <c r="H143" s="42">
        <f t="shared" si="21"/>
        <v>0</v>
      </c>
      <c r="I143" s="42">
        <f t="shared" si="22"/>
        <v>0</v>
      </c>
      <c r="J143" s="62" t="str">
        <f t="shared" si="25"/>
        <v>0</v>
      </c>
      <c r="K143" s="34">
        <f>'PAREDE-TETO'!M144</f>
        <v>0</v>
      </c>
      <c r="L143" s="19">
        <f t="shared" si="23"/>
        <v>0</v>
      </c>
      <c r="M143" s="19">
        <f t="shared" si="24"/>
        <v>0</v>
      </c>
      <c r="N143" s="19">
        <f t="shared" si="26"/>
        <v>0</v>
      </c>
      <c r="O143" s="19">
        <f t="shared" si="27"/>
        <v>0</v>
      </c>
    </row>
    <row r="144" spans="2:15" x14ac:dyDescent="0.2">
      <c r="B144" s="61" t="str">
        <f t="shared" si="28"/>
        <v/>
      </c>
      <c r="C144" s="10">
        <v>136</v>
      </c>
      <c r="D144" s="39">
        <f>'PAREDE-TETO'!D145</f>
        <v>0</v>
      </c>
      <c r="E144" s="41"/>
      <c r="F144" s="41"/>
      <c r="G144" s="41"/>
      <c r="H144" s="42">
        <f t="shared" si="21"/>
        <v>0</v>
      </c>
      <c r="I144" s="42">
        <f t="shared" si="22"/>
        <v>0</v>
      </c>
      <c r="J144" s="62" t="str">
        <f t="shared" si="25"/>
        <v>0</v>
      </c>
      <c r="K144" s="34">
        <f>'PAREDE-TETO'!M145</f>
        <v>0</v>
      </c>
      <c r="L144" s="19">
        <f t="shared" si="23"/>
        <v>0</v>
      </c>
      <c r="M144" s="19">
        <f t="shared" si="24"/>
        <v>0</v>
      </c>
      <c r="N144" s="19">
        <f t="shared" si="26"/>
        <v>0</v>
      </c>
      <c r="O144" s="19">
        <f t="shared" si="27"/>
        <v>0</v>
      </c>
    </row>
    <row r="145" spans="2:15" x14ac:dyDescent="0.2">
      <c r="B145" s="61" t="str">
        <f t="shared" si="28"/>
        <v/>
      </c>
      <c r="C145" s="10">
        <v>137</v>
      </c>
      <c r="D145" s="39">
        <f>'PAREDE-TETO'!D146</f>
        <v>0</v>
      </c>
      <c r="E145" s="41"/>
      <c r="F145" s="41"/>
      <c r="G145" s="41"/>
      <c r="H145" s="42">
        <f t="shared" si="21"/>
        <v>0</v>
      </c>
      <c r="I145" s="42">
        <f t="shared" si="22"/>
        <v>0</v>
      </c>
      <c r="J145" s="62" t="str">
        <f t="shared" si="25"/>
        <v>0</v>
      </c>
      <c r="K145" s="34">
        <f>'PAREDE-TETO'!M146</f>
        <v>0</v>
      </c>
      <c r="L145" s="19">
        <f t="shared" si="23"/>
        <v>0</v>
      </c>
      <c r="M145" s="19">
        <f t="shared" si="24"/>
        <v>0</v>
      </c>
      <c r="N145" s="19">
        <f t="shared" si="26"/>
        <v>0</v>
      </c>
      <c r="O145" s="19">
        <f t="shared" si="27"/>
        <v>0</v>
      </c>
    </row>
    <row r="146" spans="2:15" x14ac:dyDescent="0.2">
      <c r="B146" s="61" t="str">
        <f t="shared" si="28"/>
        <v/>
      </c>
      <c r="C146" s="10">
        <v>138</v>
      </c>
      <c r="D146" s="39">
        <f>'PAREDE-TETO'!D147</f>
        <v>0</v>
      </c>
      <c r="E146" s="41"/>
      <c r="F146" s="41"/>
      <c r="G146" s="41"/>
      <c r="H146" s="42">
        <f t="shared" si="21"/>
        <v>0</v>
      </c>
      <c r="I146" s="42">
        <f t="shared" si="22"/>
        <v>0</v>
      </c>
      <c r="J146" s="62" t="str">
        <f t="shared" si="25"/>
        <v>0</v>
      </c>
      <c r="K146" s="34">
        <f>'PAREDE-TETO'!M147</f>
        <v>0</v>
      </c>
      <c r="L146" s="19">
        <f t="shared" si="23"/>
        <v>0</v>
      </c>
      <c r="M146" s="19">
        <f t="shared" si="24"/>
        <v>0</v>
      </c>
      <c r="N146" s="19">
        <f t="shared" si="26"/>
        <v>0</v>
      </c>
      <c r="O146" s="19">
        <f t="shared" si="27"/>
        <v>0</v>
      </c>
    </row>
    <row r="147" spans="2:15" x14ac:dyDescent="0.2">
      <c r="B147" s="61" t="str">
        <f t="shared" si="28"/>
        <v/>
      </c>
      <c r="C147" s="10">
        <v>139</v>
      </c>
      <c r="D147" s="39">
        <f>'PAREDE-TETO'!D148</f>
        <v>0</v>
      </c>
      <c r="E147" s="41"/>
      <c r="F147" s="41"/>
      <c r="G147" s="41"/>
      <c r="H147" s="42">
        <f t="shared" si="21"/>
        <v>0</v>
      </c>
      <c r="I147" s="42">
        <f t="shared" si="22"/>
        <v>0</v>
      </c>
      <c r="J147" s="62" t="str">
        <f t="shared" si="25"/>
        <v>0</v>
      </c>
      <c r="K147" s="34">
        <f>'PAREDE-TETO'!M148</f>
        <v>0</v>
      </c>
      <c r="L147" s="19">
        <f t="shared" si="23"/>
        <v>0</v>
      </c>
      <c r="M147" s="19">
        <f t="shared" si="24"/>
        <v>0</v>
      </c>
      <c r="N147" s="19">
        <f t="shared" si="26"/>
        <v>0</v>
      </c>
      <c r="O147" s="19">
        <f t="shared" si="27"/>
        <v>0</v>
      </c>
    </row>
    <row r="148" spans="2:15" x14ac:dyDescent="0.2">
      <c r="B148" s="61" t="str">
        <f t="shared" si="28"/>
        <v/>
      </c>
      <c r="C148" s="10">
        <v>140</v>
      </c>
      <c r="D148" s="39">
        <f>'PAREDE-TETO'!D149</f>
        <v>0</v>
      </c>
      <c r="E148" s="41"/>
      <c r="F148" s="41"/>
      <c r="G148" s="41"/>
      <c r="H148" s="42">
        <f t="shared" si="21"/>
        <v>0</v>
      </c>
      <c r="I148" s="42">
        <f t="shared" si="22"/>
        <v>0</v>
      </c>
      <c r="J148" s="62" t="str">
        <f t="shared" si="25"/>
        <v>0</v>
      </c>
      <c r="K148" s="34">
        <f>'PAREDE-TETO'!M149</f>
        <v>0</v>
      </c>
      <c r="L148" s="19">
        <f t="shared" si="23"/>
        <v>0</v>
      </c>
      <c r="M148" s="19">
        <f t="shared" si="24"/>
        <v>0</v>
      </c>
      <c r="N148" s="19">
        <f t="shared" si="26"/>
        <v>0</v>
      </c>
      <c r="O148" s="19">
        <f t="shared" si="27"/>
        <v>0</v>
      </c>
    </row>
    <row r="149" spans="2:15" x14ac:dyDescent="0.2">
      <c r="B149" s="61" t="str">
        <f t="shared" si="28"/>
        <v/>
      </c>
      <c r="C149" s="10">
        <v>141</v>
      </c>
      <c r="D149" s="39">
        <f>'PAREDE-TETO'!D150</f>
        <v>0</v>
      </c>
      <c r="E149" s="41"/>
      <c r="F149" s="41"/>
      <c r="G149" s="41"/>
      <c r="H149" s="42">
        <f t="shared" si="21"/>
        <v>0</v>
      </c>
      <c r="I149" s="42">
        <f t="shared" si="22"/>
        <v>0</v>
      </c>
      <c r="J149" s="62" t="str">
        <f t="shared" si="25"/>
        <v>0</v>
      </c>
      <c r="K149" s="34">
        <f>'PAREDE-TETO'!M150</f>
        <v>0</v>
      </c>
      <c r="L149" s="19">
        <f t="shared" si="23"/>
        <v>0</v>
      </c>
      <c r="M149" s="19">
        <f t="shared" si="24"/>
        <v>0</v>
      </c>
      <c r="N149" s="19">
        <f t="shared" si="26"/>
        <v>0</v>
      </c>
      <c r="O149" s="19">
        <f t="shared" si="27"/>
        <v>0</v>
      </c>
    </row>
    <row r="150" spans="2:15" x14ac:dyDescent="0.2">
      <c r="B150" s="61" t="str">
        <f t="shared" si="28"/>
        <v/>
      </c>
      <c r="C150" s="10">
        <v>142</v>
      </c>
      <c r="D150" s="39">
        <f>'PAREDE-TETO'!D151</f>
        <v>0</v>
      </c>
      <c r="E150" s="41"/>
      <c r="F150" s="41"/>
      <c r="G150" s="41"/>
      <c r="H150" s="42">
        <f t="shared" si="21"/>
        <v>0</v>
      </c>
      <c r="I150" s="42">
        <f t="shared" si="22"/>
        <v>0</v>
      </c>
      <c r="J150" s="62" t="str">
        <f t="shared" si="25"/>
        <v>0</v>
      </c>
      <c r="K150" s="34">
        <f>'PAREDE-TETO'!M151</f>
        <v>0</v>
      </c>
      <c r="L150" s="19">
        <f t="shared" si="23"/>
        <v>0</v>
      </c>
      <c r="M150" s="19">
        <f t="shared" si="24"/>
        <v>0</v>
      </c>
      <c r="N150" s="19">
        <f t="shared" si="26"/>
        <v>0</v>
      </c>
      <c r="O150" s="19">
        <f t="shared" si="27"/>
        <v>0</v>
      </c>
    </row>
    <row r="151" spans="2:15" x14ac:dyDescent="0.2">
      <c r="B151" s="61" t="str">
        <f t="shared" si="28"/>
        <v/>
      </c>
      <c r="C151" s="10">
        <v>143</v>
      </c>
      <c r="D151" s="39">
        <f>'PAREDE-TETO'!D152</f>
        <v>0</v>
      </c>
      <c r="E151" s="41"/>
      <c r="F151" s="41"/>
      <c r="G151" s="41"/>
      <c r="H151" s="42">
        <f t="shared" si="21"/>
        <v>0</v>
      </c>
      <c r="I151" s="42">
        <f t="shared" si="22"/>
        <v>0</v>
      </c>
      <c r="J151" s="62" t="str">
        <f t="shared" si="25"/>
        <v>0</v>
      </c>
      <c r="K151" s="34">
        <f>'PAREDE-TETO'!M152</f>
        <v>0</v>
      </c>
      <c r="L151" s="19">
        <f t="shared" si="23"/>
        <v>0</v>
      </c>
      <c r="M151" s="19">
        <f t="shared" si="24"/>
        <v>0</v>
      </c>
      <c r="N151" s="19">
        <f t="shared" si="26"/>
        <v>0</v>
      </c>
      <c r="O151" s="19">
        <f t="shared" si="27"/>
        <v>0</v>
      </c>
    </row>
    <row r="152" spans="2:15" x14ac:dyDescent="0.2">
      <c r="B152" s="61" t="str">
        <f t="shared" si="28"/>
        <v/>
      </c>
      <c r="C152" s="10">
        <v>144</v>
      </c>
      <c r="D152" s="39">
        <f>'PAREDE-TETO'!D153</f>
        <v>0</v>
      </c>
      <c r="E152" s="41"/>
      <c r="F152" s="41"/>
      <c r="G152" s="41"/>
      <c r="H152" s="42">
        <f t="shared" si="21"/>
        <v>0</v>
      </c>
      <c r="I152" s="42">
        <f t="shared" si="22"/>
        <v>0</v>
      </c>
      <c r="J152" s="62" t="str">
        <f t="shared" si="25"/>
        <v>0</v>
      </c>
      <c r="K152" s="34">
        <f>'PAREDE-TETO'!M153</f>
        <v>0</v>
      </c>
      <c r="L152" s="19">
        <f t="shared" si="23"/>
        <v>0</v>
      </c>
      <c r="M152" s="19">
        <f t="shared" si="24"/>
        <v>0</v>
      </c>
      <c r="N152" s="19">
        <f t="shared" si="26"/>
        <v>0</v>
      </c>
      <c r="O152" s="19">
        <f t="shared" si="27"/>
        <v>0</v>
      </c>
    </row>
    <row r="153" spans="2:15" x14ac:dyDescent="0.2">
      <c r="B153" s="61" t="str">
        <f t="shared" si="28"/>
        <v/>
      </c>
      <c r="C153" s="10">
        <v>145</v>
      </c>
      <c r="D153" s="39">
        <f>'PAREDE-TETO'!D154</f>
        <v>0</v>
      </c>
      <c r="E153" s="41"/>
      <c r="F153" s="41"/>
      <c r="G153" s="41"/>
      <c r="H153" s="42">
        <f t="shared" si="21"/>
        <v>0</v>
      </c>
      <c r="I153" s="42">
        <f t="shared" si="22"/>
        <v>0</v>
      </c>
      <c r="J153" s="62" t="str">
        <f t="shared" si="25"/>
        <v>0</v>
      </c>
      <c r="K153" s="34">
        <f>'PAREDE-TETO'!M154</f>
        <v>0</v>
      </c>
      <c r="L153" s="19">
        <f t="shared" si="23"/>
        <v>0</v>
      </c>
      <c r="M153" s="19">
        <f t="shared" si="24"/>
        <v>0</v>
      </c>
      <c r="N153" s="19">
        <f t="shared" si="26"/>
        <v>0</v>
      </c>
      <c r="O153" s="19">
        <f t="shared" si="27"/>
        <v>0</v>
      </c>
    </row>
    <row r="154" spans="2:15" x14ac:dyDescent="0.2">
      <c r="B154" s="61" t="str">
        <f t="shared" si="28"/>
        <v/>
      </c>
      <c r="C154" s="10">
        <v>146</v>
      </c>
      <c r="D154" s="39">
        <f>'PAREDE-TETO'!D155</f>
        <v>0</v>
      </c>
      <c r="E154" s="41"/>
      <c r="F154" s="41"/>
      <c r="G154" s="41"/>
      <c r="H154" s="42">
        <f t="shared" si="21"/>
        <v>0</v>
      </c>
      <c r="I154" s="42">
        <f t="shared" si="22"/>
        <v>0</v>
      </c>
      <c r="J154" s="62" t="str">
        <f t="shared" si="25"/>
        <v>0</v>
      </c>
      <c r="K154" s="34">
        <f>'PAREDE-TETO'!M155</f>
        <v>0</v>
      </c>
      <c r="L154" s="19">
        <f t="shared" si="23"/>
        <v>0</v>
      </c>
      <c r="M154" s="19">
        <f t="shared" si="24"/>
        <v>0</v>
      </c>
      <c r="N154" s="19">
        <f t="shared" si="26"/>
        <v>0</v>
      </c>
      <c r="O154" s="19">
        <f t="shared" si="27"/>
        <v>0</v>
      </c>
    </row>
    <row r="155" spans="2:15" x14ac:dyDescent="0.2">
      <c r="B155" s="61" t="str">
        <f t="shared" si="28"/>
        <v/>
      </c>
      <c r="C155" s="10">
        <v>147</v>
      </c>
      <c r="D155" s="39">
        <f>'PAREDE-TETO'!D156</f>
        <v>0</v>
      </c>
      <c r="E155" s="41"/>
      <c r="F155" s="41"/>
      <c r="G155" s="41"/>
      <c r="H155" s="42">
        <f t="shared" si="21"/>
        <v>0</v>
      </c>
      <c r="I155" s="42">
        <f t="shared" si="22"/>
        <v>0</v>
      </c>
      <c r="J155" s="62" t="str">
        <f t="shared" si="25"/>
        <v>0</v>
      </c>
      <c r="K155" s="34">
        <f>'PAREDE-TETO'!M156</f>
        <v>0</v>
      </c>
      <c r="L155" s="19">
        <f t="shared" si="23"/>
        <v>0</v>
      </c>
      <c r="M155" s="19">
        <f t="shared" si="24"/>
        <v>0</v>
      </c>
      <c r="N155" s="19">
        <f t="shared" si="26"/>
        <v>0</v>
      </c>
      <c r="O155" s="19">
        <f t="shared" si="27"/>
        <v>0</v>
      </c>
    </row>
    <row r="156" spans="2:15" x14ac:dyDescent="0.2">
      <c r="B156" s="61" t="str">
        <f t="shared" si="28"/>
        <v/>
      </c>
      <c r="C156" s="10">
        <v>148</v>
      </c>
      <c r="D156" s="39">
        <f>'PAREDE-TETO'!D157</f>
        <v>0</v>
      </c>
      <c r="E156" s="41"/>
      <c r="F156" s="41"/>
      <c r="G156" s="41"/>
      <c r="H156" s="42">
        <f t="shared" si="21"/>
        <v>0</v>
      </c>
      <c r="I156" s="42">
        <f t="shared" si="22"/>
        <v>0</v>
      </c>
      <c r="J156" s="62" t="str">
        <f t="shared" si="25"/>
        <v>0</v>
      </c>
      <c r="K156" s="34">
        <f>'PAREDE-TETO'!M157</f>
        <v>0</v>
      </c>
      <c r="L156" s="19">
        <f t="shared" si="23"/>
        <v>0</v>
      </c>
      <c r="M156" s="19">
        <f t="shared" si="24"/>
        <v>0</v>
      </c>
      <c r="N156" s="19">
        <f t="shared" si="26"/>
        <v>0</v>
      </c>
      <c r="O156" s="19">
        <f t="shared" si="27"/>
        <v>0</v>
      </c>
    </row>
    <row r="157" spans="2:15" x14ac:dyDescent="0.2">
      <c r="B157" s="61" t="str">
        <f t="shared" si="28"/>
        <v/>
      </c>
      <c r="C157" s="10">
        <v>149</v>
      </c>
      <c r="D157" s="39">
        <f>'PAREDE-TETO'!D158</f>
        <v>0</v>
      </c>
      <c r="E157" s="41"/>
      <c r="F157" s="41"/>
      <c r="G157" s="41"/>
      <c r="H157" s="42">
        <f t="shared" si="21"/>
        <v>0</v>
      </c>
      <c r="I157" s="42">
        <f t="shared" si="22"/>
        <v>0</v>
      </c>
      <c r="J157" s="62" t="str">
        <f t="shared" si="25"/>
        <v>0</v>
      </c>
      <c r="K157" s="34">
        <f>'PAREDE-TETO'!M158</f>
        <v>0</v>
      </c>
      <c r="L157" s="19">
        <f t="shared" si="23"/>
        <v>0</v>
      </c>
      <c r="M157" s="19">
        <f t="shared" si="24"/>
        <v>0</v>
      </c>
      <c r="N157" s="19">
        <f t="shared" si="26"/>
        <v>0</v>
      </c>
      <c r="O157" s="19">
        <f t="shared" si="27"/>
        <v>0</v>
      </c>
    </row>
    <row r="158" spans="2:15" x14ac:dyDescent="0.2">
      <c r="B158" s="61" t="str">
        <f t="shared" si="28"/>
        <v/>
      </c>
      <c r="C158" s="10">
        <v>150</v>
      </c>
      <c r="D158" s="39">
        <f>'PAREDE-TETO'!D159</f>
        <v>0</v>
      </c>
      <c r="E158" s="41"/>
      <c r="F158" s="41"/>
      <c r="G158" s="41"/>
      <c r="H158" s="42">
        <f t="shared" si="21"/>
        <v>0</v>
      </c>
      <c r="I158" s="42">
        <f t="shared" si="22"/>
        <v>0</v>
      </c>
      <c r="J158" s="62" t="str">
        <f t="shared" si="25"/>
        <v>0</v>
      </c>
      <c r="K158" s="34">
        <f>'PAREDE-TETO'!M159</f>
        <v>0</v>
      </c>
      <c r="L158" s="19">
        <f t="shared" si="23"/>
        <v>0</v>
      </c>
      <c r="M158" s="19">
        <f t="shared" si="24"/>
        <v>0</v>
      </c>
      <c r="N158" s="19">
        <f t="shared" si="26"/>
        <v>0</v>
      </c>
      <c r="O158" s="19">
        <f t="shared" si="27"/>
        <v>0</v>
      </c>
    </row>
    <row r="159" spans="2:15" x14ac:dyDescent="0.2">
      <c r="B159" s="61" t="str">
        <f t="shared" si="28"/>
        <v/>
      </c>
      <c r="C159" s="10">
        <v>151</v>
      </c>
      <c r="D159" s="39">
        <f>'PAREDE-TETO'!D160</f>
        <v>0</v>
      </c>
      <c r="E159" s="41"/>
      <c r="F159" s="41"/>
      <c r="G159" s="41"/>
      <c r="H159" s="42">
        <f t="shared" si="21"/>
        <v>0</v>
      </c>
      <c r="I159" s="42">
        <f t="shared" si="22"/>
        <v>0</v>
      </c>
      <c r="J159" s="62" t="str">
        <f t="shared" si="25"/>
        <v>0</v>
      </c>
      <c r="K159" s="34">
        <f>'PAREDE-TETO'!M160</f>
        <v>0</v>
      </c>
      <c r="L159" s="19">
        <f t="shared" si="23"/>
        <v>0</v>
      </c>
      <c r="M159" s="19">
        <f t="shared" si="24"/>
        <v>0</v>
      </c>
      <c r="N159" s="19">
        <f t="shared" si="26"/>
        <v>0</v>
      </c>
      <c r="O159" s="19">
        <f t="shared" si="27"/>
        <v>0</v>
      </c>
    </row>
    <row r="160" spans="2:15" x14ac:dyDescent="0.2">
      <c r="B160" s="61" t="str">
        <f t="shared" si="28"/>
        <v/>
      </c>
      <c r="C160" s="10">
        <v>152</v>
      </c>
      <c r="D160" s="39">
        <f>'PAREDE-TETO'!D161</f>
        <v>0</v>
      </c>
      <c r="E160" s="41"/>
      <c r="F160" s="41"/>
      <c r="G160" s="41"/>
      <c r="H160" s="42">
        <f t="shared" si="21"/>
        <v>0</v>
      </c>
      <c r="I160" s="42">
        <f t="shared" si="22"/>
        <v>0</v>
      </c>
      <c r="J160" s="62" t="str">
        <f t="shared" si="25"/>
        <v>0</v>
      </c>
      <c r="K160" s="34">
        <f>'PAREDE-TETO'!M161</f>
        <v>0</v>
      </c>
      <c r="L160" s="19">
        <f t="shared" si="23"/>
        <v>0</v>
      </c>
      <c r="M160" s="19">
        <f t="shared" si="24"/>
        <v>0</v>
      </c>
      <c r="N160" s="19">
        <f t="shared" si="26"/>
        <v>0</v>
      </c>
      <c r="O160" s="19">
        <f t="shared" si="27"/>
        <v>0</v>
      </c>
    </row>
    <row r="161" spans="2:15" x14ac:dyDescent="0.2">
      <c r="B161" s="61" t="str">
        <f t="shared" si="28"/>
        <v/>
      </c>
      <c r="C161" s="10">
        <v>153</v>
      </c>
      <c r="D161" s="39">
        <f>'PAREDE-TETO'!D162</f>
        <v>0</v>
      </c>
      <c r="E161" s="41"/>
      <c r="F161" s="41"/>
      <c r="G161" s="41"/>
      <c r="H161" s="42">
        <f t="shared" si="21"/>
        <v>0</v>
      </c>
      <c r="I161" s="42">
        <f t="shared" si="22"/>
        <v>0</v>
      </c>
      <c r="J161" s="62" t="str">
        <f t="shared" si="25"/>
        <v>0</v>
      </c>
      <c r="K161" s="34">
        <f>'PAREDE-TETO'!M162</f>
        <v>0</v>
      </c>
      <c r="L161" s="19">
        <f t="shared" si="23"/>
        <v>0</v>
      </c>
      <c r="M161" s="19">
        <f t="shared" si="24"/>
        <v>0</v>
      </c>
      <c r="N161" s="19">
        <f t="shared" si="26"/>
        <v>0</v>
      </c>
      <c r="O161" s="19">
        <f t="shared" si="27"/>
        <v>0</v>
      </c>
    </row>
    <row r="162" spans="2:15" x14ac:dyDescent="0.2">
      <c r="B162" s="61" t="str">
        <f t="shared" si="28"/>
        <v/>
      </c>
      <c r="C162" s="10">
        <v>154</v>
      </c>
      <c r="D162" s="39">
        <f>'PAREDE-TETO'!D163</f>
        <v>0</v>
      </c>
      <c r="E162" s="41"/>
      <c r="F162" s="41"/>
      <c r="G162" s="41"/>
      <c r="H162" s="42">
        <f t="shared" si="21"/>
        <v>0</v>
      </c>
      <c r="I162" s="42">
        <f t="shared" si="22"/>
        <v>0</v>
      </c>
      <c r="J162" s="62" t="str">
        <f t="shared" si="25"/>
        <v>0</v>
      </c>
      <c r="K162" s="34">
        <f>'PAREDE-TETO'!M163</f>
        <v>0</v>
      </c>
      <c r="L162" s="19">
        <f t="shared" si="23"/>
        <v>0</v>
      </c>
      <c r="M162" s="19">
        <f t="shared" si="24"/>
        <v>0</v>
      </c>
      <c r="N162" s="19">
        <f t="shared" si="26"/>
        <v>0</v>
      </c>
      <c r="O162" s="19">
        <f t="shared" si="27"/>
        <v>0</v>
      </c>
    </row>
    <row r="163" spans="2:15" x14ac:dyDescent="0.2">
      <c r="B163" s="61" t="str">
        <f t="shared" si="28"/>
        <v/>
      </c>
      <c r="C163" s="10">
        <v>155</v>
      </c>
      <c r="D163" s="39">
        <f>'PAREDE-TETO'!D164</f>
        <v>0</v>
      </c>
      <c r="E163" s="41"/>
      <c r="F163" s="41"/>
      <c r="G163" s="41"/>
      <c r="H163" s="42">
        <f t="shared" si="21"/>
        <v>0</v>
      </c>
      <c r="I163" s="42">
        <f t="shared" si="22"/>
        <v>0</v>
      </c>
      <c r="J163" s="62" t="str">
        <f t="shared" si="25"/>
        <v>0</v>
      </c>
      <c r="K163" s="34">
        <f>'PAREDE-TETO'!M164</f>
        <v>0</v>
      </c>
      <c r="L163" s="19">
        <f t="shared" si="23"/>
        <v>0</v>
      </c>
      <c r="M163" s="19">
        <f t="shared" si="24"/>
        <v>0</v>
      </c>
      <c r="N163" s="19">
        <f t="shared" si="26"/>
        <v>0</v>
      </c>
      <c r="O163" s="19">
        <f t="shared" si="27"/>
        <v>0</v>
      </c>
    </row>
    <row r="164" spans="2:15" x14ac:dyDescent="0.2">
      <c r="B164" s="61" t="str">
        <f t="shared" si="28"/>
        <v/>
      </c>
      <c r="C164" s="10">
        <v>156</v>
      </c>
      <c r="D164" s="39">
        <f>'PAREDE-TETO'!D165</f>
        <v>0</v>
      </c>
      <c r="E164" s="41"/>
      <c r="F164" s="41"/>
      <c r="G164" s="41"/>
      <c r="H164" s="42">
        <f t="shared" si="21"/>
        <v>0</v>
      </c>
      <c r="I164" s="42">
        <f t="shared" si="22"/>
        <v>0</v>
      </c>
      <c r="J164" s="62" t="str">
        <f t="shared" si="25"/>
        <v>0</v>
      </c>
      <c r="K164" s="34">
        <f>'PAREDE-TETO'!M165</f>
        <v>0</v>
      </c>
      <c r="L164" s="19">
        <f t="shared" si="23"/>
        <v>0</v>
      </c>
      <c r="M164" s="19">
        <f t="shared" si="24"/>
        <v>0</v>
      </c>
      <c r="N164" s="19">
        <f t="shared" si="26"/>
        <v>0</v>
      </c>
      <c r="O164" s="19">
        <f t="shared" si="27"/>
        <v>0</v>
      </c>
    </row>
    <row r="165" spans="2:15" x14ac:dyDescent="0.2">
      <c r="B165" s="61" t="str">
        <f t="shared" si="28"/>
        <v/>
      </c>
      <c r="C165" s="10">
        <v>157</v>
      </c>
      <c r="D165" s="39">
        <f>'PAREDE-TETO'!D166</f>
        <v>0</v>
      </c>
      <c r="E165" s="41"/>
      <c r="F165" s="41"/>
      <c r="G165" s="41"/>
      <c r="H165" s="42">
        <f t="shared" si="21"/>
        <v>0</v>
      </c>
      <c r="I165" s="42">
        <f t="shared" si="22"/>
        <v>0</v>
      </c>
      <c r="J165" s="62" t="str">
        <f t="shared" si="25"/>
        <v>0</v>
      </c>
      <c r="K165" s="34">
        <f>'PAREDE-TETO'!M166</f>
        <v>0</v>
      </c>
      <c r="L165" s="19">
        <f t="shared" si="23"/>
        <v>0</v>
      </c>
      <c r="M165" s="19">
        <f t="shared" si="24"/>
        <v>0</v>
      </c>
      <c r="N165" s="19">
        <f t="shared" si="26"/>
        <v>0</v>
      </c>
      <c r="O165" s="19">
        <f t="shared" si="27"/>
        <v>0</v>
      </c>
    </row>
    <row r="166" spans="2:15" x14ac:dyDescent="0.2">
      <c r="B166" s="61" t="str">
        <f t="shared" si="28"/>
        <v/>
      </c>
      <c r="C166" s="10">
        <v>158</v>
      </c>
      <c r="D166" s="39">
        <f>'PAREDE-TETO'!D167</f>
        <v>0</v>
      </c>
      <c r="E166" s="41"/>
      <c r="F166" s="41"/>
      <c r="G166" s="41"/>
      <c r="H166" s="42">
        <f t="shared" si="21"/>
        <v>0</v>
      </c>
      <c r="I166" s="42">
        <f t="shared" si="22"/>
        <v>0</v>
      </c>
      <c r="J166" s="62" t="str">
        <f t="shared" si="25"/>
        <v>0</v>
      </c>
      <c r="K166" s="34">
        <f>'PAREDE-TETO'!M167</f>
        <v>0</v>
      </c>
      <c r="L166" s="19">
        <f t="shared" si="23"/>
        <v>0</v>
      </c>
      <c r="M166" s="19">
        <f t="shared" si="24"/>
        <v>0</v>
      </c>
      <c r="N166" s="19">
        <f t="shared" si="26"/>
        <v>0</v>
      </c>
      <c r="O166" s="19">
        <f t="shared" si="27"/>
        <v>0</v>
      </c>
    </row>
    <row r="167" spans="2:15" x14ac:dyDescent="0.2">
      <c r="B167" s="61" t="str">
        <f t="shared" si="28"/>
        <v/>
      </c>
      <c r="C167" s="10">
        <v>159</v>
      </c>
      <c r="D167" s="39">
        <f>'PAREDE-TETO'!D168</f>
        <v>0</v>
      </c>
      <c r="E167" s="41"/>
      <c r="F167" s="41"/>
      <c r="G167" s="41"/>
      <c r="H167" s="42">
        <f t="shared" si="21"/>
        <v>0</v>
      </c>
      <c r="I167" s="42">
        <f t="shared" si="22"/>
        <v>0</v>
      </c>
      <c r="J167" s="62" t="str">
        <f t="shared" si="25"/>
        <v>0</v>
      </c>
      <c r="K167" s="34">
        <f>'PAREDE-TETO'!M168</f>
        <v>0</v>
      </c>
      <c r="L167" s="19">
        <f t="shared" si="23"/>
        <v>0</v>
      </c>
      <c r="M167" s="19">
        <f t="shared" si="24"/>
        <v>0</v>
      </c>
      <c r="N167" s="19">
        <f t="shared" si="26"/>
        <v>0</v>
      </c>
      <c r="O167" s="19">
        <f t="shared" si="27"/>
        <v>0</v>
      </c>
    </row>
    <row r="168" spans="2:15" x14ac:dyDescent="0.2">
      <c r="B168" s="61" t="str">
        <f t="shared" si="28"/>
        <v/>
      </c>
      <c r="C168" s="10">
        <v>160</v>
      </c>
      <c r="D168" s="39">
        <f>'PAREDE-TETO'!D169</f>
        <v>0</v>
      </c>
      <c r="E168" s="41"/>
      <c r="F168" s="41"/>
      <c r="G168" s="41"/>
      <c r="H168" s="42">
        <f t="shared" si="21"/>
        <v>0</v>
      </c>
      <c r="I168" s="42">
        <f t="shared" si="22"/>
        <v>0</v>
      </c>
      <c r="J168" s="62" t="str">
        <f t="shared" si="25"/>
        <v>0</v>
      </c>
      <c r="K168" s="34">
        <f>'PAREDE-TETO'!M169</f>
        <v>0</v>
      </c>
      <c r="L168" s="19">
        <f t="shared" si="23"/>
        <v>0</v>
      </c>
      <c r="M168" s="19">
        <f t="shared" si="24"/>
        <v>0</v>
      </c>
      <c r="N168" s="19">
        <f t="shared" si="26"/>
        <v>0</v>
      </c>
      <c r="O168" s="19">
        <f t="shared" si="27"/>
        <v>0</v>
      </c>
    </row>
    <row r="169" spans="2:15" x14ac:dyDescent="0.2">
      <c r="B169" s="61" t="str">
        <f t="shared" si="28"/>
        <v/>
      </c>
      <c r="C169" s="10">
        <v>161</v>
      </c>
      <c r="D169" s="39">
        <f>'PAREDE-TETO'!D170</f>
        <v>0</v>
      </c>
      <c r="E169" s="41"/>
      <c r="F169" s="41"/>
      <c r="G169" s="41"/>
      <c r="H169" s="42">
        <f t="shared" si="21"/>
        <v>0</v>
      </c>
      <c r="I169" s="42">
        <f t="shared" si="22"/>
        <v>0</v>
      </c>
      <c r="J169" s="62" t="str">
        <f t="shared" si="25"/>
        <v>0</v>
      </c>
      <c r="K169" s="34">
        <f>'PAREDE-TETO'!M170</f>
        <v>0</v>
      </c>
      <c r="L169" s="19">
        <f t="shared" ref="L169:L200" si="29">H169/100*$R$7*(1+$R$6)</f>
        <v>0</v>
      </c>
      <c r="M169" s="19">
        <f t="shared" ref="M169:M200" si="30">I169/100*$R$7*(1+$R$6)</f>
        <v>0</v>
      </c>
      <c r="N169" s="19">
        <f t="shared" si="26"/>
        <v>0</v>
      </c>
      <c r="O169" s="19">
        <f t="shared" si="27"/>
        <v>0</v>
      </c>
    </row>
    <row r="170" spans="2:15" x14ac:dyDescent="0.2">
      <c r="B170" s="61" t="str">
        <f t="shared" si="28"/>
        <v/>
      </c>
      <c r="C170" s="10">
        <v>162</v>
      </c>
      <c r="D170" s="39">
        <f>'PAREDE-TETO'!D171</f>
        <v>0</v>
      </c>
      <c r="E170" s="41"/>
      <c r="F170" s="41"/>
      <c r="G170" s="41"/>
      <c r="H170" s="42">
        <f t="shared" si="21"/>
        <v>0</v>
      </c>
      <c r="I170" s="42">
        <f t="shared" si="22"/>
        <v>0</v>
      </c>
      <c r="J170" s="62" t="str">
        <f t="shared" si="25"/>
        <v>0</v>
      </c>
      <c r="K170" s="34">
        <f>'PAREDE-TETO'!M171</f>
        <v>0</v>
      </c>
      <c r="L170" s="19">
        <f t="shared" si="29"/>
        <v>0</v>
      </c>
      <c r="M170" s="19">
        <f t="shared" si="30"/>
        <v>0</v>
      </c>
      <c r="N170" s="19">
        <f t="shared" si="26"/>
        <v>0</v>
      </c>
      <c r="O170" s="19">
        <f t="shared" si="27"/>
        <v>0</v>
      </c>
    </row>
    <row r="171" spans="2:15" x14ac:dyDescent="0.2">
      <c r="B171" s="61" t="str">
        <f t="shared" si="28"/>
        <v/>
      </c>
      <c r="C171" s="10">
        <v>163</v>
      </c>
      <c r="D171" s="39">
        <f>'PAREDE-TETO'!D172</f>
        <v>0</v>
      </c>
      <c r="E171" s="41"/>
      <c r="F171" s="41"/>
      <c r="G171" s="41"/>
      <c r="H171" s="42">
        <f t="shared" ref="H171:H208" si="31">(D171-E171)*F171</f>
        <v>0</v>
      </c>
      <c r="I171" s="42">
        <f t="shared" ref="I171:I208" si="32">(D171-E171)*G171</f>
        <v>0</v>
      </c>
      <c r="J171" s="62" t="str">
        <f t="shared" si="25"/>
        <v>0</v>
      </c>
      <c r="K171" s="34">
        <f>'PAREDE-TETO'!M172</f>
        <v>0</v>
      </c>
      <c r="L171" s="19">
        <f t="shared" si="29"/>
        <v>0</v>
      </c>
      <c r="M171" s="19">
        <f t="shared" si="30"/>
        <v>0</v>
      </c>
      <c r="N171" s="19">
        <f t="shared" si="26"/>
        <v>0</v>
      </c>
      <c r="O171" s="19">
        <f t="shared" si="27"/>
        <v>0</v>
      </c>
    </row>
    <row r="172" spans="2:15" x14ac:dyDescent="0.2">
      <c r="B172" s="61" t="str">
        <f t="shared" si="28"/>
        <v/>
      </c>
      <c r="C172" s="10">
        <v>164</v>
      </c>
      <c r="D172" s="39">
        <f>'PAREDE-TETO'!D173</f>
        <v>0</v>
      </c>
      <c r="E172" s="41"/>
      <c r="F172" s="41"/>
      <c r="G172" s="41"/>
      <c r="H172" s="42">
        <f t="shared" si="31"/>
        <v>0</v>
      </c>
      <c r="I172" s="42">
        <f t="shared" si="32"/>
        <v>0</v>
      </c>
      <c r="J172" s="62" t="str">
        <f t="shared" si="25"/>
        <v>0</v>
      </c>
      <c r="K172" s="34">
        <f>'PAREDE-TETO'!M173</f>
        <v>0</v>
      </c>
      <c r="L172" s="19">
        <f t="shared" si="29"/>
        <v>0</v>
      </c>
      <c r="M172" s="19">
        <f t="shared" si="30"/>
        <v>0</v>
      </c>
      <c r="N172" s="19">
        <f t="shared" si="26"/>
        <v>0</v>
      </c>
      <c r="O172" s="19">
        <f t="shared" si="27"/>
        <v>0</v>
      </c>
    </row>
    <row r="173" spans="2:15" x14ac:dyDescent="0.2">
      <c r="B173" s="61" t="str">
        <f t="shared" si="28"/>
        <v/>
      </c>
      <c r="C173" s="10">
        <v>165</v>
      </c>
      <c r="D173" s="39">
        <f>'PAREDE-TETO'!D174</f>
        <v>0</v>
      </c>
      <c r="E173" s="41"/>
      <c r="F173" s="41"/>
      <c r="G173" s="41"/>
      <c r="H173" s="42">
        <f t="shared" si="31"/>
        <v>0</v>
      </c>
      <c r="I173" s="42">
        <f t="shared" si="32"/>
        <v>0</v>
      </c>
      <c r="J173" s="62" t="str">
        <f t="shared" si="25"/>
        <v>0</v>
      </c>
      <c r="K173" s="34">
        <f>'PAREDE-TETO'!M174</f>
        <v>0</v>
      </c>
      <c r="L173" s="19">
        <f t="shared" si="29"/>
        <v>0</v>
      </c>
      <c r="M173" s="19">
        <f t="shared" si="30"/>
        <v>0</v>
      </c>
      <c r="N173" s="19">
        <f t="shared" si="26"/>
        <v>0</v>
      </c>
      <c r="O173" s="19">
        <f t="shared" si="27"/>
        <v>0</v>
      </c>
    </row>
    <row r="174" spans="2:15" x14ac:dyDescent="0.2">
      <c r="B174" s="61" t="str">
        <f t="shared" si="28"/>
        <v/>
      </c>
      <c r="C174" s="10">
        <v>166</v>
      </c>
      <c r="D174" s="39">
        <f>'PAREDE-TETO'!D175</f>
        <v>0</v>
      </c>
      <c r="E174" s="41"/>
      <c r="F174" s="41"/>
      <c r="G174" s="41"/>
      <c r="H174" s="42">
        <f t="shared" si="31"/>
        <v>0</v>
      </c>
      <c r="I174" s="42">
        <f t="shared" si="32"/>
        <v>0</v>
      </c>
      <c r="J174" s="62" t="str">
        <f t="shared" si="25"/>
        <v>0</v>
      </c>
      <c r="K174" s="34">
        <f>'PAREDE-TETO'!M175</f>
        <v>0</v>
      </c>
      <c r="L174" s="19">
        <f t="shared" si="29"/>
        <v>0</v>
      </c>
      <c r="M174" s="19">
        <f t="shared" si="30"/>
        <v>0</v>
      </c>
      <c r="N174" s="19">
        <f t="shared" si="26"/>
        <v>0</v>
      </c>
      <c r="O174" s="19">
        <f t="shared" si="27"/>
        <v>0</v>
      </c>
    </row>
    <row r="175" spans="2:15" x14ac:dyDescent="0.2">
      <c r="B175" s="61" t="str">
        <f t="shared" si="28"/>
        <v/>
      </c>
      <c r="C175" s="10">
        <v>167</v>
      </c>
      <c r="D175" s="39">
        <f>'PAREDE-TETO'!D176</f>
        <v>0</v>
      </c>
      <c r="E175" s="41"/>
      <c r="F175" s="41"/>
      <c r="G175" s="41"/>
      <c r="H175" s="42">
        <f t="shared" si="31"/>
        <v>0</v>
      </c>
      <c r="I175" s="42">
        <f t="shared" si="32"/>
        <v>0</v>
      </c>
      <c r="J175" s="62" t="str">
        <f t="shared" si="25"/>
        <v>0</v>
      </c>
      <c r="K175" s="34">
        <f>'PAREDE-TETO'!M176</f>
        <v>0</v>
      </c>
      <c r="L175" s="19">
        <f t="shared" si="29"/>
        <v>0</v>
      </c>
      <c r="M175" s="19">
        <f t="shared" si="30"/>
        <v>0</v>
      </c>
      <c r="N175" s="19">
        <f t="shared" si="26"/>
        <v>0</v>
      </c>
      <c r="O175" s="19">
        <f t="shared" si="27"/>
        <v>0</v>
      </c>
    </row>
    <row r="176" spans="2:15" x14ac:dyDescent="0.2">
      <c r="B176" s="61" t="str">
        <f t="shared" si="28"/>
        <v/>
      </c>
      <c r="C176" s="10">
        <v>168</v>
      </c>
      <c r="D176" s="39">
        <f>'PAREDE-TETO'!D177</f>
        <v>0</v>
      </c>
      <c r="E176" s="41"/>
      <c r="F176" s="41"/>
      <c r="G176" s="41"/>
      <c r="H176" s="42">
        <f t="shared" si="31"/>
        <v>0</v>
      </c>
      <c r="I176" s="42">
        <f t="shared" si="32"/>
        <v>0</v>
      </c>
      <c r="J176" s="62" t="str">
        <f t="shared" si="25"/>
        <v>0</v>
      </c>
      <c r="K176" s="34">
        <f>'PAREDE-TETO'!M177</f>
        <v>0</v>
      </c>
      <c r="L176" s="19">
        <f t="shared" si="29"/>
        <v>0</v>
      </c>
      <c r="M176" s="19">
        <f t="shared" si="30"/>
        <v>0</v>
      </c>
      <c r="N176" s="19">
        <f t="shared" si="26"/>
        <v>0</v>
      </c>
      <c r="O176" s="19">
        <f t="shared" si="27"/>
        <v>0</v>
      </c>
    </row>
    <row r="177" spans="2:15" x14ac:dyDescent="0.2">
      <c r="B177" s="61" t="str">
        <f t="shared" si="28"/>
        <v/>
      </c>
      <c r="C177" s="10">
        <v>169</v>
      </c>
      <c r="D177" s="39">
        <f>'PAREDE-TETO'!D178</f>
        <v>0</v>
      </c>
      <c r="E177" s="41"/>
      <c r="F177" s="41"/>
      <c r="G177" s="41"/>
      <c r="H177" s="42">
        <f t="shared" si="31"/>
        <v>0</v>
      </c>
      <c r="I177" s="42">
        <f t="shared" si="32"/>
        <v>0</v>
      </c>
      <c r="J177" s="62" t="str">
        <f t="shared" si="25"/>
        <v>0</v>
      </c>
      <c r="K177" s="34">
        <f>'PAREDE-TETO'!M178</f>
        <v>0</v>
      </c>
      <c r="L177" s="19">
        <f t="shared" si="29"/>
        <v>0</v>
      </c>
      <c r="M177" s="19">
        <f t="shared" si="30"/>
        <v>0</v>
      </c>
      <c r="N177" s="19">
        <f t="shared" si="26"/>
        <v>0</v>
      </c>
      <c r="O177" s="19">
        <f t="shared" si="27"/>
        <v>0</v>
      </c>
    </row>
    <row r="178" spans="2:15" x14ac:dyDescent="0.2">
      <c r="B178" s="61" t="str">
        <f t="shared" si="28"/>
        <v/>
      </c>
      <c r="C178" s="10">
        <v>170</v>
      </c>
      <c r="D178" s="39">
        <f>'PAREDE-TETO'!D179</f>
        <v>0</v>
      </c>
      <c r="E178" s="41"/>
      <c r="F178" s="41"/>
      <c r="G178" s="41"/>
      <c r="H178" s="42">
        <f t="shared" si="31"/>
        <v>0</v>
      </c>
      <c r="I178" s="42">
        <f t="shared" si="32"/>
        <v>0</v>
      </c>
      <c r="J178" s="62" t="str">
        <f t="shared" si="25"/>
        <v>0</v>
      </c>
      <c r="K178" s="34">
        <f>'PAREDE-TETO'!M179</f>
        <v>0</v>
      </c>
      <c r="L178" s="19">
        <f t="shared" si="29"/>
        <v>0</v>
      </c>
      <c r="M178" s="19">
        <f t="shared" si="30"/>
        <v>0</v>
      </c>
      <c r="N178" s="19">
        <f t="shared" si="26"/>
        <v>0</v>
      </c>
      <c r="O178" s="19">
        <f t="shared" si="27"/>
        <v>0</v>
      </c>
    </row>
    <row r="179" spans="2:15" x14ac:dyDescent="0.2">
      <c r="B179" s="61" t="str">
        <f t="shared" si="28"/>
        <v/>
      </c>
      <c r="C179" s="10">
        <v>171</v>
      </c>
      <c r="D179" s="39">
        <f>'PAREDE-TETO'!D180</f>
        <v>0</v>
      </c>
      <c r="E179" s="41"/>
      <c r="F179" s="41"/>
      <c r="G179" s="41"/>
      <c r="H179" s="42">
        <f t="shared" si="31"/>
        <v>0</v>
      </c>
      <c r="I179" s="42">
        <f t="shared" si="32"/>
        <v>0</v>
      </c>
      <c r="J179" s="62" t="str">
        <f t="shared" si="25"/>
        <v>0</v>
      </c>
      <c r="K179" s="34">
        <f>'PAREDE-TETO'!M180</f>
        <v>0</v>
      </c>
      <c r="L179" s="19">
        <f t="shared" si="29"/>
        <v>0</v>
      </c>
      <c r="M179" s="19">
        <f t="shared" si="30"/>
        <v>0</v>
      </c>
      <c r="N179" s="19">
        <f t="shared" si="26"/>
        <v>0</v>
      </c>
      <c r="O179" s="19">
        <f t="shared" si="27"/>
        <v>0</v>
      </c>
    </row>
    <row r="180" spans="2:15" x14ac:dyDescent="0.2">
      <c r="B180" s="61" t="str">
        <f t="shared" si="28"/>
        <v/>
      </c>
      <c r="C180" s="10">
        <v>172</v>
      </c>
      <c r="D180" s="39">
        <f>'PAREDE-TETO'!D181</f>
        <v>0</v>
      </c>
      <c r="E180" s="41"/>
      <c r="F180" s="41"/>
      <c r="G180" s="41"/>
      <c r="H180" s="42">
        <f t="shared" si="31"/>
        <v>0</v>
      </c>
      <c r="I180" s="42">
        <f t="shared" si="32"/>
        <v>0</v>
      </c>
      <c r="J180" s="62" t="str">
        <f t="shared" si="25"/>
        <v>0</v>
      </c>
      <c r="K180" s="34">
        <f>'PAREDE-TETO'!M181</f>
        <v>0</v>
      </c>
      <c r="L180" s="19">
        <f t="shared" si="29"/>
        <v>0</v>
      </c>
      <c r="M180" s="19">
        <f t="shared" si="30"/>
        <v>0</v>
      </c>
      <c r="N180" s="19">
        <f t="shared" si="26"/>
        <v>0</v>
      </c>
      <c r="O180" s="19">
        <f t="shared" si="27"/>
        <v>0</v>
      </c>
    </row>
    <row r="181" spans="2:15" x14ac:dyDescent="0.2">
      <c r="B181" s="61" t="str">
        <f t="shared" si="28"/>
        <v/>
      </c>
      <c r="C181" s="10">
        <v>173</v>
      </c>
      <c r="D181" s="39">
        <f>'PAREDE-TETO'!D182</f>
        <v>0</v>
      </c>
      <c r="E181" s="41"/>
      <c r="F181" s="41"/>
      <c r="G181" s="41"/>
      <c r="H181" s="42">
        <f t="shared" si="31"/>
        <v>0</v>
      </c>
      <c r="I181" s="42">
        <f t="shared" si="32"/>
        <v>0</v>
      </c>
      <c r="J181" s="62" t="str">
        <f t="shared" si="25"/>
        <v>0</v>
      </c>
      <c r="K181" s="34">
        <f>'PAREDE-TETO'!M182</f>
        <v>0</v>
      </c>
      <c r="L181" s="19">
        <f t="shared" si="29"/>
        <v>0</v>
      </c>
      <c r="M181" s="19">
        <f t="shared" si="30"/>
        <v>0</v>
      </c>
      <c r="N181" s="19">
        <f t="shared" si="26"/>
        <v>0</v>
      </c>
      <c r="O181" s="19">
        <f t="shared" si="27"/>
        <v>0</v>
      </c>
    </row>
    <row r="182" spans="2:15" x14ac:dyDescent="0.2">
      <c r="B182" s="61" t="str">
        <f t="shared" si="28"/>
        <v/>
      </c>
      <c r="C182" s="10">
        <v>174</v>
      </c>
      <c r="D182" s="39">
        <f>'PAREDE-TETO'!D183</f>
        <v>0</v>
      </c>
      <c r="E182" s="41"/>
      <c r="F182" s="41"/>
      <c r="G182" s="41"/>
      <c r="H182" s="42">
        <f t="shared" si="31"/>
        <v>0</v>
      </c>
      <c r="I182" s="42">
        <f t="shared" si="32"/>
        <v>0</v>
      </c>
      <c r="J182" s="62" t="str">
        <f t="shared" si="25"/>
        <v>0</v>
      </c>
      <c r="K182" s="34">
        <f>'PAREDE-TETO'!M183</f>
        <v>0</v>
      </c>
      <c r="L182" s="19">
        <f t="shared" si="29"/>
        <v>0</v>
      </c>
      <c r="M182" s="19">
        <f t="shared" si="30"/>
        <v>0</v>
      </c>
      <c r="N182" s="19">
        <f t="shared" si="26"/>
        <v>0</v>
      </c>
      <c r="O182" s="19">
        <f t="shared" si="27"/>
        <v>0</v>
      </c>
    </row>
    <row r="183" spans="2:15" x14ac:dyDescent="0.2">
      <c r="B183" s="61" t="str">
        <f t="shared" si="28"/>
        <v/>
      </c>
      <c r="C183" s="10">
        <v>175</v>
      </c>
      <c r="D183" s="39">
        <f>'PAREDE-TETO'!D184</f>
        <v>0</v>
      </c>
      <c r="E183" s="41"/>
      <c r="F183" s="41"/>
      <c r="G183" s="41"/>
      <c r="H183" s="42">
        <f t="shared" si="31"/>
        <v>0</v>
      </c>
      <c r="I183" s="42">
        <f t="shared" si="32"/>
        <v>0</v>
      </c>
      <c r="J183" s="62" t="str">
        <f t="shared" si="25"/>
        <v>0</v>
      </c>
      <c r="K183" s="34">
        <f>'PAREDE-TETO'!M184</f>
        <v>0</v>
      </c>
      <c r="L183" s="19">
        <f t="shared" si="29"/>
        <v>0</v>
      </c>
      <c r="M183" s="19">
        <f t="shared" si="30"/>
        <v>0</v>
      </c>
      <c r="N183" s="19">
        <f t="shared" si="26"/>
        <v>0</v>
      </c>
      <c r="O183" s="19">
        <f t="shared" si="27"/>
        <v>0</v>
      </c>
    </row>
    <row r="184" spans="2:15" x14ac:dyDescent="0.2">
      <c r="B184" s="61" t="str">
        <f t="shared" si="28"/>
        <v/>
      </c>
      <c r="C184" s="10">
        <v>176</v>
      </c>
      <c r="D184" s="39">
        <f>'PAREDE-TETO'!D185</f>
        <v>0</v>
      </c>
      <c r="E184" s="41"/>
      <c r="F184" s="41"/>
      <c r="G184" s="41"/>
      <c r="H184" s="42">
        <f t="shared" si="31"/>
        <v>0</v>
      </c>
      <c r="I184" s="42">
        <f t="shared" si="32"/>
        <v>0</v>
      </c>
      <c r="J184" s="62" t="str">
        <f t="shared" si="25"/>
        <v>0</v>
      </c>
      <c r="K184" s="34">
        <f>'PAREDE-TETO'!M185</f>
        <v>0</v>
      </c>
      <c r="L184" s="19">
        <f t="shared" si="29"/>
        <v>0</v>
      </c>
      <c r="M184" s="19">
        <f t="shared" si="30"/>
        <v>0</v>
      </c>
      <c r="N184" s="19">
        <f t="shared" si="26"/>
        <v>0</v>
      </c>
      <c r="O184" s="19">
        <f t="shared" si="27"/>
        <v>0</v>
      </c>
    </row>
    <row r="185" spans="2:15" x14ac:dyDescent="0.2">
      <c r="B185" s="61" t="str">
        <f t="shared" si="28"/>
        <v/>
      </c>
      <c r="C185" s="10">
        <v>177</v>
      </c>
      <c r="D185" s="39">
        <f>'PAREDE-TETO'!D186</f>
        <v>0</v>
      </c>
      <c r="E185" s="41"/>
      <c r="F185" s="41"/>
      <c r="G185" s="41"/>
      <c r="H185" s="42">
        <f t="shared" si="31"/>
        <v>0</v>
      </c>
      <c r="I185" s="42">
        <f t="shared" si="32"/>
        <v>0</v>
      </c>
      <c r="J185" s="62" t="str">
        <f t="shared" si="25"/>
        <v>0</v>
      </c>
      <c r="K185" s="34">
        <f>'PAREDE-TETO'!M186</f>
        <v>0</v>
      </c>
      <c r="L185" s="19">
        <f t="shared" si="29"/>
        <v>0</v>
      </c>
      <c r="M185" s="19">
        <f t="shared" si="30"/>
        <v>0</v>
      </c>
      <c r="N185" s="19">
        <f t="shared" si="26"/>
        <v>0</v>
      </c>
      <c r="O185" s="19">
        <f t="shared" si="27"/>
        <v>0</v>
      </c>
    </row>
    <row r="186" spans="2:15" x14ac:dyDescent="0.2">
      <c r="B186" s="61" t="str">
        <f t="shared" si="28"/>
        <v/>
      </c>
      <c r="C186" s="10">
        <v>178</v>
      </c>
      <c r="D186" s="39">
        <f>'PAREDE-TETO'!D187</f>
        <v>0</v>
      </c>
      <c r="E186" s="41"/>
      <c r="F186" s="41"/>
      <c r="G186" s="41"/>
      <c r="H186" s="42">
        <f t="shared" si="31"/>
        <v>0</v>
      </c>
      <c r="I186" s="42">
        <f t="shared" si="32"/>
        <v>0</v>
      </c>
      <c r="J186" s="62" t="str">
        <f t="shared" si="25"/>
        <v>0</v>
      </c>
      <c r="K186" s="34">
        <f>'PAREDE-TETO'!M187</f>
        <v>0</v>
      </c>
      <c r="L186" s="19">
        <f t="shared" si="29"/>
        <v>0</v>
      </c>
      <c r="M186" s="19">
        <f t="shared" si="30"/>
        <v>0</v>
      </c>
      <c r="N186" s="19">
        <f t="shared" si="26"/>
        <v>0</v>
      </c>
      <c r="O186" s="19">
        <f t="shared" si="27"/>
        <v>0</v>
      </c>
    </row>
    <row r="187" spans="2:15" x14ac:dyDescent="0.2">
      <c r="B187" s="61" t="str">
        <f t="shared" si="28"/>
        <v/>
      </c>
      <c r="C187" s="10">
        <v>179</v>
      </c>
      <c r="D187" s="39">
        <f>'PAREDE-TETO'!D188</f>
        <v>0</v>
      </c>
      <c r="E187" s="41"/>
      <c r="F187" s="41"/>
      <c r="G187" s="41"/>
      <c r="H187" s="42">
        <f t="shared" si="31"/>
        <v>0</v>
      </c>
      <c r="I187" s="42">
        <f t="shared" si="32"/>
        <v>0</v>
      </c>
      <c r="J187" s="62" t="str">
        <f t="shared" si="25"/>
        <v>0</v>
      </c>
      <c r="K187" s="34">
        <f>'PAREDE-TETO'!M188</f>
        <v>0</v>
      </c>
      <c r="L187" s="19">
        <f t="shared" si="29"/>
        <v>0</v>
      </c>
      <c r="M187" s="19">
        <f t="shared" si="30"/>
        <v>0</v>
      </c>
      <c r="N187" s="19">
        <f t="shared" si="26"/>
        <v>0</v>
      </c>
      <c r="O187" s="19">
        <f t="shared" si="27"/>
        <v>0</v>
      </c>
    </row>
    <row r="188" spans="2:15" x14ac:dyDescent="0.2">
      <c r="B188" s="61" t="str">
        <f t="shared" si="28"/>
        <v/>
      </c>
      <c r="C188" s="10">
        <v>180</v>
      </c>
      <c r="D188" s="39">
        <f>'PAREDE-TETO'!D189</f>
        <v>0</v>
      </c>
      <c r="E188" s="41"/>
      <c r="F188" s="41"/>
      <c r="G188" s="41"/>
      <c r="H188" s="42">
        <f t="shared" si="31"/>
        <v>0</v>
      </c>
      <c r="I188" s="42">
        <f t="shared" si="32"/>
        <v>0</v>
      </c>
      <c r="J188" s="62" t="str">
        <f t="shared" si="25"/>
        <v>0</v>
      </c>
      <c r="K188" s="34">
        <f>'PAREDE-TETO'!M189</f>
        <v>0</v>
      </c>
      <c r="L188" s="19">
        <f t="shared" si="29"/>
        <v>0</v>
      </c>
      <c r="M188" s="19">
        <f t="shared" si="30"/>
        <v>0</v>
      </c>
      <c r="N188" s="19">
        <f t="shared" si="26"/>
        <v>0</v>
      </c>
      <c r="O188" s="19">
        <f t="shared" si="27"/>
        <v>0</v>
      </c>
    </row>
    <row r="189" spans="2:15" x14ac:dyDescent="0.2">
      <c r="B189" s="61" t="str">
        <f t="shared" si="28"/>
        <v/>
      </c>
      <c r="C189" s="10">
        <v>181</v>
      </c>
      <c r="D189" s="39">
        <f>'PAREDE-TETO'!D190</f>
        <v>0</v>
      </c>
      <c r="E189" s="41"/>
      <c r="F189" s="41"/>
      <c r="G189" s="41"/>
      <c r="H189" s="42">
        <f t="shared" si="31"/>
        <v>0</v>
      </c>
      <c r="I189" s="42">
        <f t="shared" si="32"/>
        <v>0</v>
      </c>
      <c r="J189" s="62" t="str">
        <f t="shared" si="25"/>
        <v>0</v>
      </c>
      <c r="K189" s="34">
        <f>'PAREDE-TETO'!M190</f>
        <v>0</v>
      </c>
      <c r="L189" s="19">
        <f t="shared" si="29"/>
        <v>0</v>
      </c>
      <c r="M189" s="19">
        <f t="shared" si="30"/>
        <v>0</v>
      </c>
      <c r="N189" s="19">
        <f t="shared" si="26"/>
        <v>0</v>
      </c>
      <c r="O189" s="19">
        <f t="shared" si="27"/>
        <v>0</v>
      </c>
    </row>
    <row r="190" spans="2:15" x14ac:dyDescent="0.2">
      <c r="B190" s="61" t="str">
        <f t="shared" si="28"/>
        <v/>
      </c>
      <c r="C190" s="10">
        <v>182</v>
      </c>
      <c r="D190" s="39">
        <f>'PAREDE-TETO'!D191</f>
        <v>0</v>
      </c>
      <c r="E190" s="41"/>
      <c r="F190" s="41"/>
      <c r="G190" s="41"/>
      <c r="H190" s="42">
        <f t="shared" si="31"/>
        <v>0</v>
      </c>
      <c r="I190" s="42">
        <f t="shared" si="32"/>
        <v>0</v>
      </c>
      <c r="J190" s="62" t="str">
        <f t="shared" si="25"/>
        <v>0</v>
      </c>
      <c r="K190" s="34">
        <f>'PAREDE-TETO'!M191</f>
        <v>0</v>
      </c>
      <c r="L190" s="19">
        <f t="shared" si="29"/>
        <v>0</v>
      </c>
      <c r="M190" s="19">
        <f t="shared" si="30"/>
        <v>0</v>
      </c>
      <c r="N190" s="19">
        <f t="shared" si="26"/>
        <v>0</v>
      </c>
      <c r="O190" s="19">
        <f t="shared" si="27"/>
        <v>0</v>
      </c>
    </row>
    <row r="191" spans="2:15" x14ac:dyDescent="0.2">
      <c r="B191" s="61" t="str">
        <f t="shared" si="28"/>
        <v/>
      </c>
      <c r="C191" s="10">
        <v>183</v>
      </c>
      <c r="D191" s="39">
        <f>'PAREDE-TETO'!D192</f>
        <v>0</v>
      </c>
      <c r="E191" s="41"/>
      <c r="F191" s="41"/>
      <c r="G191" s="41"/>
      <c r="H191" s="42">
        <f t="shared" si="31"/>
        <v>0</v>
      </c>
      <c r="I191" s="42">
        <f t="shared" si="32"/>
        <v>0</v>
      </c>
      <c r="J191" s="62" t="str">
        <f t="shared" si="25"/>
        <v>0</v>
      </c>
      <c r="K191" s="34">
        <f>'PAREDE-TETO'!M192</f>
        <v>0</v>
      </c>
      <c r="L191" s="19">
        <f t="shared" si="29"/>
        <v>0</v>
      </c>
      <c r="M191" s="19">
        <f t="shared" si="30"/>
        <v>0</v>
      </c>
      <c r="N191" s="19">
        <f t="shared" si="26"/>
        <v>0</v>
      </c>
      <c r="O191" s="19">
        <f t="shared" si="27"/>
        <v>0</v>
      </c>
    </row>
    <row r="192" spans="2:15" x14ac:dyDescent="0.2">
      <c r="B192" s="61" t="str">
        <f t="shared" si="28"/>
        <v/>
      </c>
      <c r="C192" s="10">
        <v>184</v>
      </c>
      <c r="D192" s="39">
        <f>'PAREDE-TETO'!D193</f>
        <v>0</v>
      </c>
      <c r="E192" s="41"/>
      <c r="F192" s="41"/>
      <c r="G192" s="41"/>
      <c r="H192" s="42">
        <f t="shared" si="31"/>
        <v>0</v>
      </c>
      <c r="I192" s="42">
        <f t="shared" si="32"/>
        <v>0</v>
      </c>
      <c r="J192" s="62" t="str">
        <f t="shared" si="25"/>
        <v>0</v>
      </c>
      <c r="K192" s="34">
        <f>'PAREDE-TETO'!M193</f>
        <v>0</v>
      </c>
      <c r="L192" s="19">
        <f t="shared" si="29"/>
        <v>0</v>
      </c>
      <c r="M192" s="19">
        <f t="shared" si="30"/>
        <v>0</v>
      </c>
      <c r="N192" s="19">
        <f t="shared" si="26"/>
        <v>0</v>
      </c>
      <c r="O192" s="19">
        <f t="shared" si="27"/>
        <v>0</v>
      </c>
    </row>
    <row r="193" spans="2:15" x14ac:dyDescent="0.2">
      <c r="B193" s="61" t="str">
        <f t="shared" si="28"/>
        <v/>
      </c>
      <c r="C193" s="10">
        <v>185</v>
      </c>
      <c r="D193" s="39">
        <f>'PAREDE-TETO'!D194</f>
        <v>0</v>
      </c>
      <c r="E193" s="41"/>
      <c r="F193" s="41"/>
      <c r="G193" s="41"/>
      <c r="H193" s="42">
        <f t="shared" si="31"/>
        <v>0</v>
      </c>
      <c r="I193" s="42">
        <f t="shared" si="32"/>
        <v>0</v>
      </c>
      <c r="J193" s="62" t="str">
        <f t="shared" si="25"/>
        <v>0</v>
      </c>
      <c r="K193" s="34">
        <f>'PAREDE-TETO'!M194</f>
        <v>0</v>
      </c>
      <c r="L193" s="19">
        <f t="shared" si="29"/>
        <v>0</v>
      </c>
      <c r="M193" s="19">
        <f t="shared" si="30"/>
        <v>0</v>
      </c>
      <c r="N193" s="19">
        <f t="shared" si="26"/>
        <v>0</v>
      </c>
      <c r="O193" s="19">
        <f t="shared" si="27"/>
        <v>0</v>
      </c>
    </row>
    <row r="194" spans="2:15" x14ac:dyDescent="0.2">
      <c r="B194" s="61" t="str">
        <f t="shared" si="28"/>
        <v/>
      </c>
      <c r="C194" s="10">
        <v>186</v>
      </c>
      <c r="D194" s="39">
        <f>'PAREDE-TETO'!D195</f>
        <v>0</v>
      </c>
      <c r="E194" s="41"/>
      <c r="F194" s="41"/>
      <c r="G194" s="41"/>
      <c r="H194" s="42">
        <f t="shared" si="31"/>
        <v>0</v>
      </c>
      <c r="I194" s="42">
        <f t="shared" si="32"/>
        <v>0</v>
      </c>
      <c r="J194" s="62" t="str">
        <f t="shared" si="25"/>
        <v>0</v>
      </c>
      <c r="K194" s="34">
        <f>'PAREDE-TETO'!M195</f>
        <v>0</v>
      </c>
      <c r="L194" s="19">
        <f t="shared" si="29"/>
        <v>0</v>
      </c>
      <c r="M194" s="19">
        <f t="shared" si="30"/>
        <v>0</v>
      </c>
      <c r="N194" s="19">
        <f t="shared" si="26"/>
        <v>0</v>
      </c>
      <c r="O194" s="19">
        <f t="shared" si="27"/>
        <v>0</v>
      </c>
    </row>
    <row r="195" spans="2:15" x14ac:dyDescent="0.2">
      <c r="B195" s="61" t="str">
        <f t="shared" si="28"/>
        <v/>
      </c>
      <c r="C195" s="10">
        <v>187</v>
      </c>
      <c r="D195" s="39">
        <f>'PAREDE-TETO'!D196</f>
        <v>0</v>
      </c>
      <c r="E195" s="41"/>
      <c r="F195" s="41"/>
      <c r="G195" s="41"/>
      <c r="H195" s="42">
        <f t="shared" si="31"/>
        <v>0</v>
      </c>
      <c r="I195" s="42">
        <f t="shared" si="32"/>
        <v>0</v>
      </c>
      <c r="J195" s="62" t="str">
        <f t="shared" si="25"/>
        <v>0</v>
      </c>
      <c r="K195" s="34">
        <f>'PAREDE-TETO'!M196</f>
        <v>0</v>
      </c>
      <c r="L195" s="19">
        <f t="shared" si="29"/>
        <v>0</v>
      </c>
      <c r="M195" s="19">
        <f t="shared" si="30"/>
        <v>0</v>
      </c>
      <c r="N195" s="19">
        <f t="shared" si="26"/>
        <v>0</v>
      </c>
      <c r="O195" s="19">
        <f t="shared" si="27"/>
        <v>0</v>
      </c>
    </row>
    <row r="196" spans="2:15" x14ac:dyDescent="0.2">
      <c r="B196" s="61" t="str">
        <f t="shared" si="28"/>
        <v/>
      </c>
      <c r="C196" s="10">
        <v>188</v>
      </c>
      <c r="D196" s="39">
        <f>'PAREDE-TETO'!D197</f>
        <v>0</v>
      </c>
      <c r="E196" s="41"/>
      <c r="F196" s="41"/>
      <c r="G196" s="41"/>
      <c r="H196" s="42">
        <f t="shared" si="31"/>
        <v>0</v>
      </c>
      <c r="I196" s="42">
        <f t="shared" si="32"/>
        <v>0</v>
      </c>
      <c r="J196" s="62" t="str">
        <f t="shared" si="25"/>
        <v>0</v>
      </c>
      <c r="K196" s="34">
        <f>'PAREDE-TETO'!M197</f>
        <v>0</v>
      </c>
      <c r="L196" s="19">
        <f t="shared" si="29"/>
        <v>0</v>
      </c>
      <c r="M196" s="19">
        <f t="shared" si="30"/>
        <v>0</v>
      </c>
      <c r="N196" s="19">
        <f t="shared" si="26"/>
        <v>0</v>
      </c>
      <c r="O196" s="19">
        <f t="shared" si="27"/>
        <v>0</v>
      </c>
    </row>
    <row r="197" spans="2:15" x14ac:dyDescent="0.2">
      <c r="B197" s="61" t="str">
        <f t="shared" si="28"/>
        <v/>
      </c>
      <c r="C197" s="10">
        <v>189</v>
      </c>
      <c r="D197" s="39">
        <f>'PAREDE-TETO'!D198</f>
        <v>0</v>
      </c>
      <c r="E197" s="41"/>
      <c r="F197" s="41"/>
      <c r="G197" s="41"/>
      <c r="H197" s="42">
        <f t="shared" si="31"/>
        <v>0</v>
      </c>
      <c r="I197" s="42">
        <f t="shared" si="32"/>
        <v>0</v>
      </c>
      <c r="J197" s="62" t="str">
        <f t="shared" si="25"/>
        <v>0</v>
      </c>
      <c r="K197" s="34">
        <f>'PAREDE-TETO'!M198</f>
        <v>0</v>
      </c>
      <c r="L197" s="19">
        <f t="shared" si="29"/>
        <v>0</v>
      </c>
      <c r="M197" s="19">
        <f t="shared" si="30"/>
        <v>0</v>
      </c>
      <c r="N197" s="19">
        <f t="shared" si="26"/>
        <v>0</v>
      </c>
      <c r="O197" s="19">
        <f t="shared" si="27"/>
        <v>0</v>
      </c>
    </row>
    <row r="198" spans="2:15" x14ac:dyDescent="0.2">
      <c r="B198" s="61" t="str">
        <f t="shared" si="28"/>
        <v/>
      </c>
      <c r="C198" s="10">
        <v>190</v>
      </c>
      <c r="D198" s="39">
        <f>'PAREDE-TETO'!D199</f>
        <v>0</v>
      </c>
      <c r="E198" s="41"/>
      <c r="F198" s="41"/>
      <c r="G198" s="41"/>
      <c r="H198" s="42">
        <f t="shared" si="31"/>
        <v>0</v>
      </c>
      <c r="I198" s="42">
        <f t="shared" si="32"/>
        <v>0</v>
      </c>
      <c r="J198" s="62" t="str">
        <f t="shared" si="25"/>
        <v>0</v>
      </c>
      <c r="K198" s="34">
        <f>'PAREDE-TETO'!M199</f>
        <v>0</v>
      </c>
      <c r="L198" s="19">
        <f t="shared" si="29"/>
        <v>0</v>
      </c>
      <c r="M198" s="19">
        <f t="shared" si="30"/>
        <v>0</v>
      </c>
      <c r="N198" s="19">
        <f t="shared" si="26"/>
        <v>0</v>
      </c>
      <c r="O198" s="19">
        <f t="shared" si="27"/>
        <v>0</v>
      </c>
    </row>
    <row r="199" spans="2:15" x14ac:dyDescent="0.2">
      <c r="B199" s="61" t="str">
        <f t="shared" si="28"/>
        <v/>
      </c>
      <c r="C199" s="10">
        <v>191</v>
      </c>
      <c r="D199" s="39">
        <f>'PAREDE-TETO'!D200</f>
        <v>0</v>
      </c>
      <c r="E199" s="41"/>
      <c r="F199" s="41"/>
      <c r="G199" s="41"/>
      <c r="H199" s="42">
        <f t="shared" si="31"/>
        <v>0</v>
      </c>
      <c r="I199" s="42">
        <f t="shared" si="32"/>
        <v>0</v>
      </c>
      <c r="J199" s="62" t="str">
        <f t="shared" si="25"/>
        <v>0</v>
      </c>
      <c r="K199" s="34">
        <f>'PAREDE-TETO'!M200</f>
        <v>0</v>
      </c>
      <c r="L199" s="19">
        <f t="shared" si="29"/>
        <v>0</v>
      </c>
      <c r="M199" s="19">
        <f t="shared" si="30"/>
        <v>0</v>
      </c>
      <c r="N199" s="19">
        <f t="shared" si="26"/>
        <v>0</v>
      </c>
      <c r="O199" s="19">
        <f t="shared" si="27"/>
        <v>0</v>
      </c>
    </row>
    <row r="200" spans="2:15" x14ac:dyDescent="0.2">
      <c r="B200" s="61" t="str">
        <f t="shared" si="28"/>
        <v/>
      </c>
      <c r="C200" s="10">
        <v>192</v>
      </c>
      <c r="D200" s="39">
        <f>'PAREDE-TETO'!D201</f>
        <v>0</v>
      </c>
      <c r="E200" s="41"/>
      <c r="F200" s="41"/>
      <c r="G200" s="41"/>
      <c r="H200" s="42">
        <f t="shared" si="31"/>
        <v>0</v>
      </c>
      <c r="I200" s="42">
        <f t="shared" si="32"/>
        <v>0</v>
      </c>
      <c r="J200" s="62" t="str">
        <f t="shared" si="25"/>
        <v>0</v>
      </c>
      <c r="K200" s="34">
        <f>'PAREDE-TETO'!M201</f>
        <v>0</v>
      </c>
      <c r="L200" s="19">
        <f t="shared" si="29"/>
        <v>0</v>
      </c>
      <c r="M200" s="19">
        <f t="shared" si="30"/>
        <v>0</v>
      </c>
      <c r="N200" s="19">
        <f t="shared" si="26"/>
        <v>0</v>
      </c>
      <c r="O200" s="19">
        <f t="shared" si="27"/>
        <v>0</v>
      </c>
    </row>
    <row r="201" spans="2:15" x14ac:dyDescent="0.2">
      <c r="B201" s="61" t="str">
        <f t="shared" si="28"/>
        <v/>
      </c>
      <c r="C201" s="10">
        <v>193</v>
      </c>
      <c r="D201" s="39">
        <f>'PAREDE-TETO'!D202</f>
        <v>0</v>
      </c>
      <c r="E201" s="41"/>
      <c r="F201" s="41"/>
      <c r="G201" s="41"/>
      <c r="H201" s="42">
        <f t="shared" si="31"/>
        <v>0</v>
      </c>
      <c r="I201" s="42">
        <f t="shared" si="32"/>
        <v>0</v>
      </c>
      <c r="J201" s="62" t="str">
        <f t="shared" si="25"/>
        <v>0</v>
      </c>
      <c r="K201" s="34">
        <f>'PAREDE-TETO'!M202</f>
        <v>0</v>
      </c>
      <c r="L201" s="19">
        <f t="shared" ref="L201:L208" si="33">H201/100*$R$7*(1+$R$6)</f>
        <v>0</v>
      </c>
      <c r="M201" s="19">
        <f t="shared" ref="M201:M208" si="34">I201/100*$R$7*(1+$R$6)</f>
        <v>0</v>
      </c>
      <c r="N201" s="19">
        <f t="shared" si="26"/>
        <v>0</v>
      </c>
      <c r="O201" s="19">
        <f t="shared" si="27"/>
        <v>0</v>
      </c>
    </row>
    <row r="202" spans="2:15" x14ac:dyDescent="0.2">
      <c r="B202" s="61" t="str">
        <f t="shared" si="28"/>
        <v/>
      </c>
      <c r="C202" s="10">
        <v>194</v>
      </c>
      <c r="D202" s="39">
        <f>'PAREDE-TETO'!D203</f>
        <v>0</v>
      </c>
      <c r="E202" s="41"/>
      <c r="F202" s="41"/>
      <c r="G202" s="41"/>
      <c r="H202" s="42">
        <f t="shared" si="31"/>
        <v>0</v>
      </c>
      <c r="I202" s="42">
        <f t="shared" si="32"/>
        <v>0</v>
      </c>
      <c r="J202" s="62" t="str">
        <f t="shared" ref="J202:J208" si="35">IF(SUM(F202:G202)&gt;0,IF(F202&lt;&gt;0,"CHAPA XADREZ "&amp;VALUE(H202)&amp;" cm",IF(G202&lt;&gt;0,"CHAPA LISA "&amp;VALUE(I202)&amp;" cm")),IF(D202&lt;&gt;0,"","0"))</f>
        <v>0</v>
      </c>
      <c r="K202" s="34">
        <f>'PAREDE-TETO'!M203</f>
        <v>0</v>
      </c>
      <c r="L202" s="19">
        <f t="shared" si="33"/>
        <v>0</v>
      </c>
      <c r="M202" s="19">
        <f t="shared" si="34"/>
        <v>0</v>
      </c>
      <c r="N202" s="19">
        <f t="shared" ref="N202:N208" si="36">ROUNDUP(L202/2.5,0)</f>
        <v>0</v>
      </c>
      <c r="O202" s="19">
        <f t="shared" ref="O202:O208" si="37">ROUNDUP(M202/2.5,0)</f>
        <v>0</v>
      </c>
    </row>
    <row r="203" spans="2:15" x14ac:dyDescent="0.2">
      <c r="B203" s="61" t="str">
        <f t="shared" ref="B203:B208" si="38">IF(D203&lt;&gt;0,1,"")</f>
        <v/>
      </c>
      <c r="C203" s="10">
        <v>195</v>
      </c>
      <c r="D203" s="39">
        <f>'PAREDE-TETO'!D204</f>
        <v>0</v>
      </c>
      <c r="E203" s="41"/>
      <c r="F203" s="41"/>
      <c r="G203" s="41"/>
      <c r="H203" s="42">
        <f t="shared" si="31"/>
        <v>0</v>
      </c>
      <c r="I203" s="42">
        <f t="shared" si="32"/>
        <v>0</v>
      </c>
      <c r="J203" s="62" t="str">
        <f t="shared" si="35"/>
        <v>0</v>
      </c>
      <c r="K203" s="34">
        <f>'PAREDE-TETO'!M204</f>
        <v>0</v>
      </c>
      <c r="L203" s="19">
        <f t="shared" si="33"/>
        <v>0</v>
      </c>
      <c r="M203" s="19">
        <f t="shared" si="34"/>
        <v>0</v>
      </c>
      <c r="N203" s="19">
        <f t="shared" si="36"/>
        <v>0</v>
      </c>
      <c r="O203" s="19">
        <f t="shared" si="37"/>
        <v>0</v>
      </c>
    </row>
    <row r="204" spans="2:15" x14ac:dyDescent="0.2">
      <c r="B204" s="61" t="str">
        <f t="shared" si="38"/>
        <v/>
      </c>
      <c r="C204" s="10">
        <v>196</v>
      </c>
      <c r="D204" s="39">
        <f>'PAREDE-TETO'!D205</f>
        <v>0</v>
      </c>
      <c r="E204" s="41"/>
      <c r="F204" s="41"/>
      <c r="G204" s="41"/>
      <c r="H204" s="42">
        <f t="shared" si="31"/>
        <v>0</v>
      </c>
      <c r="I204" s="42">
        <f t="shared" si="32"/>
        <v>0</v>
      </c>
      <c r="J204" s="62" t="str">
        <f t="shared" si="35"/>
        <v>0</v>
      </c>
      <c r="K204" s="34">
        <f>'PAREDE-TETO'!M205</f>
        <v>0</v>
      </c>
      <c r="L204" s="19">
        <f t="shared" si="33"/>
        <v>0</v>
      </c>
      <c r="M204" s="19">
        <f t="shared" si="34"/>
        <v>0</v>
      </c>
      <c r="N204" s="19">
        <f t="shared" si="36"/>
        <v>0</v>
      </c>
      <c r="O204" s="19">
        <f t="shared" si="37"/>
        <v>0</v>
      </c>
    </row>
    <row r="205" spans="2:15" x14ac:dyDescent="0.2">
      <c r="B205" s="61" t="str">
        <f t="shared" si="38"/>
        <v/>
      </c>
      <c r="C205" s="10">
        <v>197</v>
      </c>
      <c r="D205" s="39">
        <f>'PAREDE-TETO'!D206</f>
        <v>0</v>
      </c>
      <c r="E205" s="41"/>
      <c r="F205" s="41"/>
      <c r="G205" s="41"/>
      <c r="H205" s="42">
        <f t="shared" si="31"/>
        <v>0</v>
      </c>
      <c r="I205" s="42">
        <f t="shared" si="32"/>
        <v>0</v>
      </c>
      <c r="J205" s="62" t="str">
        <f t="shared" si="35"/>
        <v>0</v>
      </c>
      <c r="K205" s="34">
        <f>'PAREDE-TETO'!M206</f>
        <v>0</v>
      </c>
      <c r="L205" s="19">
        <f t="shared" si="33"/>
        <v>0</v>
      </c>
      <c r="M205" s="19">
        <f t="shared" si="34"/>
        <v>0</v>
      </c>
      <c r="N205" s="19">
        <f t="shared" si="36"/>
        <v>0</v>
      </c>
      <c r="O205" s="19">
        <f t="shared" si="37"/>
        <v>0</v>
      </c>
    </row>
    <row r="206" spans="2:15" x14ac:dyDescent="0.2">
      <c r="B206" s="61" t="str">
        <f t="shared" si="38"/>
        <v/>
      </c>
      <c r="C206" s="10">
        <v>198</v>
      </c>
      <c r="D206" s="39">
        <f>'PAREDE-TETO'!D207</f>
        <v>0</v>
      </c>
      <c r="E206" s="41"/>
      <c r="F206" s="41"/>
      <c r="G206" s="41"/>
      <c r="H206" s="42">
        <f t="shared" si="31"/>
        <v>0</v>
      </c>
      <c r="I206" s="42">
        <f t="shared" si="32"/>
        <v>0</v>
      </c>
      <c r="J206" s="62" t="str">
        <f t="shared" si="35"/>
        <v>0</v>
      </c>
      <c r="K206" s="34">
        <f>'PAREDE-TETO'!M207</f>
        <v>0</v>
      </c>
      <c r="L206" s="19">
        <f t="shared" si="33"/>
        <v>0</v>
      </c>
      <c r="M206" s="19">
        <f t="shared" si="34"/>
        <v>0</v>
      </c>
      <c r="N206" s="19">
        <f t="shared" si="36"/>
        <v>0</v>
      </c>
      <c r="O206" s="19">
        <f t="shared" si="37"/>
        <v>0</v>
      </c>
    </row>
    <row r="207" spans="2:15" x14ac:dyDescent="0.2">
      <c r="B207" s="61" t="str">
        <f t="shared" si="38"/>
        <v/>
      </c>
      <c r="C207" s="10">
        <v>199</v>
      </c>
      <c r="D207" s="39">
        <f>'PAREDE-TETO'!D208</f>
        <v>0</v>
      </c>
      <c r="E207" s="41"/>
      <c r="F207" s="41"/>
      <c r="G207" s="41"/>
      <c r="H207" s="42">
        <f t="shared" si="31"/>
        <v>0</v>
      </c>
      <c r="I207" s="42">
        <f t="shared" si="32"/>
        <v>0</v>
      </c>
      <c r="J207" s="62" t="str">
        <f t="shared" si="35"/>
        <v>0</v>
      </c>
      <c r="K207" s="34">
        <f>'PAREDE-TETO'!M208</f>
        <v>0</v>
      </c>
      <c r="L207" s="19">
        <f t="shared" si="33"/>
        <v>0</v>
      </c>
      <c r="M207" s="19">
        <f t="shared" si="34"/>
        <v>0</v>
      </c>
      <c r="N207" s="19">
        <f t="shared" si="36"/>
        <v>0</v>
      </c>
      <c r="O207" s="19">
        <f t="shared" si="37"/>
        <v>0</v>
      </c>
    </row>
    <row r="208" spans="2:15" ht="13.5" thickBot="1" x14ac:dyDescent="0.25">
      <c r="B208" s="63" t="str">
        <f t="shared" si="38"/>
        <v/>
      </c>
      <c r="C208" s="37">
        <v>200</v>
      </c>
      <c r="D208" s="39">
        <f>'PAREDE-TETO'!D209</f>
        <v>0</v>
      </c>
      <c r="E208" s="43"/>
      <c r="F208" s="43"/>
      <c r="G208" s="43"/>
      <c r="H208" s="44">
        <f t="shared" si="31"/>
        <v>0</v>
      </c>
      <c r="I208" s="44">
        <f t="shared" si="32"/>
        <v>0</v>
      </c>
      <c r="J208" s="62" t="str">
        <f t="shared" si="35"/>
        <v>0</v>
      </c>
      <c r="K208" s="45">
        <f>'PAREDE-TETO'!M209</f>
        <v>0</v>
      </c>
      <c r="L208" s="19">
        <f t="shared" si="33"/>
        <v>0</v>
      </c>
      <c r="M208" s="19">
        <f t="shared" si="34"/>
        <v>0</v>
      </c>
      <c r="N208" s="19">
        <f t="shared" si="36"/>
        <v>0</v>
      </c>
      <c r="O208" s="19">
        <f t="shared" si="37"/>
        <v>0</v>
      </c>
    </row>
    <row r="209" spans="1:15" x14ac:dyDescent="0.2">
      <c r="B209" s="64"/>
      <c r="C209" s="46"/>
      <c r="D209" s="46"/>
      <c r="E209" s="46"/>
      <c r="F209" s="46"/>
      <c r="G209" s="46"/>
      <c r="H209" s="46"/>
      <c r="I209" s="46"/>
      <c r="J209" s="46"/>
      <c r="K209" s="46"/>
    </row>
    <row r="210" spans="1:15" ht="13.5" thickBot="1" x14ac:dyDescent="0.25">
      <c r="C210" s="14"/>
      <c r="D210" s="14"/>
      <c r="E210" s="14"/>
      <c r="F210" s="14"/>
      <c r="G210" s="14"/>
      <c r="H210" s="14"/>
      <c r="I210" s="14"/>
      <c r="J210" s="14"/>
      <c r="K210" s="14"/>
    </row>
    <row r="211" spans="1:15" ht="24" customHeight="1" x14ac:dyDescent="0.2">
      <c r="D211" s="296" t="str">
        <f>IF(SUM($F$9:$G$208)&gt;0,"RESULTADOS","NÃO HÁ PROTEÇÕES CONTABILIZADAS")</f>
        <v>NÃO HÁ PROTEÇÕES CONTABILIZADAS</v>
      </c>
      <c r="E211" s="297"/>
      <c r="F211" s="14"/>
    </row>
    <row r="212" spans="1:15" x14ac:dyDescent="0.2">
      <c r="D212" s="8" t="s">
        <v>224</v>
      </c>
      <c r="E212" s="233">
        <f>(SUM(N9:N208))*2.5</f>
        <v>0</v>
      </c>
      <c r="F212" s="14"/>
    </row>
    <row r="213" spans="1:15" s="21" customFormat="1" ht="13.5" thickBot="1" x14ac:dyDescent="0.25">
      <c r="A213" s="14"/>
      <c r="B213" s="19"/>
      <c r="C213" s="19"/>
      <c r="D213" s="9" t="s">
        <v>228</v>
      </c>
      <c r="E213" s="233">
        <f>(SUM(O9:O208))*2.5</f>
        <v>0</v>
      </c>
      <c r="F213" s="14"/>
      <c r="K213" s="19"/>
      <c r="L213" s="19"/>
      <c r="M213" s="19"/>
      <c r="N213" s="19"/>
      <c r="O213" s="19"/>
    </row>
    <row r="214" spans="1:15" s="21" customFormat="1" ht="12.75" customHeight="1" x14ac:dyDescent="0.2">
      <c r="A214" s="14"/>
      <c r="B214" s="19"/>
      <c r="C214" s="65"/>
      <c r="D214" s="19"/>
      <c r="E214" s="19"/>
      <c r="F214" s="14"/>
      <c r="G214" s="19"/>
      <c r="H214" s="19"/>
      <c r="I214" s="19"/>
      <c r="K214" s="19"/>
      <c r="L214" s="19"/>
      <c r="M214" s="19"/>
      <c r="N214" s="19"/>
      <c r="O214" s="19"/>
    </row>
  </sheetData>
  <autoFilter ref="B6:B208" xr:uid="{00000000-0009-0000-0000-000001000000}"/>
  <mergeCells count="15">
    <mergeCell ref="D2:F2"/>
    <mergeCell ref="D3:F3"/>
    <mergeCell ref="D4:F4"/>
    <mergeCell ref="C7:C8"/>
    <mergeCell ref="D7:D8"/>
    <mergeCell ref="E7:E8"/>
    <mergeCell ref="P6:Q6"/>
    <mergeCell ref="P7:Q7"/>
    <mergeCell ref="D211:E211"/>
    <mergeCell ref="J7:J8"/>
    <mergeCell ref="I7:I8"/>
    <mergeCell ref="H7:H8"/>
    <mergeCell ref="K7:K8"/>
    <mergeCell ref="F7:G7"/>
    <mergeCell ref="C6:K6"/>
  </mergeCells>
  <pageMargins left="0.78740157499999996" right="0.78740157499999996" top="0.984251969" bottom="0.984251969" header="0.49212598499999999" footer="0.49212598499999999"/>
  <pageSetup scale="9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5" r:id="rId4" name="Button 9">
              <controlPr defaultSize="0" print="0" autoFill="0" autoPict="0" macro="[0]!Filtrar_Linhas">
                <anchor moveWithCells="1" sizeWithCells="1">
                  <from>
                    <xdr:col>9</xdr:col>
                    <xdr:colOff>161925</xdr:colOff>
                    <xdr:row>1</xdr:row>
                    <xdr:rowOff>161925</xdr:rowOff>
                  </from>
                  <to>
                    <xdr:col>9</xdr:col>
                    <xdr:colOff>1314450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>
    <pageSetUpPr fitToPage="1"/>
  </sheetPr>
  <dimension ref="A2:S404"/>
  <sheetViews>
    <sheetView showGridLines="0" tabSelected="1" zoomScale="80" zoomScaleNormal="8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2.42578125" style="14" customWidth="1"/>
    <col min="2" max="2" width="10.85546875" style="55" hidden="1" customWidth="1"/>
    <col min="3" max="3" width="10.7109375" style="55" bestFit="1" customWidth="1"/>
    <col min="4" max="6" width="13.5703125" style="55" customWidth="1"/>
    <col min="7" max="7" width="19" style="55" customWidth="1"/>
    <col min="8" max="8" width="10.7109375" style="67" bestFit="1" customWidth="1"/>
    <col min="9" max="9" width="24.140625" style="55" bestFit="1" customWidth="1"/>
    <col min="10" max="10" width="11" style="55" bestFit="1" customWidth="1"/>
    <col min="11" max="11" width="17.28515625" style="55" bestFit="1" customWidth="1"/>
    <col min="12" max="12" width="27.5703125" style="38" customWidth="1"/>
    <col min="13" max="13" width="22.85546875" style="55" customWidth="1"/>
    <col min="14" max="14" width="10" style="55" bestFit="1" customWidth="1"/>
    <col min="15" max="15" width="13.28515625" style="55" customWidth="1"/>
    <col min="16" max="16" width="12.7109375" style="55" customWidth="1"/>
    <col min="17" max="16384" width="9.140625" style="55"/>
  </cols>
  <sheetData>
    <row r="2" spans="1:16" x14ac:dyDescent="0.2">
      <c r="A2" s="55"/>
      <c r="C2" s="56" t="s">
        <v>217</v>
      </c>
      <c r="D2" s="319"/>
      <c r="E2" s="312"/>
      <c r="F2" s="312"/>
      <c r="G2" s="312"/>
      <c r="H2" s="56" t="s">
        <v>198</v>
      </c>
      <c r="I2" s="251"/>
      <c r="L2" s="54" t="s">
        <v>14</v>
      </c>
    </row>
    <row r="3" spans="1:16" x14ac:dyDescent="0.2">
      <c r="A3" s="55"/>
      <c r="C3" s="56" t="s">
        <v>216</v>
      </c>
      <c r="D3" s="319"/>
      <c r="E3" s="312"/>
      <c r="F3" s="312"/>
      <c r="G3" s="312"/>
      <c r="H3" s="56" t="s">
        <v>215</v>
      </c>
      <c r="I3" s="250"/>
      <c r="L3" s="337" t="str">
        <f>IF(SUM(J10:J209)+SUM(J217:J316)=F404,"OK","ERRO NA CONFIGURAÇÃO DO PAINEL")</f>
        <v>OK</v>
      </c>
    </row>
    <row r="4" spans="1:16" x14ac:dyDescent="0.2">
      <c r="A4" s="55"/>
      <c r="C4" s="56" t="s">
        <v>214</v>
      </c>
      <c r="D4" s="319"/>
      <c r="E4" s="312"/>
      <c r="F4" s="312"/>
      <c r="G4" s="312"/>
      <c r="L4" s="337"/>
    </row>
    <row r="5" spans="1:16" s="38" customFormat="1" ht="13.5" thickBot="1" x14ac:dyDescent="0.25">
      <c r="A5" s="14"/>
      <c r="B5" s="55"/>
      <c r="C5" s="14"/>
      <c r="D5" s="14"/>
      <c r="E5" s="14"/>
      <c r="F5" s="14"/>
      <c r="G5" s="14"/>
      <c r="H5" s="14"/>
      <c r="I5" s="14"/>
      <c r="J5" s="14"/>
      <c r="K5" s="14"/>
      <c r="L5" s="14"/>
      <c r="M5" s="55"/>
      <c r="N5" s="55"/>
      <c r="O5" s="55"/>
    </row>
    <row r="6" spans="1:16" s="38" customFormat="1" ht="13.5" thickBot="1" x14ac:dyDescent="0.25">
      <c r="A6" s="14"/>
      <c r="B6" s="31" t="s">
        <v>323</v>
      </c>
      <c r="C6" s="328" t="s">
        <v>0</v>
      </c>
      <c r="D6" s="329"/>
      <c r="E6" s="329"/>
      <c r="F6" s="329"/>
      <c r="G6" s="329"/>
      <c r="H6" s="329"/>
      <c r="I6" s="329"/>
      <c r="J6" s="329"/>
      <c r="K6" s="329"/>
      <c r="L6" s="329"/>
      <c r="M6" s="329"/>
      <c r="N6" s="329"/>
      <c r="O6" s="329"/>
      <c r="P6" s="330"/>
    </row>
    <row r="7" spans="1:16" x14ac:dyDescent="0.2">
      <c r="B7" s="58">
        <v>1</v>
      </c>
      <c r="C7" s="303" t="s">
        <v>1</v>
      </c>
      <c r="D7" s="348" t="s">
        <v>2</v>
      </c>
      <c r="E7" s="333" t="s">
        <v>3</v>
      </c>
      <c r="F7" s="333" t="s">
        <v>4</v>
      </c>
      <c r="G7" s="25" t="s">
        <v>5</v>
      </c>
      <c r="H7" s="25" t="s">
        <v>6</v>
      </c>
      <c r="I7" s="25" t="s">
        <v>7</v>
      </c>
      <c r="J7" s="338" t="s">
        <v>8</v>
      </c>
      <c r="K7" s="346" t="s">
        <v>9</v>
      </c>
      <c r="L7" s="340" t="s">
        <v>10</v>
      </c>
      <c r="M7" s="302" t="s">
        <v>409</v>
      </c>
      <c r="N7" s="342" t="s">
        <v>210</v>
      </c>
      <c r="O7" s="338" t="s">
        <v>410</v>
      </c>
      <c r="P7" s="344" t="s">
        <v>411</v>
      </c>
    </row>
    <row r="8" spans="1:16" ht="12.75" customHeight="1" x14ac:dyDescent="0.2">
      <c r="B8" s="61">
        <v>1</v>
      </c>
      <c r="C8" s="303"/>
      <c r="D8" s="335"/>
      <c r="E8" s="323"/>
      <c r="F8" s="323"/>
      <c r="G8" s="42" t="s">
        <v>324</v>
      </c>
      <c r="H8" s="42" t="s">
        <v>218</v>
      </c>
      <c r="I8" s="42" t="s">
        <v>219</v>
      </c>
      <c r="J8" s="339"/>
      <c r="K8" s="347"/>
      <c r="L8" s="341"/>
      <c r="M8" s="303"/>
      <c r="N8" s="343"/>
      <c r="O8" s="339"/>
      <c r="P8" s="345"/>
    </row>
    <row r="9" spans="1:16" x14ac:dyDescent="0.2">
      <c r="B9" s="61">
        <v>1</v>
      </c>
      <c r="C9" s="303"/>
      <c r="D9" s="316"/>
      <c r="E9" s="318"/>
      <c r="F9" s="318"/>
      <c r="G9" s="43" t="s">
        <v>511</v>
      </c>
      <c r="H9" s="274" t="s">
        <v>512</v>
      </c>
      <c r="I9" s="43" t="s">
        <v>512</v>
      </c>
      <c r="J9" s="339"/>
      <c r="K9" s="347"/>
      <c r="L9" s="341"/>
      <c r="M9" s="303"/>
      <c r="N9" s="343"/>
      <c r="O9" s="339"/>
      <c r="P9" s="345"/>
    </row>
    <row r="10" spans="1:16" x14ac:dyDescent="0.2">
      <c r="B10" s="61" t="str">
        <f t="shared" ref="B10:B41" si="0">IF(D10&lt;&gt;"",1,"")</f>
        <v/>
      </c>
      <c r="C10" s="49">
        <v>1</v>
      </c>
      <c r="D10" s="72"/>
      <c r="E10" s="73">
        <f>N10+O10/2+P10</f>
        <v>0</v>
      </c>
      <c r="F10" s="66"/>
      <c r="G10" s="1" t="str">
        <f>IF($D10&lt;&gt;"",IF($G$9&lt;&gt;"",$G$9,"SELECIONAR TIPO"),"")</f>
        <v/>
      </c>
      <c r="H10" s="42" t="str">
        <f t="shared" ref="H10:H48" si="1">IF($D10&lt;&gt;"",$H$9,"")</f>
        <v/>
      </c>
      <c r="I10" s="42" t="str">
        <f t="shared" ref="I10:I41" si="2">IF($D10&lt;&gt;"",$I$9,"")</f>
        <v/>
      </c>
      <c r="J10" s="91" t="str">
        <f>IF(OR(K10="",K10=0),"",(K10*IF(G10="EPS",1.144,IF(G10="PIR",1.12,IF(G10="PUR",1.12,0)))*(E10/100)))</f>
        <v/>
      </c>
      <c r="K10" s="91">
        <f>IF(D10="",0,CEILING(ROUNDUP(IF(G10&lt;&gt;"",D10/IF(G10="EPS",114.4,IF(G10="PIR",112,IF(G10="PUR",112))),""),1),0.5))</f>
        <v>0</v>
      </c>
      <c r="L10" s="275" t="str">
        <f>IF(D10&lt;&gt;"",G10&amp;" "&amp;F10&amp;"mm - ("&amp;IF(H10&lt;&gt;"",H10,"FACE")&amp;" / "&amp;IF(I10&lt;&gt;"",I10,"FACE")&amp;")","")</f>
        <v/>
      </c>
      <c r="M10" s="26"/>
      <c r="N10" s="282"/>
      <c r="O10" s="73">
        <f t="shared" ref="O10:O41" si="3">F10/10</f>
        <v>0</v>
      </c>
      <c r="P10" s="74"/>
    </row>
    <row r="11" spans="1:16" x14ac:dyDescent="0.2">
      <c r="B11" s="61" t="str">
        <f t="shared" si="0"/>
        <v/>
      </c>
      <c r="C11" s="49">
        <v>2</v>
      </c>
      <c r="D11" s="72"/>
      <c r="E11" s="73">
        <f t="shared" ref="E11:E74" si="4">N11+O11/2+P11</f>
        <v>0</v>
      </c>
      <c r="F11" s="66"/>
      <c r="G11" s="1" t="str">
        <f t="shared" ref="G11:G74" si="5">IF($D11&lt;&gt;"",IF($G$9&lt;&gt;"",$G$9,"SELECIONAR TIPO"),"")</f>
        <v/>
      </c>
      <c r="H11" s="25" t="str">
        <f t="shared" si="1"/>
        <v/>
      </c>
      <c r="I11" s="42" t="str">
        <f t="shared" si="2"/>
        <v/>
      </c>
      <c r="J11" s="69" t="str">
        <f t="shared" ref="J11:J74" si="6">IF(OR(K11="",K11=0),"",(K11*IF(G11="EPS",1.144,IF(G11="PIR",1.12,IF(G11="PUR",1.12,0)))*(E11/100)))</f>
        <v/>
      </c>
      <c r="K11" s="69">
        <f t="shared" ref="K11:K74" si="7">IF(D11="",0,CEILING(ROUNDUP(IF(G11&lt;&gt;"",D11/IF(G11="EPS",114.4,IF(G11="PIR",112,IF(G11="PUR",112))),""),1),0.5))</f>
        <v>0</v>
      </c>
      <c r="L11" s="234" t="str">
        <f t="shared" ref="L11:L74" si="8">IF(D11&lt;&gt;"",G11&amp;" "&amp;F11&amp;"mm - ("&amp;IF(H11&lt;&gt;"",H11,"FACE")&amp;" / "&amp;IF(I11&lt;&gt;"",I11,"FACE")&amp;")","")</f>
        <v/>
      </c>
      <c r="M11" s="26"/>
      <c r="N11" s="282"/>
      <c r="O11" s="71">
        <f t="shared" si="3"/>
        <v>0</v>
      </c>
      <c r="P11" s="74"/>
    </row>
    <row r="12" spans="1:16" x14ac:dyDescent="0.2">
      <c r="B12" s="61" t="str">
        <f t="shared" si="0"/>
        <v/>
      </c>
      <c r="C12" s="49">
        <v>3</v>
      </c>
      <c r="D12" s="72"/>
      <c r="E12" s="73">
        <f t="shared" si="4"/>
        <v>0</v>
      </c>
      <c r="F12" s="66"/>
      <c r="G12" s="1" t="str">
        <f t="shared" si="5"/>
        <v/>
      </c>
      <c r="H12" s="25" t="str">
        <f t="shared" si="1"/>
        <v/>
      </c>
      <c r="I12" s="42" t="str">
        <f t="shared" si="2"/>
        <v/>
      </c>
      <c r="J12" s="69" t="str">
        <f t="shared" si="6"/>
        <v/>
      </c>
      <c r="K12" s="69">
        <f t="shared" si="7"/>
        <v>0</v>
      </c>
      <c r="L12" s="234" t="str">
        <f t="shared" si="8"/>
        <v/>
      </c>
      <c r="M12" s="26"/>
      <c r="N12" s="282"/>
      <c r="O12" s="71">
        <f t="shared" si="3"/>
        <v>0</v>
      </c>
      <c r="P12" s="74"/>
    </row>
    <row r="13" spans="1:16" x14ac:dyDescent="0.2">
      <c r="B13" s="61" t="str">
        <f t="shared" si="0"/>
        <v/>
      </c>
      <c r="C13" s="49">
        <v>4</v>
      </c>
      <c r="D13" s="72"/>
      <c r="E13" s="73">
        <f t="shared" si="4"/>
        <v>0</v>
      </c>
      <c r="F13" s="66"/>
      <c r="G13" s="1" t="str">
        <f t="shared" si="5"/>
        <v/>
      </c>
      <c r="H13" s="25" t="str">
        <f t="shared" si="1"/>
        <v/>
      </c>
      <c r="I13" s="42" t="str">
        <f t="shared" si="2"/>
        <v/>
      </c>
      <c r="J13" s="69" t="str">
        <f t="shared" si="6"/>
        <v/>
      </c>
      <c r="K13" s="69">
        <f t="shared" si="7"/>
        <v>0</v>
      </c>
      <c r="L13" s="234" t="str">
        <f t="shared" si="8"/>
        <v/>
      </c>
      <c r="M13" s="26"/>
      <c r="N13" s="282"/>
      <c r="O13" s="71">
        <f t="shared" si="3"/>
        <v>0</v>
      </c>
      <c r="P13" s="74"/>
    </row>
    <row r="14" spans="1:16" x14ac:dyDescent="0.2">
      <c r="B14" s="61" t="str">
        <f t="shared" si="0"/>
        <v/>
      </c>
      <c r="C14" s="49">
        <v>5</v>
      </c>
      <c r="D14" s="72"/>
      <c r="E14" s="73">
        <f t="shared" si="4"/>
        <v>0</v>
      </c>
      <c r="F14" s="66"/>
      <c r="G14" s="1" t="str">
        <f t="shared" si="5"/>
        <v/>
      </c>
      <c r="H14" s="25" t="str">
        <f t="shared" si="1"/>
        <v/>
      </c>
      <c r="I14" s="42" t="str">
        <f t="shared" si="2"/>
        <v/>
      </c>
      <c r="J14" s="69" t="str">
        <f t="shared" si="6"/>
        <v/>
      </c>
      <c r="K14" s="69">
        <f t="shared" si="7"/>
        <v>0</v>
      </c>
      <c r="L14" s="234" t="str">
        <f t="shared" si="8"/>
        <v/>
      </c>
      <c r="M14" s="26"/>
      <c r="N14" s="282"/>
      <c r="O14" s="71">
        <f t="shared" si="3"/>
        <v>0</v>
      </c>
      <c r="P14" s="74"/>
    </row>
    <row r="15" spans="1:16" x14ac:dyDescent="0.2">
      <c r="B15" s="61" t="str">
        <f t="shared" si="0"/>
        <v/>
      </c>
      <c r="C15" s="49">
        <v>6</v>
      </c>
      <c r="D15" s="72"/>
      <c r="E15" s="73">
        <f t="shared" si="4"/>
        <v>0</v>
      </c>
      <c r="F15" s="66"/>
      <c r="G15" s="1" t="str">
        <f t="shared" si="5"/>
        <v/>
      </c>
      <c r="H15" s="25" t="str">
        <f t="shared" si="1"/>
        <v/>
      </c>
      <c r="I15" s="42" t="str">
        <f t="shared" si="2"/>
        <v/>
      </c>
      <c r="J15" s="69" t="str">
        <f t="shared" si="6"/>
        <v/>
      </c>
      <c r="K15" s="69">
        <f t="shared" si="7"/>
        <v>0</v>
      </c>
      <c r="L15" s="234" t="str">
        <f t="shared" si="8"/>
        <v/>
      </c>
      <c r="M15" s="26"/>
      <c r="N15" s="282"/>
      <c r="O15" s="71">
        <f t="shared" si="3"/>
        <v>0</v>
      </c>
      <c r="P15" s="74"/>
    </row>
    <row r="16" spans="1:16" x14ac:dyDescent="0.2">
      <c r="B16" s="61" t="str">
        <f t="shared" si="0"/>
        <v/>
      </c>
      <c r="C16" s="49">
        <v>7</v>
      </c>
      <c r="D16" s="72"/>
      <c r="E16" s="73">
        <f t="shared" si="4"/>
        <v>0</v>
      </c>
      <c r="F16" s="66"/>
      <c r="G16" s="1" t="str">
        <f t="shared" si="5"/>
        <v/>
      </c>
      <c r="H16" s="25" t="str">
        <f t="shared" si="1"/>
        <v/>
      </c>
      <c r="I16" s="42" t="str">
        <f t="shared" si="2"/>
        <v/>
      </c>
      <c r="J16" s="69" t="str">
        <f t="shared" si="6"/>
        <v/>
      </c>
      <c r="K16" s="69">
        <f t="shared" si="7"/>
        <v>0</v>
      </c>
      <c r="L16" s="234" t="str">
        <f t="shared" si="8"/>
        <v/>
      </c>
      <c r="M16" s="26"/>
      <c r="N16" s="282"/>
      <c r="O16" s="71">
        <f t="shared" si="3"/>
        <v>0</v>
      </c>
      <c r="P16" s="74"/>
    </row>
    <row r="17" spans="2:16" x14ac:dyDescent="0.2">
      <c r="B17" s="61" t="str">
        <f t="shared" si="0"/>
        <v/>
      </c>
      <c r="C17" s="49">
        <v>8</v>
      </c>
      <c r="D17" s="72"/>
      <c r="E17" s="73">
        <f t="shared" si="4"/>
        <v>0</v>
      </c>
      <c r="F17" s="66"/>
      <c r="G17" s="1" t="str">
        <f t="shared" si="5"/>
        <v/>
      </c>
      <c r="H17" s="25" t="str">
        <f t="shared" si="1"/>
        <v/>
      </c>
      <c r="I17" s="42" t="str">
        <f t="shared" si="2"/>
        <v/>
      </c>
      <c r="J17" s="69" t="str">
        <f t="shared" si="6"/>
        <v/>
      </c>
      <c r="K17" s="69">
        <f t="shared" si="7"/>
        <v>0</v>
      </c>
      <c r="L17" s="234" t="str">
        <f t="shared" si="8"/>
        <v/>
      </c>
      <c r="M17" s="26"/>
      <c r="N17" s="282"/>
      <c r="O17" s="71">
        <f t="shared" si="3"/>
        <v>0</v>
      </c>
      <c r="P17" s="74"/>
    </row>
    <row r="18" spans="2:16" x14ac:dyDescent="0.2">
      <c r="B18" s="61" t="str">
        <f t="shared" si="0"/>
        <v/>
      </c>
      <c r="C18" s="49">
        <v>9</v>
      </c>
      <c r="D18" s="72"/>
      <c r="E18" s="73">
        <f t="shared" si="4"/>
        <v>0</v>
      </c>
      <c r="F18" s="66"/>
      <c r="G18" s="1" t="str">
        <f t="shared" si="5"/>
        <v/>
      </c>
      <c r="H18" s="25" t="str">
        <f t="shared" si="1"/>
        <v/>
      </c>
      <c r="I18" s="42" t="str">
        <f t="shared" si="2"/>
        <v/>
      </c>
      <c r="J18" s="69" t="str">
        <f t="shared" si="6"/>
        <v/>
      </c>
      <c r="K18" s="69">
        <f t="shared" si="7"/>
        <v>0</v>
      </c>
      <c r="L18" s="234" t="str">
        <f t="shared" si="8"/>
        <v/>
      </c>
      <c r="M18" s="26"/>
      <c r="N18" s="282"/>
      <c r="O18" s="71">
        <f t="shared" si="3"/>
        <v>0</v>
      </c>
      <c r="P18" s="74"/>
    </row>
    <row r="19" spans="2:16" x14ac:dyDescent="0.2">
      <c r="B19" s="61" t="str">
        <f t="shared" si="0"/>
        <v/>
      </c>
      <c r="C19" s="49">
        <v>10</v>
      </c>
      <c r="D19" s="72"/>
      <c r="E19" s="73">
        <f t="shared" si="4"/>
        <v>0</v>
      </c>
      <c r="F19" s="66"/>
      <c r="G19" s="1" t="str">
        <f t="shared" si="5"/>
        <v/>
      </c>
      <c r="H19" s="25" t="str">
        <f t="shared" si="1"/>
        <v/>
      </c>
      <c r="I19" s="42" t="str">
        <f t="shared" si="2"/>
        <v/>
      </c>
      <c r="J19" s="69" t="str">
        <f t="shared" si="6"/>
        <v/>
      </c>
      <c r="K19" s="69">
        <f t="shared" si="7"/>
        <v>0</v>
      </c>
      <c r="L19" s="234" t="str">
        <f t="shared" si="8"/>
        <v/>
      </c>
      <c r="M19" s="26"/>
      <c r="N19" s="282"/>
      <c r="O19" s="71">
        <f t="shared" si="3"/>
        <v>0</v>
      </c>
      <c r="P19" s="74"/>
    </row>
    <row r="20" spans="2:16" x14ac:dyDescent="0.2">
      <c r="B20" s="61" t="str">
        <f t="shared" si="0"/>
        <v/>
      </c>
      <c r="C20" s="49">
        <v>11</v>
      </c>
      <c r="D20" s="72"/>
      <c r="E20" s="73">
        <f t="shared" si="4"/>
        <v>0</v>
      </c>
      <c r="F20" s="66"/>
      <c r="G20" s="1" t="str">
        <f t="shared" si="5"/>
        <v/>
      </c>
      <c r="H20" s="25" t="str">
        <f t="shared" si="1"/>
        <v/>
      </c>
      <c r="I20" s="42" t="str">
        <f t="shared" si="2"/>
        <v/>
      </c>
      <c r="J20" s="69" t="str">
        <f t="shared" si="6"/>
        <v/>
      </c>
      <c r="K20" s="69">
        <f t="shared" si="7"/>
        <v>0</v>
      </c>
      <c r="L20" s="234" t="str">
        <f t="shared" si="8"/>
        <v/>
      </c>
      <c r="M20" s="26"/>
      <c r="N20" s="282"/>
      <c r="O20" s="71">
        <f t="shared" si="3"/>
        <v>0</v>
      </c>
      <c r="P20" s="74"/>
    </row>
    <row r="21" spans="2:16" x14ac:dyDescent="0.2">
      <c r="B21" s="61" t="str">
        <f t="shared" si="0"/>
        <v/>
      </c>
      <c r="C21" s="49">
        <v>12</v>
      </c>
      <c r="D21" s="72"/>
      <c r="E21" s="73">
        <f t="shared" si="4"/>
        <v>0</v>
      </c>
      <c r="F21" s="66"/>
      <c r="G21" s="1" t="str">
        <f t="shared" si="5"/>
        <v/>
      </c>
      <c r="H21" s="25" t="str">
        <f t="shared" si="1"/>
        <v/>
      </c>
      <c r="I21" s="42" t="str">
        <f t="shared" si="2"/>
        <v/>
      </c>
      <c r="J21" s="69" t="str">
        <f t="shared" si="6"/>
        <v/>
      </c>
      <c r="K21" s="69">
        <f t="shared" si="7"/>
        <v>0</v>
      </c>
      <c r="L21" s="234" t="str">
        <f t="shared" si="8"/>
        <v/>
      </c>
      <c r="M21" s="26"/>
      <c r="N21" s="282"/>
      <c r="O21" s="71">
        <f t="shared" si="3"/>
        <v>0</v>
      </c>
      <c r="P21" s="74"/>
    </row>
    <row r="22" spans="2:16" x14ac:dyDescent="0.2">
      <c r="B22" s="61" t="str">
        <f t="shared" si="0"/>
        <v/>
      </c>
      <c r="C22" s="49">
        <v>13</v>
      </c>
      <c r="D22" s="72"/>
      <c r="E22" s="73">
        <f t="shared" si="4"/>
        <v>0</v>
      </c>
      <c r="F22" s="66"/>
      <c r="G22" s="1" t="str">
        <f t="shared" si="5"/>
        <v/>
      </c>
      <c r="H22" s="25" t="str">
        <f t="shared" si="1"/>
        <v/>
      </c>
      <c r="I22" s="42" t="str">
        <f t="shared" si="2"/>
        <v/>
      </c>
      <c r="J22" s="69" t="str">
        <f t="shared" si="6"/>
        <v/>
      </c>
      <c r="K22" s="69">
        <f t="shared" si="7"/>
        <v>0</v>
      </c>
      <c r="L22" s="234" t="str">
        <f t="shared" si="8"/>
        <v/>
      </c>
      <c r="M22" s="26"/>
      <c r="N22" s="282"/>
      <c r="O22" s="71">
        <f t="shared" si="3"/>
        <v>0</v>
      </c>
      <c r="P22" s="74"/>
    </row>
    <row r="23" spans="2:16" x14ac:dyDescent="0.2">
      <c r="B23" s="61" t="str">
        <f t="shared" si="0"/>
        <v/>
      </c>
      <c r="C23" s="49">
        <v>14</v>
      </c>
      <c r="D23" s="72"/>
      <c r="E23" s="73">
        <f t="shared" si="4"/>
        <v>0</v>
      </c>
      <c r="F23" s="66"/>
      <c r="G23" s="1" t="str">
        <f t="shared" si="5"/>
        <v/>
      </c>
      <c r="H23" s="25" t="str">
        <f t="shared" si="1"/>
        <v/>
      </c>
      <c r="I23" s="42" t="str">
        <f t="shared" si="2"/>
        <v/>
      </c>
      <c r="J23" s="69" t="str">
        <f t="shared" si="6"/>
        <v/>
      </c>
      <c r="K23" s="69">
        <f t="shared" si="7"/>
        <v>0</v>
      </c>
      <c r="L23" s="234" t="str">
        <f t="shared" si="8"/>
        <v/>
      </c>
      <c r="M23" s="26"/>
      <c r="N23" s="282"/>
      <c r="O23" s="71">
        <f t="shared" si="3"/>
        <v>0</v>
      </c>
      <c r="P23" s="74"/>
    </row>
    <row r="24" spans="2:16" x14ac:dyDescent="0.2">
      <c r="B24" s="61" t="str">
        <f t="shared" si="0"/>
        <v/>
      </c>
      <c r="C24" s="49">
        <v>15</v>
      </c>
      <c r="D24" s="72"/>
      <c r="E24" s="73">
        <f t="shared" si="4"/>
        <v>0</v>
      </c>
      <c r="F24" s="66"/>
      <c r="G24" s="1" t="str">
        <f t="shared" si="5"/>
        <v/>
      </c>
      <c r="H24" s="25" t="str">
        <f t="shared" si="1"/>
        <v/>
      </c>
      <c r="I24" s="42" t="str">
        <f t="shared" si="2"/>
        <v/>
      </c>
      <c r="J24" s="69" t="str">
        <f t="shared" si="6"/>
        <v/>
      </c>
      <c r="K24" s="69">
        <f t="shared" si="7"/>
        <v>0</v>
      </c>
      <c r="L24" s="234" t="str">
        <f t="shared" si="8"/>
        <v/>
      </c>
      <c r="M24" s="26"/>
      <c r="N24" s="282"/>
      <c r="O24" s="71">
        <f t="shared" si="3"/>
        <v>0</v>
      </c>
      <c r="P24" s="74"/>
    </row>
    <row r="25" spans="2:16" x14ac:dyDescent="0.2">
      <c r="B25" s="61" t="str">
        <f t="shared" si="0"/>
        <v/>
      </c>
      <c r="C25" s="49">
        <v>16</v>
      </c>
      <c r="D25" s="72"/>
      <c r="E25" s="73">
        <f t="shared" si="4"/>
        <v>0</v>
      </c>
      <c r="F25" s="66"/>
      <c r="G25" s="1" t="str">
        <f t="shared" si="5"/>
        <v/>
      </c>
      <c r="H25" s="25" t="str">
        <f t="shared" si="1"/>
        <v/>
      </c>
      <c r="I25" s="42" t="str">
        <f t="shared" si="2"/>
        <v/>
      </c>
      <c r="J25" s="69" t="str">
        <f t="shared" si="6"/>
        <v/>
      </c>
      <c r="K25" s="69">
        <f t="shared" si="7"/>
        <v>0</v>
      </c>
      <c r="L25" s="234" t="str">
        <f t="shared" si="8"/>
        <v/>
      </c>
      <c r="M25" s="26"/>
      <c r="N25" s="282"/>
      <c r="O25" s="71">
        <f t="shared" si="3"/>
        <v>0</v>
      </c>
      <c r="P25" s="74"/>
    </row>
    <row r="26" spans="2:16" x14ac:dyDescent="0.2">
      <c r="B26" s="61" t="str">
        <f t="shared" si="0"/>
        <v/>
      </c>
      <c r="C26" s="49">
        <v>17</v>
      </c>
      <c r="D26" s="72"/>
      <c r="E26" s="73">
        <f t="shared" si="4"/>
        <v>0</v>
      </c>
      <c r="F26" s="66"/>
      <c r="G26" s="1" t="str">
        <f t="shared" si="5"/>
        <v/>
      </c>
      <c r="H26" s="25" t="str">
        <f t="shared" si="1"/>
        <v/>
      </c>
      <c r="I26" s="42" t="str">
        <f t="shared" si="2"/>
        <v/>
      </c>
      <c r="J26" s="69" t="str">
        <f t="shared" si="6"/>
        <v/>
      </c>
      <c r="K26" s="69">
        <f t="shared" si="7"/>
        <v>0</v>
      </c>
      <c r="L26" s="234" t="str">
        <f t="shared" si="8"/>
        <v/>
      </c>
      <c r="M26" s="26"/>
      <c r="N26" s="282"/>
      <c r="O26" s="71">
        <f t="shared" si="3"/>
        <v>0</v>
      </c>
      <c r="P26" s="74"/>
    </row>
    <row r="27" spans="2:16" x14ac:dyDescent="0.2">
      <c r="B27" s="61" t="str">
        <f t="shared" si="0"/>
        <v/>
      </c>
      <c r="C27" s="49">
        <v>18</v>
      </c>
      <c r="D27" s="72"/>
      <c r="E27" s="73">
        <f t="shared" si="4"/>
        <v>0</v>
      </c>
      <c r="F27" s="66"/>
      <c r="G27" s="1" t="str">
        <f t="shared" si="5"/>
        <v/>
      </c>
      <c r="H27" s="25" t="str">
        <f t="shared" si="1"/>
        <v/>
      </c>
      <c r="I27" s="42" t="str">
        <f t="shared" si="2"/>
        <v/>
      </c>
      <c r="J27" s="69" t="str">
        <f t="shared" si="6"/>
        <v/>
      </c>
      <c r="K27" s="69">
        <f t="shared" si="7"/>
        <v>0</v>
      </c>
      <c r="L27" s="234" t="str">
        <f t="shared" si="8"/>
        <v/>
      </c>
      <c r="M27" s="26"/>
      <c r="N27" s="282"/>
      <c r="O27" s="71">
        <f t="shared" si="3"/>
        <v>0</v>
      </c>
      <c r="P27" s="74"/>
    </row>
    <row r="28" spans="2:16" x14ac:dyDescent="0.2">
      <c r="B28" s="61" t="str">
        <f t="shared" si="0"/>
        <v/>
      </c>
      <c r="C28" s="49">
        <v>19</v>
      </c>
      <c r="D28" s="72"/>
      <c r="E28" s="73">
        <f t="shared" si="4"/>
        <v>0</v>
      </c>
      <c r="F28" s="66"/>
      <c r="G28" s="1" t="str">
        <f t="shared" si="5"/>
        <v/>
      </c>
      <c r="H28" s="25" t="str">
        <f t="shared" si="1"/>
        <v/>
      </c>
      <c r="I28" s="42" t="str">
        <f t="shared" si="2"/>
        <v/>
      </c>
      <c r="J28" s="69" t="str">
        <f t="shared" si="6"/>
        <v/>
      </c>
      <c r="K28" s="69">
        <f t="shared" si="7"/>
        <v>0</v>
      </c>
      <c r="L28" s="234" t="str">
        <f t="shared" si="8"/>
        <v/>
      </c>
      <c r="M28" s="26"/>
      <c r="N28" s="282"/>
      <c r="O28" s="71">
        <f t="shared" si="3"/>
        <v>0</v>
      </c>
      <c r="P28" s="74"/>
    </row>
    <row r="29" spans="2:16" x14ac:dyDescent="0.2">
      <c r="B29" s="61" t="str">
        <f t="shared" si="0"/>
        <v/>
      </c>
      <c r="C29" s="49">
        <v>20</v>
      </c>
      <c r="D29" s="72"/>
      <c r="E29" s="73">
        <f t="shared" si="4"/>
        <v>0</v>
      </c>
      <c r="F29" s="66"/>
      <c r="G29" s="1" t="str">
        <f t="shared" si="5"/>
        <v/>
      </c>
      <c r="H29" s="25" t="str">
        <f t="shared" si="1"/>
        <v/>
      </c>
      <c r="I29" s="42" t="str">
        <f t="shared" si="2"/>
        <v/>
      </c>
      <c r="J29" s="69" t="str">
        <f t="shared" si="6"/>
        <v/>
      </c>
      <c r="K29" s="69">
        <f t="shared" si="7"/>
        <v>0</v>
      </c>
      <c r="L29" s="234" t="str">
        <f t="shared" si="8"/>
        <v/>
      </c>
      <c r="M29" s="26"/>
      <c r="N29" s="282"/>
      <c r="O29" s="71">
        <f t="shared" si="3"/>
        <v>0</v>
      </c>
      <c r="P29" s="74"/>
    </row>
    <row r="30" spans="2:16" x14ac:dyDescent="0.2">
      <c r="B30" s="61" t="str">
        <f t="shared" si="0"/>
        <v/>
      </c>
      <c r="C30" s="49">
        <v>21</v>
      </c>
      <c r="D30" s="72"/>
      <c r="E30" s="73">
        <f t="shared" si="4"/>
        <v>0</v>
      </c>
      <c r="F30" s="66"/>
      <c r="G30" s="1" t="str">
        <f t="shared" si="5"/>
        <v/>
      </c>
      <c r="H30" s="25" t="str">
        <f t="shared" si="1"/>
        <v/>
      </c>
      <c r="I30" s="42" t="str">
        <f t="shared" si="2"/>
        <v/>
      </c>
      <c r="J30" s="69" t="str">
        <f t="shared" si="6"/>
        <v/>
      </c>
      <c r="K30" s="69">
        <f t="shared" si="7"/>
        <v>0</v>
      </c>
      <c r="L30" s="234" t="str">
        <f t="shared" si="8"/>
        <v/>
      </c>
      <c r="M30" s="26"/>
      <c r="N30" s="282"/>
      <c r="O30" s="71">
        <f t="shared" si="3"/>
        <v>0</v>
      </c>
      <c r="P30" s="74"/>
    </row>
    <row r="31" spans="2:16" x14ac:dyDescent="0.2">
      <c r="B31" s="61" t="str">
        <f t="shared" si="0"/>
        <v/>
      </c>
      <c r="C31" s="49">
        <v>22</v>
      </c>
      <c r="D31" s="72"/>
      <c r="E31" s="73">
        <f t="shared" si="4"/>
        <v>0</v>
      </c>
      <c r="F31" s="66"/>
      <c r="G31" s="1" t="str">
        <f t="shared" si="5"/>
        <v/>
      </c>
      <c r="H31" s="25" t="str">
        <f t="shared" si="1"/>
        <v/>
      </c>
      <c r="I31" s="42" t="str">
        <f t="shared" si="2"/>
        <v/>
      </c>
      <c r="J31" s="69" t="str">
        <f t="shared" si="6"/>
        <v/>
      </c>
      <c r="K31" s="69">
        <f t="shared" si="7"/>
        <v>0</v>
      </c>
      <c r="L31" s="234" t="str">
        <f t="shared" si="8"/>
        <v/>
      </c>
      <c r="M31" s="26"/>
      <c r="N31" s="282"/>
      <c r="O31" s="71">
        <f t="shared" si="3"/>
        <v>0</v>
      </c>
      <c r="P31" s="74"/>
    </row>
    <row r="32" spans="2:16" x14ac:dyDescent="0.2">
      <c r="B32" s="61" t="str">
        <f t="shared" si="0"/>
        <v/>
      </c>
      <c r="C32" s="49">
        <v>23</v>
      </c>
      <c r="D32" s="72"/>
      <c r="E32" s="73">
        <f t="shared" si="4"/>
        <v>0</v>
      </c>
      <c r="F32" s="66"/>
      <c r="G32" s="1" t="str">
        <f t="shared" si="5"/>
        <v/>
      </c>
      <c r="H32" s="25" t="str">
        <f t="shared" si="1"/>
        <v/>
      </c>
      <c r="I32" s="42" t="str">
        <f t="shared" si="2"/>
        <v/>
      </c>
      <c r="J32" s="69" t="str">
        <f t="shared" si="6"/>
        <v/>
      </c>
      <c r="K32" s="69">
        <f t="shared" si="7"/>
        <v>0</v>
      </c>
      <c r="L32" s="234" t="str">
        <f t="shared" si="8"/>
        <v/>
      </c>
      <c r="M32" s="26"/>
      <c r="N32" s="282"/>
      <c r="O32" s="71">
        <f t="shared" si="3"/>
        <v>0</v>
      </c>
      <c r="P32" s="74"/>
    </row>
    <row r="33" spans="2:16" x14ac:dyDescent="0.2">
      <c r="B33" s="61" t="str">
        <f t="shared" si="0"/>
        <v/>
      </c>
      <c r="C33" s="49">
        <v>24</v>
      </c>
      <c r="D33" s="72"/>
      <c r="E33" s="73">
        <f t="shared" si="4"/>
        <v>0</v>
      </c>
      <c r="F33" s="66"/>
      <c r="G33" s="1" t="str">
        <f t="shared" si="5"/>
        <v/>
      </c>
      <c r="H33" s="25" t="str">
        <f t="shared" si="1"/>
        <v/>
      </c>
      <c r="I33" s="42" t="str">
        <f t="shared" si="2"/>
        <v/>
      </c>
      <c r="J33" s="69" t="str">
        <f t="shared" si="6"/>
        <v/>
      </c>
      <c r="K33" s="69">
        <f t="shared" si="7"/>
        <v>0</v>
      </c>
      <c r="L33" s="234" t="str">
        <f t="shared" si="8"/>
        <v/>
      </c>
      <c r="M33" s="26"/>
      <c r="N33" s="282"/>
      <c r="O33" s="71">
        <f t="shared" si="3"/>
        <v>0</v>
      </c>
      <c r="P33" s="74"/>
    </row>
    <row r="34" spans="2:16" x14ac:dyDescent="0.2">
      <c r="B34" s="61" t="str">
        <f t="shared" si="0"/>
        <v/>
      </c>
      <c r="C34" s="49">
        <v>25</v>
      </c>
      <c r="D34" s="72"/>
      <c r="E34" s="73">
        <f t="shared" si="4"/>
        <v>0</v>
      </c>
      <c r="F34" s="66"/>
      <c r="G34" s="1" t="str">
        <f t="shared" si="5"/>
        <v/>
      </c>
      <c r="H34" s="25" t="str">
        <f t="shared" si="1"/>
        <v/>
      </c>
      <c r="I34" s="42" t="str">
        <f t="shared" si="2"/>
        <v/>
      </c>
      <c r="J34" s="69" t="str">
        <f t="shared" si="6"/>
        <v/>
      </c>
      <c r="K34" s="69">
        <f t="shared" si="7"/>
        <v>0</v>
      </c>
      <c r="L34" s="234" t="str">
        <f t="shared" si="8"/>
        <v/>
      </c>
      <c r="M34" s="26"/>
      <c r="N34" s="282"/>
      <c r="O34" s="71">
        <f t="shared" si="3"/>
        <v>0</v>
      </c>
      <c r="P34" s="74"/>
    </row>
    <row r="35" spans="2:16" x14ac:dyDescent="0.2">
      <c r="B35" s="61" t="str">
        <f t="shared" si="0"/>
        <v/>
      </c>
      <c r="C35" s="49">
        <v>26</v>
      </c>
      <c r="D35" s="72"/>
      <c r="E35" s="73">
        <f t="shared" si="4"/>
        <v>0</v>
      </c>
      <c r="F35" s="66"/>
      <c r="G35" s="1" t="str">
        <f t="shared" si="5"/>
        <v/>
      </c>
      <c r="H35" s="25" t="str">
        <f t="shared" si="1"/>
        <v/>
      </c>
      <c r="I35" s="42" t="str">
        <f t="shared" si="2"/>
        <v/>
      </c>
      <c r="J35" s="69" t="str">
        <f t="shared" si="6"/>
        <v/>
      </c>
      <c r="K35" s="69">
        <f t="shared" si="7"/>
        <v>0</v>
      </c>
      <c r="L35" s="234" t="str">
        <f t="shared" si="8"/>
        <v/>
      </c>
      <c r="M35" s="26"/>
      <c r="N35" s="282"/>
      <c r="O35" s="71">
        <f t="shared" si="3"/>
        <v>0</v>
      </c>
      <c r="P35" s="74"/>
    </row>
    <row r="36" spans="2:16" x14ac:dyDescent="0.2">
      <c r="B36" s="61" t="str">
        <f t="shared" si="0"/>
        <v/>
      </c>
      <c r="C36" s="49">
        <v>27</v>
      </c>
      <c r="D36" s="72"/>
      <c r="E36" s="73">
        <f t="shared" si="4"/>
        <v>0</v>
      </c>
      <c r="F36" s="66"/>
      <c r="G36" s="1" t="str">
        <f t="shared" si="5"/>
        <v/>
      </c>
      <c r="H36" s="25" t="str">
        <f t="shared" si="1"/>
        <v/>
      </c>
      <c r="I36" s="42" t="str">
        <f t="shared" si="2"/>
        <v/>
      </c>
      <c r="J36" s="69" t="str">
        <f t="shared" si="6"/>
        <v/>
      </c>
      <c r="K36" s="69">
        <f t="shared" si="7"/>
        <v>0</v>
      </c>
      <c r="L36" s="234" t="str">
        <f t="shared" si="8"/>
        <v/>
      </c>
      <c r="M36" s="26"/>
      <c r="N36" s="282"/>
      <c r="O36" s="71">
        <f t="shared" si="3"/>
        <v>0</v>
      </c>
      <c r="P36" s="74"/>
    </row>
    <row r="37" spans="2:16" x14ac:dyDescent="0.2">
      <c r="B37" s="61" t="str">
        <f t="shared" si="0"/>
        <v/>
      </c>
      <c r="C37" s="49">
        <v>28</v>
      </c>
      <c r="D37" s="72"/>
      <c r="E37" s="73">
        <f t="shared" si="4"/>
        <v>0</v>
      </c>
      <c r="F37" s="66"/>
      <c r="G37" s="1" t="str">
        <f t="shared" si="5"/>
        <v/>
      </c>
      <c r="H37" s="25" t="str">
        <f t="shared" si="1"/>
        <v/>
      </c>
      <c r="I37" s="42" t="str">
        <f t="shared" si="2"/>
        <v/>
      </c>
      <c r="J37" s="69" t="str">
        <f t="shared" si="6"/>
        <v/>
      </c>
      <c r="K37" s="69">
        <f t="shared" si="7"/>
        <v>0</v>
      </c>
      <c r="L37" s="234" t="str">
        <f t="shared" si="8"/>
        <v/>
      </c>
      <c r="M37" s="26"/>
      <c r="N37" s="282"/>
      <c r="O37" s="71">
        <f t="shared" si="3"/>
        <v>0</v>
      </c>
      <c r="P37" s="74"/>
    </row>
    <row r="38" spans="2:16" x14ac:dyDescent="0.2">
      <c r="B38" s="61" t="str">
        <f t="shared" si="0"/>
        <v/>
      </c>
      <c r="C38" s="49">
        <v>29</v>
      </c>
      <c r="D38" s="72"/>
      <c r="E38" s="73">
        <f t="shared" si="4"/>
        <v>0</v>
      </c>
      <c r="F38" s="66"/>
      <c r="G38" s="1" t="str">
        <f t="shared" si="5"/>
        <v/>
      </c>
      <c r="H38" s="25" t="str">
        <f t="shared" si="1"/>
        <v/>
      </c>
      <c r="I38" s="42" t="str">
        <f t="shared" si="2"/>
        <v/>
      </c>
      <c r="J38" s="69" t="str">
        <f t="shared" si="6"/>
        <v/>
      </c>
      <c r="K38" s="69">
        <f t="shared" si="7"/>
        <v>0</v>
      </c>
      <c r="L38" s="234" t="str">
        <f t="shared" si="8"/>
        <v/>
      </c>
      <c r="M38" s="26"/>
      <c r="N38" s="282"/>
      <c r="O38" s="71">
        <f t="shared" si="3"/>
        <v>0</v>
      </c>
      <c r="P38" s="74"/>
    </row>
    <row r="39" spans="2:16" x14ac:dyDescent="0.2">
      <c r="B39" s="61" t="str">
        <f t="shared" si="0"/>
        <v/>
      </c>
      <c r="C39" s="49">
        <v>30</v>
      </c>
      <c r="D39" s="72"/>
      <c r="E39" s="73">
        <f t="shared" si="4"/>
        <v>0</v>
      </c>
      <c r="F39" s="66"/>
      <c r="G39" s="1" t="str">
        <f t="shared" si="5"/>
        <v/>
      </c>
      <c r="H39" s="25" t="str">
        <f t="shared" si="1"/>
        <v/>
      </c>
      <c r="I39" s="42" t="str">
        <f t="shared" si="2"/>
        <v/>
      </c>
      <c r="J39" s="69" t="str">
        <f t="shared" si="6"/>
        <v/>
      </c>
      <c r="K39" s="69">
        <f t="shared" si="7"/>
        <v>0</v>
      </c>
      <c r="L39" s="234" t="str">
        <f t="shared" si="8"/>
        <v/>
      </c>
      <c r="M39" s="26"/>
      <c r="N39" s="282"/>
      <c r="O39" s="71">
        <f t="shared" si="3"/>
        <v>0</v>
      </c>
      <c r="P39" s="74"/>
    </row>
    <row r="40" spans="2:16" x14ac:dyDescent="0.2">
      <c r="B40" s="61" t="str">
        <f t="shared" si="0"/>
        <v/>
      </c>
      <c r="C40" s="49">
        <v>31</v>
      </c>
      <c r="D40" s="72"/>
      <c r="E40" s="73">
        <f t="shared" si="4"/>
        <v>0</v>
      </c>
      <c r="F40" s="66"/>
      <c r="G40" s="1" t="str">
        <f t="shared" si="5"/>
        <v/>
      </c>
      <c r="H40" s="25" t="str">
        <f t="shared" si="1"/>
        <v/>
      </c>
      <c r="I40" s="42" t="str">
        <f t="shared" si="2"/>
        <v/>
      </c>
      <c r="J40" s="69" t="str">
        <f t="shared" si="6"/>
        <v/>
      </c>
      <c r="K40" s="69">
        <f t="shared" si="7"/>
        <v>0</v>
      </c>
      <c r="L40" s="234" t="str">
        <f t="shared" si="8"/>
        <v/>
      </c>
      <c r="M40" s="26"/>
      <c r="N40" s="282"/>
      <c r="O40" s="71">
        <f t="shared" si="3"/>
        <v>0</v>
      </c>
      <c r="P40" s="74"/>
    </row>
    <row r="41" spans="2:16" x14ac:dyDescent="0.2">
      <c r="B41" s="61" t="str">
        <f t="shared" si="0"/>
        <v/>
      </c>
      <c r="C41" s="49">
        <v>32</v>
      </c>
      <c r="D41" s="72"/>
      <c r="E41" s="73">
        <f t="shared" si="4"/>
        <v>0</v>
      </c>
      <c r="F41" s="66"/>
      <c r="G41" s="1" t="str">
        <f t="shared" si="5"/>
        <v/>
      </c>
      <c r="H41" s="25" t="str">
        <f t="shared" si="1"/>
        <v/>
      </c>
      <c r="I41" s="42" t="str">
        <f t="shared" si="2"/>
        <v/>
      </c>
      <c r="J41" s="69" t="str">
        <f t="shared" si="6"/>
        <v/>
      </c>
      <c r="K41" s="69">
        <f t="shared" si="7"/>
        <v>0</v>
      </c>
      <c r="L41" s="234" t="str">
        <f t="shared" si="8"/>
        <v/>
      </c>
      <c r="M41" s="26"/>
      <c r="N41" s="282"/>
      <c r="O41" s="71">
        <f t="shared" si="3"/>
        <v>0</v>
      </c>
      <c r="P41" s="74"/>
    </row>
    <row r="42" spans="2:16" x14ac:dyDescent="0.2">
      <c r="B42" s="61" t="str">
        <f t="shared" ref="B42:B73" si="9">IF(D42&lt;&gt;"",1,"")</f>
        <v/>
      </c>
      <c r="C42" s="49">
        <v>33</v>
      </c>
      <c r="D42" s="72"/>
      <c r="E42" s="73">
        <f t="shared" si="4"/>
        <v>0</v>
      </c>
      <c r="F42" s="66"/>
      <c r="G42" s="1" t="str">
        <f t="shared" si="5"/>
        <v/>
      </c>
      <c r="H42" s="25" t="str">
        <f t="shared" si="1"/>
        <v/>
      </c>
      <c r="I42" s="42" t="str">
        <f t="shared" ref="I42:I73" si="10">IF($D42&lt;&gt;"",$I$9,"")</f>
        <v/>
      </c>
      <c r="J42" s="69" t="str">
        <f t="shared" si="6"/>
        <v/>
      </c>
      <c r="K42" s="69">
        <f t="shared" si="7"/>
        <v>0</v>
      </c>
      <c r="L42" s="234" t="str">
        <f t="shared" si="8"/>
        <v/>
      </c>
      <c r="M42" s="26"/>
      <c r="N42" s="282"/>
      <c r="O42" s="71">
        <f t="shared" ref="O42:O73" si="11">F42/10</f>
        <v>0</v>
      </c>
      <c r="P42" s="74"/>
    </row>
    <row r="43" spans="2:16" x14ac:dyDescent="0.2">
      <c r="B43" s="61" t="str">
        <f t="shared" si="9"/>
        <v/>
      </c>
      <c r="C43" s="49">
        <v>34</v>
      </c>
      <c r="D43" s="72"/>
      <c r="E43" s="73">
        <f t="shared" si="4"/>
        <v>0</v>
      </c>
      <c r="F43" s="66"/>
      <c r="G43" s="1" t="str">
        <f t="shared" si="5"/>
        <v/>
      </c>
      <c r="H43" s="25" t="str">
        <f t="shared" si="1"/>
        <v/>
      </c>
      <c r="I43" s="42" t="str">
        <f t="shared" si="10"/>
        <v/>
      </c>
      <c r="J43" s="69" t="str">
        <f t="shared" si="6"/>
        <v/>
      </c>
      <c r="K43" s="69">
        <f t="shared" si="7"/>
        <v>0</v>
      </c>
      <c r="L43" s="234" t="str">
        <f t="shared" si="8"/>
        <v/>
      </c>
      <c r="M43" s="26"/>
      <c r="N43" s="282"/>
      <c r="O43" s="71">
        <f t="shared" si="11"/>
        <v>0</v>
      </c>
      <c r="P43" s="74"/>
    </row>
    <row r="44" spans="2:16" x14ac:dyDescent="0.2">
      <c r="B44" s="61" t="str">
        <f t="shared" si="9"/>
        <v/>
      </c>
      <c r="C44" s="49">
        <v>35</v>
      </c>
      <c r="D44" s="72"/>
      <c r="E44" s="73">
        <f t="shared" si="4"/>
        <v>0</v>
      </c>
      <c r="F44" s="66"/>
      <c r="G44" s="1" t="str">
        <f t="shared" si="5"/>
        <v/>
      </c>
      <c r="H44" s="25" t="str">
        <f t="shared" si="1"/>
        <v/>
      </c>
      <c r="I44" s="42" t="str">
        <f t="shared" si="10"/>
        <v/>
      </c>
      <c r="J44" s="69" t="str">
        <f t="shared" si="6"/>
        <v/>
      </c>
      <c r="K44" s="69">
        <f t="shared" si="7"/>
        <v>0</v>
      </c>
      <c r="L44" s="234" t="str">
        <f t="shared" si="8"/>
        <v/>
      </c>
      <c r="M44" s="26"/>
      <c r="N44" s="282"/>
      <c r="O44" s="71">
        <f t="shared" si="11"/>
        <v>0</v>
      </c>
      <c r="P44" s="74"/>
    </row>
    <row r="45" spans="2:16" x14ac:dyDescent="0.2">
      <c r="B45" s="61" t="str">
        <f t="shared" si="9"/>
        <v/>
      </c>
      <c r="C45" s="49">
        <v>36</v>
      </c>
      <c r="D45" s="72"/>
      <c r="E45" s="73">
        <f t="shared" si="4"/>
        <v>0</v>
      </c>
      <c r="F45" s="66"/>
      <c r="G45" s="1" t="str">
        <f t="shared" si="5"/>
        <v/>
      </c>
      <c r="H45" s="25" t="str">
        <f t="shared" si="1"/>
        <v/>
      </c>
      <c r="I45" s="42" t="str">
        <f t="shared" si="10"/>
        <v/>
      </c>
      <c r="J45" s="69" t="str">
        <f t="shared" si="6"/>
        <v/>
      </c>
      <c r="K45" s="69">
        <f t="shared" si="7"/>
        <v>0</v>
      </c>
      <c r="L45" s="234" t="str">
        <f t="shared" si="8"/>
        <v/>
      </c>
      <c r="M45" s="26"/>
      <c r="N45" s="282"/>
      <c r="O45" s="71">
        <f t="shared" si="11"/>
        <v>0</v>
      </c>
      <c r="P45" s="74"/>
    </row>
    <row r="46" spans="2:16" x14ac:dyDescent="0.2">
      <c r="B46" s="61" t="str">
        <f t="shared" si="9"/>
        <v/>
      </c>
      <c r="C46" s="49">
        <v>37</v>
      </c>
      <c r="D46" s="72"/>
      <c r="E46" s="73">
        <f t="shared" si="4"/>
        <v>0</v>
      </c>
      <c r="F46" s="66"/>
      <c r="G46" s="1" t="str">
        <f t="shared" si="5"/>
        <v/>
      </c>
      <c r="H46" s="25" t="str">
        <f t="shared" si="1"/>
        <v/>
      </c>
      <c r="I46" s="42" t="str">
        <f t="shared" si="10"/>
        <v/>
      </c>
      <c r="J46" s="69" t="str">
        <f t="shared" si="6"/>
        <v/>
      </c>
      <c r="K46" s="69">
        <f t="shared" si="7"/>
        <v>0</v>
      </c>
      <c r="L46" s="234" t="str">
        <f t="shared" si="8"/>
        <v/>
      </c>
      <c r="M46" s="26"/>
      <c r="N46" s="282"/>
      <c r="O46" s="71">
        <f t="shared" si="11"/>
        <v>0</v>
      </c>
      <c r="P46" s="74"/>
    </row>
    <row r="47" spans="2:16" x14ac:dyDescent="0.2">
      <c r="B47" s="61" t="str">
        <f t="shared" si="9"/>
        <v/>
      </c>
      <c r="C47" s="49">
        <v>38</v>
      </c>
      <c r="D47" s="72"/>
      <c r="E47" s="73">
        <f t="shared" si="4"/>
        <v>0</v>
      </c>
      <c r="F47" s="66"/>
      <c r="G47" s="1" t="str">
        <f t="shared" si="5"/>
        <v/>
      </c>
      <c r="H47" s="25" t="str">
        <f t="shared" si="1"/>
        <v/>
      </c>
      <c r="I47" s="42" t="str">
        <f t="shared" si="10"/>
        <v/>
      </c>
      <c r="J47" s="69" t="str">
        <f t="shared" si="6"/>
        <v/>
      </c>
      <c r="K47" s="69">
        <f t="shared" si="7"/>
        <v>0</v>
      </c>
      <c r="L47" s="234" t="str">
        <f t="shared" si="8"/>
        <v/>
      </c>
      <c r="M47" s="26"/>
      <c r="N47" s="282"/>
      <c r="O47" s="71">
        <f t="shared" si="11"/>
        <v>0</v>
      </c>
      <c r="P47" s="74"/>
    </row>
    <row r="48" spans="2:16" x14ac:dyDescent="0.2">
      <c r="B48" s="61" t="str">
        <f t="shared" si="9"/>
        <v/>
      </c>
      <c r="C48" s="49">
        <v>39</v>
      </c>
      <c r="D48" s="72"/>
      <c r="E48" s="73">
        <f t="shared" si="4"/>
        <v>0</v>
      </c>
      <c r="F48" s="66"/>
      <c r="G48" s="1" t="str">
        <f t="shared" si="5"/>
        <v/>
      </c>
      <c r="H48" s="25" t="str">
        <f t="shared" si="1"/>
        <v/>
      </c>
      <c r="I48" s="42" t="str">
        <f t="shared" si="10"/>
        <v/>
      </c>
      <c r="J48" s="69" t="str">
        <f t="shared" si="6"/>
        <v/>
      </c>
      <c r="K48" s="69">
        <f t="shared" si="7"/>
        <v>0</v>
      </c>
      <c r="L48" s="234" t="str">
        <f t="shared" si="8"/>
        <v/>
      </c>
      <c r="M48" s="26"/>
      <c r="N48" s="282"/>
      <c r="O48" s="71">
        <f t="shared" si="11"/>
        <v>0</v>
      </c>
      <c r="P48" s="74"/>
    </row>
    <row r="49" spans="2:16" x14ac:dyDescent="0.2">
      <c r="B49" s="61" t="str">
        <f t="shared" si="9"/>
        <v/>
      </c>
      <c r="C49" s="49">
        <v>40</v>
      </c>
      <c r="D49" s="72"/>
      <c r="E49" s="73">
        <f t="shared" si="4"/>
        <v>0</v>
      </c>
      <c r="F49" s="66"/>
      <c r="G49" s="1" t="str">
        <f t="shared" si="5"/>
        <v/>
      </c>
      <c r="H49" s="25" t="str">
        <f t="shared" ref="H49:H73" si="12">IF($D49&lt;&gt;"",$H$9,"")</f>
        <v/>
      </c>
      <c r="I49" s="42" t="str">
        <f t="shared" si="10"/>
        <v/>
      </c>
      <c r="J49" s="69" t="str">
        <f t="shared" si="6"/>
        <v/>
      </c>
      <c r="K49" s="69">
        <f t="shared" si="7"/>
        <v>0</v>
      </c>
      <c r="L49" s="234" t="str">
        <f t="shared" si="8"/>
        <v/>
      </c>
      <c r="M49" s="26"/>
      <c r="N49" s="282"/>
      <c r="O49" s="71">
        <f t="shared" si="11"/>
        <v>0</v>
      </c>
      <c r="P49" s="74"/>
    </row>
    <row r="50" spans="2:16" x14ac:dyDescent="0.2">
      <c r="B50" s="61" t="str">
        <f t="shared" si="9"/>
        <v/>
      </c>
      <c r="C50" s="49">
        <v>41</v>
      </c>
      <c r="D50" s="72"/>
      <c r="E50" s="73">
        <f t="shared" si="4"/>
        <v>0</v>
      </c>
      <c r="F50" s="66"/>
      <c r="G50" s="1" t="str">
        <f t="shared" si="5"/>
        <v/>
      </c>
      <c r="H50" s="25" t="str">
        <f t="shared" si="12"/>
        <v/>
      </c>
      <c r="I50" s="42" t="str">
        <f t="shared" si="10"/>
        <v/>
      </c>
      <c r="J50" s="69" t="str">
        <f t="shared" si="6"/>
        <v/>
      </c>
      <c r="K50" s="69">
        <f t="shared" si="7"/>
        <v>0</v>
      </c>
      <c r="L50" s="234" t="str">
        <f t="shared" si="8"/>
        <v/>
      </c>
      <c r="M50" s="26"/>
      <c r="N50" s="282"/>
      <c r="O50" s="71">
        <f t="shared" si="11"/>
        <v>0</v>
      </c>
      <c r="P50" s="74"/>
    </row>
    <row r="51" spans="2:16" x14ac:dyDescent="0.2">
      <c r="B51" s="61" t="str">
        <f t="shared" si="9"/>
        <v/>
      </c>
      <c r="C51" s="49">
        <v>42</v>
      </c>
      <c r="D51" s="72"/>
      <c r="E51" s="73">
        <f t="shared" si="4"/>
        <v>0</v>
      </c>
      <c r="F51" s="66"/>
      <c r="G51" s="1" t="str">
        <f t="shared" si="5"/>
        <v/>
      </c>
      <c r="H51" s="25" t="str">
        <f t="shared" si="12"/>
        <v/>
      </c>
      <c r="I51" s="42" t="str">
        <f t="shared" si="10"/>
        <v/>
      </c>
      <c r="J51" s="69" t="str">
        <f t="shared" si="6"/>
        <v/>
      </c>
      <c r="K51" s="69">
        <f t="shared" si="7"/>
        <v>0</v>
      </c>
      <c r="L51" s="234" t="str">
        <f t="shared" si="8"/>
        <v/>
      </c>
      <c r="M51" s="26"/>
      <c r="N51" s="282"/>
      <c r="O51" s="71">
        <f t="shared" si="11"/>
        <v>0</v>
      </c>
      <c r="P51" s="74"/>
    </row>
    <row r="52" spans="2:16" x14ac:dyDescent="0.2">
      <c r="B52" s="61" t="str">
        <f t="shared" si="9"/>
        <v/>
      </c>
      <c r="C52" s="49">
        <v>43</v>
      </c>
      <c r="D52" s="72"/>
      <c r="E52" s="73">
        <f t="shared" si="4"/>
        <v>0</v>
      </c>
      <c r="F52" s="66"/>
      <c r="G52" s="1" t="str">
        <f t="shared" si="5"/>
        <v/>
      </c>
      <c r="H52" s="25" t="str">
        <f t="shared" si="12"/>
        <v/>
      </c>
      <c r="I52" s="42" t="str">
        <f t="shared" si="10"/>
        <v/>
      </c>
      <c r="J52" s="69" t="str">
        <f t="shared" si="6"/>
        <v/>
      </c>
      <c r="K52" s="69">
        <f t="shared" si="7"/>
        <v>0</v>
      </c>
      <c r="L52" s="234" t="str">
        <f t="shared" si="8"/>
        <v/>
      </c>
      <c r="M52" s="26"/>
      <c r="N52" s="282"/>
      <c r="O52" s="71">
        <f t="shared" si="11"/>
        <v>0</v>
      </c>
      <c r="P52" s="74"/>
    </row>
    <row r="53" spans="2:16" x14ac:dyDescent="0.2">
      <c r="B53" s="61" t="str">
        <f t="shared" si="9"/>
        <v/>
      </c>
      <c r="C53" s="49">
        <v>44</v>
      </c>
      <c r="D53" s="72"/>
      <c r="E53" s="73">
        <f t="shared" si="4"/>
        <v>0</v>
      </c>
      <c r="F53" s="66"/>
      <c r="G53" s="1" t="str">
        <f t="shared" si="5"/>
        <v/>
      </c>
      <c r="H53" s="25" t="str">
        <f t="shared" si="12"/>
        <v/>
      </c>
      <c r="I53" s="42" t="str">
        <f t="shared" si="10"/>
        <v/>
      </c>
      <c r="J53" s="69" t="str">
        <f t="shared" si="6"/>
        <v/>
      </c>
      <c r="K53" s="69">
        <f t="shared" si="7"/>
        <v>0</v>
      </c>
      <c r="L53" s="234" t="str">
        <f t="shared" si="8"/>
        <v/>
      </c>
      <c r="M53" s="26"/>
      <c r="N53" s="282"/>
      <c r="O53" s="71">
        <f t="shared" si="11"/>
        <v>0</v>
      </c>
      <c r="P53" s="74"/>
    </row>
    <row r="54" spans="2:16" x14ac:dyDescent="0.2">
      <c r="B54" s="61" t="str">
        <f t="shared" si="9"/>
        <v/>
      </c>
      <c r="C54" s="49">
        <v>45</v>
      </c>
      <c r="D54" s="72"/>
      <c r="E54" s="73">
        <f t="shared" si="4"/>
        <v>0</v>
      </c>
      <c r="F54" s="66"/>
      <c r="G54" s="1" t="str">
        <f t="shared" si="5"/>
        <v/>
      </c>
      <c r="H54" s="25" t="str">
        <f t="shared" si="12"/>
        <v/>
      </c>
      <c r="I54" s="42" t="str">
        <f t="shared" si="10"/>
        <v/>
      </c>
      <c r="J54" s="69" t="str">
        <f t="shared" si="6"/>
        <v/>
      </c>
      <c r="K54" s="69">
        <f t="shared" si="7"/>
        <v>0</v>
      </c>
      <c r="L54" s="234" t="str">
        <f t="shared" si="8"/>
        <v/>
      </c>
      <c r="M54" s="26"/>
      <c r="N54" s="282"/>
      <c r="O54" s="71">
        <f t="shared" si="11"/>
        <v>0</v>
      </c>
      <c r="P54" s="74"/>
    </row>
    <row r="55" spans="2:16" x14ac:dyDescent="0.2">
      <c r="B55" s="61" t="str">
        <f t="shared" si="9"/>
        <v/>
      </c>
      <c r="C55" s="49">
        <v>46</v>
      </c>
      <c r="D55" s="72"/>
      <c r="E55" s="73">
        <f t="shared" si="4"/>
        <v>0</v>
      </c>
      <c r="F55" s="66"/>
      <c r="G55" s="1" t="str">
        <f t="shared" si="5"/>
        <v/>
      </c>
      <c r="H55" s="25" t="str">
        <f t="shared" si="12"/>
        <v/>
      </c>
      <c r="I55" s="42" t="str">
        <f t="shared" si="10"/>
        <v/>
      </c>
      <c r="J55" s="69" t="str">
        <f t="shared" si="6"/>
        <v/>
      </c>
      <c r="K55" s="69">
        <f t="shared" si="7"/>
        <v>0</v>
      </c>
      <c r="L55" s="234" t="str">
        <f t="shared" si="8"/>
        <v/>
      </c>
      <c r="M55" s="26"/>
      <c r="N55" s="282"/>
      <c r="O55" s="71">
        <f t="shared" si="11"/>
        <v>0</v>
      </c>
      <c r="P55" s="74"/>
    </row>
    <row r="56" spans="2:16" x14ac:dyDescent="0.2">
      <c r="B56" s="61" t="str">
        <f t="shared" si="9"/>
        <v/>
      </c>
      <c r="C56" s="49">
        <v>47</v>
      </c>
      <c r="D56" s="72"/>
      <c r="E56" s="73">
        <f t="shared" si="4"/>
        <v>0</v>
      </c>
      <c r="F56" s="66"/>
      <c r="G56" s="1" t="str">
        <f t="shared" si="5"/>
        <v/>
      </c>
      <c r="H56" s="25" t="str">
        <f t="shared" si="12"/>
        <v/>
      </c>
      <c r="I56" s="42" t="str">
        <f t="shared" si="10"/>
        <v/>
      </c>
      <c r="J56" s="69" t="str">
        <f t="shared" si="6"/>
        <v/>
      </c>
      <c r="K56" s="69">
        <f t="shared" si="7"/>
        <v>0</v>
      </c>
      <c r="L56" s="234" t="str">
        <f t="shared" si="8"/>
        <v/>
      </c>
      <c r="M56" s="26"/>
      <c r="N56" s="282"/>
      <c r="O56" s="71">
        <f t="shared" si="11"/>
        <v>0</v>
      </c>
      <c r="P56" s="74"/>
    </row>
    <row r="57" spans="2:16" x14ac:dyDescent="0.2">
      <c r="B57" s="61" t="str">
        <f t="shared" si="9"/>
        <v/>
      </c>
      <c r="C57" s="49">
        <v>48</v>
      </c>
      <c r="D57" s="72"/>
      <c r="E57" s="73">
        <f t="shared" si="4"/>
        <v>0</v>
      </c>
      <c r="F57" s="66"/>
      <c r="G57" s="1" t="str">
        <f t="shared" si="5"/>
        <v/>
      </c>
      <c r="H57" s="25" t="str">
        <f t="shared" si="12"/>
        <v/>
      </c>
      <c r="I57" s="42" t="str">
        <f t="shared" si="10"/>
        <v/>
      </c>
      <c r="J57" s="69" t="str">
        <f t="shared" si="6"/>
        <v/>
      </c>
      <c r="K57" s="69">
        <f t="shared" si="7"/>
        <v>0</v>
      </c>
      <c r="L57" s="234" t="str">
        <f t="shared" si="8"/>
        <v/>
      </c>
      <c r="M57" s="26"/>
      <c r="N57" s="282"/>
      <c r="O57" s="71">
        <f t="shared" si="11"/>
        <v>0</v>
      </c>
      <c r="P57" s="74"/>
    </row>
    <row r="58" spans="2:16" x14ac:dyDescent="0.2">
      <c r="B58" s="61" t="str">
        <f t="shared" si="9"/>
        <v/>
      </c>
      <c r="C58" s="49">
        <v>49</v>
      </c>
      <c r="D58" s="72"/>
      <c r="E58" s="73">
        <f t="shared" si="4"/>
        <v>0</v>
      </c>
      <c r="F58" s="66"/>
      <c r="G58" s="1" t="str">
        <f t="shared" si="5"/>
        <v/>
      </c>
      <c r="H58" s="25" t="str">
        <f t="shared" si="12"/>
        <v/>
      </c>
      <c r="I58" s="42" t="str">
        <f t="shared" si="10"/>
        <v/>
      </c>
      <c r="J58" s="69" t="str">
        <f t="shared" si="6"/>
        <v/>
      </c>
      <c r="K58" s="69">
        <f t="shared" si="7"/>
        <v>0</v>
      </c>
      <c r="L58" s="234" t="str">
        <f t="shared" si="8"/>
        <v/>
      </c>
      <c r="M58" s="26"/>
      <c r="N58" s="282"/>
      <c r="O58" s="71">
        <f t="shared" si="11"/>
        <v>0</v>
      </c>
      <c r="P58" s="74"/>
    </row>
    <row r="59" spans="2:16" x14ac:dyDescent="0.2">
      <c r="B59" s="61" t="str">
        <f t="shared" si="9"/>
        <v/>
      </c>
      <c r="C59" s="49">
        <v>50</v>
      </c>
      <c r="D59" s="72"/>
      <c r="E59" s="73">
        <f t="shared" si="4"/>
        <v>0</v>
      </c>
      <c r="F59" s="66"/>
      <c r="G59" s="1" t="str">
        <f t="shared" si="5"/>
        <v/>
      </c>
      <c r="H59" s="25" t="str">
        <f t="shared" si="12"/>
        <v/>
      </c>
      <c r="I59" s="42" t="str">
        <f t="shared" si="10"/>
        <v/>
      </c>
      <c r="J59" s="69" t="str">
        <f t="shared" si="6"/>
        <v/>
      </c>
      <c r="K59" s="69">
        <f t="shared" si="7"/>
        <v>0</v>
      </c>
      <c r="L59" s="234" t="str">
        <f t="shared" si="8"/>
        <v/>
      </c>
      <c r="M59" s="26"/>
      <c r="N59" s="282"/>
      <c r="O59" s="71">
        <f t="shared" si="11"/>
        <v>0</v>
      </c>
      <c r="P59" s="74"/>
    </row>
    <row r="60" spans="2:16" x14ac:dyDescent="0.2">
      <c r="B60" s="61" t="str">
        <f t="shared" si="9"/>
        <v/>
      </c>
      <c r="C60" s="49">
        <v>51</v>
      </c>
      <c r="D60" s="72"/>
      <c r="E60" s="73">
        <f t="shared" si="4"/>
        <v>0</v>
      </c>
      <c r="F60" s="66"/>
      <c r="G60" s="1" t="str">
        <f t="shared" si="5"/>
        <v/>
      </c>
      <c r="H60" s="25" t="str">
        <f t="shared" si="12"/>
        <v/>
      </c>
      <c r="I60" s="42" t="str">
        <f t="shared" si="10"/>
        <v/>
      </c>
      <c r="J60" s="69" t="str">
        <f t="shared" si="6"/>
        <v/>
      </c>
      <c r="K60" s="69">
        <f t="shared" si="7"/>
        <v>0</v>
      </c>
      <c r="L60" s="234" t="str">
        <f t="shared" si="8"/>
        <v/>
      </c>
      <c r="M60" s="26"/>
      <c r="N60" s="282"/>
      <c r="O60" s="71">
        <f t="shared" si="11"/>
        <v>0</v>
      </c>
      <c r="P60" s="74"/>
    </row>
    <row r="61" spans="2:16" x14ac:dyDescent="0.2">
      <c r="B61" s="61" t="str">
        <f t="shared" si="9"/>
        <v/>
      </c>
      <c r="C61" s="49">
        <v>52</v>
      </c>
      <c r="D61" s="72"/>
      <c r="E61" s="73">
        <f t="shared" si="4"/>
        <v>0</v>
      </c>
      <c r="F61" s="66"/>
      <c r="G61" s="1" t="str">
        <f t="shared" si="5"/>
        <v/>
      </c>
      <c r="H61" s="25" t="str">
        <f t="shared" si="12"/>
        <v/>
      </c>
      <c r="I61" s="42" t="str">
        <f t="shared" si="10"/>
        <v/>
      </c>
      <c r="J61" s="69" t="str">
        <f t="shared" si="6"/>
        <v/>
      </c>
      <c r="K61" s="69">
        <f t="shared" si="7"/>
        <v>0</v>
      </c>
      <c r="L61" s="234" t="str">
        <f t="shared" si="8"/>
        <v/>
      </c>
      <c r="M61" s="26"/>
      <c r="N61" s="282"/>
      <c r="O61" s="71">
        <f t="shared" si="11"/>
        <v>0</v>
      </c>
      <c r="P61" s="74"/>
    </row>
    <row r="62" spans="2:16" x14ac:dyDescent="0.2">
      <c r="B62" s="61" t="str">
        <f t="shared" si="9"/>
        <v/>
      </c>
      <c r="C62" s="49">
        <v>53</v>
      </c>
      <c r="D62" s="72"/>
      <c r="E62" s="73">
        <f t="shared" si="4"/>
        <v>0</v>
      </c>
      <c r="F62" s="66"/>
      <c r="G62" s="1" t="str">
        <f t="shared" si="5"/>
        <v/>
      </c>
      <c r="H62" s="25" t="str">
        <f t="shared" si="12"/>
        <v/>
      </c>
      <c r="I62" s="42" t="str">
        <f t="shared" si="10"/>
        <v/>
      </c>
      <c r="J62" s="69" t="str">
        <f t="shared" si="6"/>
        <v/>
      </c>
      <c r="K62" s="69">
        <f t="shared" si="7"/>
        <v>0</v>
      </c>
      <c r="L62" s="234" t="str">
        <f t="shared" si="8"/>
        <v/>
      </c>
      <c r="M62" s="26"/>
      <c r="N62" s="282"/>
      <c r="O62" s="71">
        <f t="shared" si="11"/>
        <v>0</v>
      </c>
      <c r="P62" s="74"/>
    </row>
    <row r="63" spans="2:16" x14ac:dyDescent="0.2">
      <c r="B63" s="61" t="str">
        <f t="shared" si="9"/>
        <v/>
      </c>
      <c r="C63" s="49">
        <v>54</v>
      </c>
      <c r="D63" s="72"/>
      <c r="E63" s="73">
        <f t="shared" si="4"/>
        <v>0</v>
      </c>
      <c r="F63" s="66"/>
      <c r="G63" s="1" t="str">
        <f t="shared" si="5"/>
        <v/>
      </c>
      <c r="H63" s="25" t="str">
        <f t="shared" si="12"/>
        <v/>
      </c>
      <c r="I63" s="42" t="str">
        <f t="shared" si="10"/>
        <v/>
      </c>
      <c r="J63" s="69" t="str">
        <f t="shared" si="6"/>
        <v/>
      </c>
      <c r="K63" s="69">
        <f t="shared" si="7"/>
        <v>0</v>
      </c>
      <c r="L63" s="234" t="str">
        <f t="shared" si="8"/>
        <v/>
      </c>
      <c r="M63" s="26"/>
      <c r="N63" s="282"/>
      <c r="O63" s="71">
        <f t="shared" si="11"/>
        <v>0</v>
      </c>
      <c r="P63" s="74"/>
    </row>
    <row r="64" spans="2:16" x14ac:dyDescent="0.2">
      <c r="B64" s="61" t="str">
        <f t="shared" si="9"/>
        <v/>
      </c>
      <c r="C64" s="49">
        <v>55</v>
      </c>
      <c r="D64" s="72"/>
      <c r="E64" s="73">
        <f t="shared" si="4"/>
        <v>0</v>
      </c>
      <c r="F64" s="66"/>
      <c r="G64" s="1" t="str">
        <f t="shared" si="5"/>
        <v/>
      </c>
      <c r="H64" s="25" t="str">
        <f t="shared" si="12"/>
        <v/>
      </c>
      <c r="I64" s="42" t="str">
        <f t="shared" si="10"/>
        <v/>
      </c>
      <c r="J64" s="69" t="str">
        <f t="shared" si="6"/>
        <v/>
      </c>
      <c r="K64" s="69">
        <f t="shared" si="7"/>
        <v>0</v>
      </c>
      <c r="L64" s="234" t="str">
        <f t="shared" si="8"/>
        <v/>
      </c>
      <c r="M64" s="26"/>
      <c r="N64" s="282"/>
      <c r="O64" s="71">
        <f t="shared" si="11"/>
        <v>0</v>
      </c>
      <c r="P64" s="74"/>
    </row>
    <row r="65" spans="2:16" x14ac:dyDescent="0.2">
      <c r="B65" s="61" t="str">
        <f t="shared" si="9"/>
        <v/>
      </c>
      <c r="C65" s="49">
        <v>56</v>
      </c>
      <c r="D65" s="72"/>
      <c r="E65" s="73">
        <f t="shared" si="4"/>
        <v>0</v>
      </c>
      <c r="F65" s="66"/>
      <c r="G65" s="1" t="str">
        <f t="shared" si="5"/>
        <v/>
      </c>
      <c r="H65" s="25" t="str">
        <f t="shared" si="12"/>
        <v/>
      </c>
      <c r="I65" s="42" t="str">
        <f t="shared" si="10"/>
        <v/>
      </c>
      <c r="J65" s="69" t="str">
        <f t="shared" si="6"/>
        <v/>
      </c>
      <c r="K65" s="69">
        <f t="shared" si="7"/>
        <v>0</v>
      </c>
      <c r="L65" s="234" t="str">
        <f t="shared" si="8"/>
        <v/>
      </c>
      <c r="M65" s="26"/>
      <c r="N65" s="282"/>
      <c r="O65" s="71">
        <f t="shared" si="11"/>
        <v>0</v>
      </c>
      <c r="P65" s="74"/>
    </row>
    <row r="66" spans="2:16" x14ac:dyDescent="0.2">
      <c r="B66" s="61" t="str">
        <f t="shared" si="9"/>
        <v/>
      </c>
      <c r="C66" s="49">
        <v>57</v>
      </c>
      <c r="D66" s="72"/>
      <c r="E66" s="73">
        <f t="shared" si="4"/>
        <v>0</v>
      </c>
      <c r="F66" s="66"/>
      <c r="G66" s="1" t="str">
        <f t="shared" si="5"/>
        <v/>
      </c>
      <c r="H66" s="25" t="str">
        <f t="shared" si="12"/>
        <v/>
      </c>
      <c r="I66" s="42" t="str">
        <f t="shared" si="10"/>
        <v/>
      </c>
      <c r="J66" s="69" t="str">
        <f t="shared" si="6"/>
        <v/>
      </c>
      <c r="K66" s="69">
        <f t="shared" si="7"/>
        <v>0</v>
      </c>
      <c r="L66" s="234" t="str">
        <f t="shared" si="8"/>
        <v/>
      </c>
      <c r="M66" s="26"/>
      <c r="N66" s="282"/>
      <c r="O66" s="71">
        <f t="shared" si="11"/>
        <v>0</v>
      </c>
      <c r="P66" s="74"/>
    </row>
    <row r="67" spans="2:16" x14ac:dyDescent="0.2">
      <c r="B67" s="61" t="str">
        <f t="shared" si="9"/>
        <v/>
      </c>
      <c r="C67" s="49">
        <v>58</v>
      </c>
      <c r="D67" s="72"/>
      <c r="E67" s="73">
        <f t="shared" si="4"/>
        <v>0</v>
      </c>
      <c r="F67" s="66"/>
      <c r="G67" s="1" t="str">
        <f t="shared" si="5"/>
        <v/>
      </c>
      <c r="H67" s="25" t="str">
        <f t="shared" si="12"/>
        <v/>
      </c>
      <c r="I67" s="42" t="str">
        <f t="shared" si="10"/>
        <v/>
      </c>
      <c r="J67" s="69" t="str">
        <f t="shared" si="6"/>
        <v/>
      </c>
      <c r="K67" s="69">
        <f t="shared" si="7"/>
        <v>0</v>
      </c>
      <c r="L67" s="234" t="str">
        <f t="shared" si="8"/>
        <v/>
      </c>
      <c r="M67" s="26"/>
      <c r="N67" s="282"/>
      <c r="O67" s="71">
        <f t="shared" si="11"/>
        <v>0</v>
      </c>
      <c r="P67" s="74"/>
    </row>
    <row r="68" spans="2:16" x14ac:dyDescent="0.2">
      <c r="B68" s="61" t="str">
        <f t="shared" si="9"/>
        <v/>
      </c>
      <c r="C68" s="49">
        <v>59</v>
      </c>
      <c r="D68" s="72"/>
      <c r="E68" s="73">
        <f t="shared" si="4"/>
        <v>0</v>
      </c>
      <c r="F68" s="66"/>
      <c r="G68" s="1" t="str">
        <f t="shared" si="5"/>
        <v/>
      </c>
      <c r="H68" s="25" t="str">
        <f t="shared" si="12"/>
        <v/>
      </c>
      <c r="I68" s="42" t="str">
        <f t="shared" si="10"/>
        <v/>
      </c>
      <c r="J68" s="69" t="str">
        <f t="shared" si="6"/>
        <v/>
      </c>
      <c r="K68" s="69">
        <f t="shared" si="7"/>
        <v>0</v>
      </c>
      <c r="L68" s="234" t="str">
        <f t="shared" si="8"/>
        <v/>
      </c>
      <c r="M68" s="26"/>
      <c r="N68" s="282"/>
      <c r="O68" s="71">
        <f t="shared" si="11"/>
        <v>0</v>
      </c>
      <c r="P68" s="74"/>
    </row>
    <row r="69" spans="2:16" x14ac:dyDescent="0.2">
      <c r="B69" s="61" t="str">
        <f t="shared" si="9"/>
        <v/>
      </c>
      <c r="C69" s="49">
        <v>60</v>
      </c>
      <c r="D69" s="72"/>
      <c r="E69" s="73">
        <f t="shared" si="4"/>
        <v>0</v>
      </c>
      <c r="F69" s="66"/>
      <c r="G69" s="1" t="str">
        <f t="shared" si="5"/>
        <v/>
      </c>
      <c r="H69" s="25" t="str">
        <f t="shared" si="12"/>
        <v/>
      </c>
      <c r="I69" s="42" t="str">
        <f t="shared" si="10"/>
        <v/>
      </c>
      <c r="J69" s="69" t="str">
        <f t="shared" si="6"/>
        <v/>
      </c>
      <c r="K69" s="69">
        <f t="shared" si="7"/>
        <v>0</v>
      </c>
      <c r="L69" s="234" t="str">
        <f t="shared" si="8"/>
        <v/>
      </c>
      <c r="M69" s="26"/>
      <c r="N69" s="282"/>
      <c r="O69" s="71">
        <f t="shared" si="11"/>
        <v>0</v>
      </c>
      <c r="P69" s="74"/>
    </row>
    <row r="70" spans="2:16" x14ac:dyDescent="0.2">
      <c r="B70" s="61" t="str">
        <f t="shared" si="9"/>
        <v/>
      </c>
      <c r="C70" s="49">
        <v>61</v>
      </c>
      <c r="D70" s="72"/>
      <c r="E70" s="73">
        <f t="shared" si="4"/>
        <v>0</v>
      </c>
      <c r="F70" s="66"/>
      <c r="G70" s="1" t="str">
        <f t="shared" si="5"/>
        <v/>
      </c>
      <c r="H70" s="25" t="str">
        <f t="shared" si="12"/>
        <v/>
      </c>
      <c r="I70" s="42" t="str">
        <f t="shared" si="10"/>
        <v/>
      </c>
      <c r="J70" s="69" t="str">
        <f t="shared" si="6"/>
        <v/>
      </c>
      <c r="K70" s="69">
        <f t="shared" si="7"/>
        <v>0</v>
      </c>
      <c r="L70" s="234" t="str">
        <f t="shared" si="8"/>
        <v/>
      </c>
      <c r="M70" s="26"/>
      <c r="N70" s="282"/>
      <c r="O70" s="71">
        <f t="shared" si="11"/>
        <v>0</v>
      </c>
      <c r="P70" s="74"/>
    </row>
    <row r="71" spans="2:16" x14ac:dyDescent="0.2">
      <c r="B71" s="61" t="str">
        <f t="shared" si="9"/>
        <v/>
      </c>
      <c r="C71" s="49">
        <v>62</v>
      </c>
      <c r="D71" s="72"/>
      <c r="E71" s="73">
        <f t="shared" si="4"/>
        <v>0</v>
      </c>
      <c r="F71" s="66"/>
      <c r="G71" s="1" t="str">
        <f t="shared" si="5"/>
        <v/>
      </c>
      <c r="H71" s="25" t="str">
        <f t="shared" si="12"/>
        <v/>
      </c>
      <c r="I71" s="42" t="str">
        <f t="shared" si="10"/>
        <v/>
      </c>
      <c r="J71" s="69" t="str">
        <f t="shared" si="6"/>
        <v/>
      </c>
      <c r="K71" s="69">
        <f t="shared" si="7"/>
        <v>0</v>
      </c>
      <c r="L71" s="234" t="str">
        <f t="shared" si="8"/>
        <v/>
      </c>
      <c r="M71" s="26"/>
      <c r="N71" s="282"/>
      <c r="O71" s="71">
        <f t="shared" si="11"/>
        <v>0</v>
      </c>
      <c r="P71" s="74"/>
    </row>
    <row r="72" spans="2:16" x14ac:dyDescent="0.2">
      <c r="B72" s="61" t="str">
        <f t="shared" si="9"/>
        <v/>
      </c>
      <c r="C72" s="49">
        <v>63</v>
      </c>
      <c r="D72" s="72"/>
      <c r="E72" s="73">
        <f t="shared" si="4"/>
        <v>0</v>
      </c>
      <c r="F72" s="66"/>
      <c r="G72" s="1" t="str">
        <f t="shared" si="5"/>
        <v/>
      </c>
      <c r="H72" s="25" t="str">
        <f t="shared" si="12"/>
        <v/>
      </c>
      <c r="I72" s="42" t="str">
        <f t="shared" si="10"/>
        <v/>
      </c>
      <c r="J72" s="69" t="str">
        <f t="shared" si="6"/>
        <v/>
      </c>
      <c r="K72" s="69">
        <f t="shared" si="7"/>
        <v>0</v>
      </c>
      <c r="L72" s="234" t="str">
        <f t="shared" si="8"/>
        <v/>
      </c>
      <c r="M72" s="26"/>
      <c r="N72" s="282"/>
      <c r="O72" s="71">
        <f t="shared" si="11"/>
        <v>0</v>
      </c>
      <c r="P72" s="74"/>
    </row>
    <row r="73" spans="2:16" x14ac:dyDescent="0.2">
      <c r="B73" s="61" t="str">
        <f t="shared" si="9"/>
        <v/>
      </c>
      <c r="C73" s="49">
        <v>64</v>
      </c>
      <c r="D73" s="72"/>
      <c r="E73" s="73">
        <f t="shared" si="4"/>
        <v>0</v>
      </c>
      <c r="F73" s="66"/>
      <c r="G73" s="1" t="str">
        <f t="shared" si="5"/>
        <v/>
      </c>
      <c r="H73" s="25" t="str">
        <f t="shared" si="12"/>
        <v/>
      </c>
      <c r="I73" s="42" t="str">
        <f t="shared" si="10"/>
        <v/>
      </c>
      <c r="J73" s="69" t="str">
        <f t="shared" si="6"/>
        <v/>
      </c>
      <c r="K73" s="69">
        <f t="shared" si="7"/>
        <v>0</v>
      </c>
      <c r="L73" s="234" t="str">
        <f t="shared" si="8"/>
        <v/>
      </c>
      <c r="M73" s="26"/>
      <c r="N73" s="282"/>
      <c r="O73" s="71">
        <f t="shared" si="11"/>
        <v>0</v>
      </c>
      <c r="P73" s="74"/>
    </row>
    <row r="74" spans="2:16" x14ac:dyDescent="0.2">
      <c r="B74" s="61" t="str">
        <f t="shared" ref="B74:B105" si="13">IF(D74&lt;&gt;"",1,"")</f>
        <v/>
      </c>
      <c r="C74" s="49">
        <v>65</v>
      </c>
      <c r="D74" s="72"/>
      <c r="E74" s="73">
        <f t="shared" si="4"/>
        <v>0</v>
      </c>
      <c r="F74" s="66"/>
      <c r="G74" s="1" t="str">
        <f t="shared" si="5"/>
        <v/>
      </c>
      <c r="H74" s="25" t="str">
        <f t="shared" ref="H74:H105" si="14">IF($D74&lt;&gt;"",$H$9,"")</f>
        <v/>
      </c>
      <c r="I74" s="42" t="str">
        <f t="shared" ref="I74:I105" si="15">IF($D74&lt;&gt;"",$I$9,"")</f>
        <v/>
      </c>
      <c r="J74" s="69" t="str">
        <f t="shared" si="6"/>
        <v/>
      </c>
      <c r="K74" s="69">
        <f t="shared" si="7"/>
        <v>0</v>
      </c>
      <c r="L74" s="234" t="str">
        <f t="shared" si="8"/>
        <v/>
      </c>
      <c r="M74" s="26"/>
      <c r="N74" s="282"/>
      <c r="O74" s="71">
        <f t="shared" ref="O74:O105" si="16">F74/10</f>
        <v>0</v>
      </c>
      <c r="P74" s="74"/>
    </row>
    <row r="75" spans="2:16" x14ac:dyDescent="0.2">
      <c r="B75" s="61" t="str">
        <f t="shared" si="13"/>
        <v/>
      </c>
      <c r="C75" s="49">
        <v>66</v>
      </c>
      <c r="D75" s="72"/>
      <c r="E75" s="73">
        <f t="shared" ref="E75:E189" si="17">N75+O75/2+P75</f>
        <v>0</v>
      </c>
      <c r="F75" s="66"/>
      <c r="G75" s="1" t="str">
        <f t="shared" ref="G75:G138" si="18">IF($D75&lt;&gt;"",IF($G$9&lt;&gt;"",$G$9,"SELECIONAR TIPO"),"")</f>
        <v/>
      </c>
      <c r="H75" s="25" t="str">
        <f t="shared" si="14"/>
        <v/>
      </c>
      <c r="I75" s="42" t="str">
        <f t="shared" si="15"/>
        <v/>
      </c>
      <c r="J75" s="69" t="str">
        <f t="shared" ref="J75:J138" si="19">IF(OR(K75="",K75=0),"",(K75*IF(G75="EPS",1.144,IF(G75="PIR",1.12,IF(G75="PUR",1.12,0)))*(E75/100)))</f>
        <v/>
      </c>
      <c r="K75" s="69">
        <f t="shared" ref="K75:K138" si="20">IF(D75="",0,CEILING(ROUNDUP(IF(G75&lt;&gt;"",D75/IF(G75="EPS",114.4,IF(G75="PIR",112,IF(G75="PUR",112))),""),1),0.5))</f>
        <v>0</v>
      </c>
      <c r="L75" s="234" t="str">
        <f t="shared" ref="L75:L138" si="21">IF(D75&lt;&gt;"",G75&amp;" "&amp;F75&amp;"mm - ("&amp;IF(H75&lt;&gt;"",H75,"FACE")&amp;" / "&amp;IF(I75&lt;&gt;"",I75,"FACE")&amp;")","")</f>
        <v/>
      </c>
      <c r="M75" s="26"/>
      <c r="N75" s="282"/>
      <c r="O75" s="71">
        <f t="shared" si="16"/>
        <v>0</v>
      </c>
      <c r="P75" s="74"/>
    </row>
    <row r="76" spans="2:16" x14ac:dyDescent="0.2">
      <c r="B76" s="61" t="str">
        <f t="shared" si="13"/>
        <v/>
      </c>
      <c r="C76" s="49">
        <v>67</v>
      </c>
      <c r="D76" s="72"/>
      <c r="E76" s="73">
        <f t="shared" si="17"/>
        <v>0</v>
      </c>
      <c r="F76" s="66"/>
      <c r="G76" s="1" t="str">
        <f t="shared" si="18"/>
        <v/>
      </c>
      <c r="H76" s="25" t="str">
        <f t="shared" si="14"/>
        <v/>
      </c>
      <c r="I76" s="42" t="str">
        <f t="shared" si="15"/>
        <v/>
      </c>
      <c r="J76" s="69" t="str">
        <f t="shared" si="19"/>
        <v/>
      </c>
      <c r="K76" s="69">
        <f t="shared" si="20"/>
        <v>0</v>
      </c>
      <c r="L76" s="234" t="str">
        <f t="shared" si="21"/>
        <v/>
      </c>
      <c r="M76" s="26"/>
      <c r="N76" s="282"/>
      <c r="O76" s="71">
        <f t="shared" si="16"/>
        <v>0</v>
      </c>
      <c r="P76" s="74"/>
    </row>
    <row r="77" spans="2:16" x14ac:dyDescent="0.2">
      <c r="B77" s="61" t="str">
        <f t="shared" si="13"/>
        <v/>
      </c>
      <c r="C77" s="49">
        <v>68</v>
      </c>
      <c r="D77" s="72"/>
      <c r="E77" s="73">
        <f t="shared" si="17"/>
        <v>0</v>
      </c>
      <c r="F77" s="66"/>
      <c r="G77" s="1" t="str">
        <f t="shared" si="18"/>
        <v/>
      </c>
      <c r="H77" s="25" t="str">
        <f t="shared" si="14"/>
        <v/>
      </c>
      <c r="I77" s="42" t="str">
        <f t="shared" si="15"/>
        <v/>
      </c>
      <c r="J77" s="69" t="str">
        <f t="shared" si="19"/>
        <v/>
      </c>
      <c r="K77" s="69">
        <f t="shared" si="20"/>
        <v>0</v>
      </c>
      <c r="L77" s="234" t="str">
        <f t="shared" si="21"/>
        <v/>
      </c>
      <c r="M77" s="26"/>
      <c r="N77" s="282"/>
      <c r="O77" s="71">
        <f t="shared" si="16"/>
        <v>0</v>
      </c>
      <c r="P77" s="74"/>
    </row>
    <row r="78" spans="2:16" x14ac:dyDescent="0.2">
      <c r="B78" s="61" t="str">
        <f t="shared" si="13"/>
        <v/>
      </c>
      <c r="C78" s="49">
        <v>69</v>
      </c>
      <c r="D78" s="72"/>
      <c r="E78" s="73">
        <f t="shared" si="17"/>
        <v>0</v>
      </c>
      <c r="F78" s="66"/>
      <c r="G78" s="1" t="str">
        <f t="shared" si="18"/>
        <v/>
      </c>
      <c r="H78" s="25" t="str">
        <f t="shared" si="14"/>
        <v/>
      </c>
      <c r="I78" s="42" t="str">
        <f t="shared" si="15"/>
        <v/>
      </c>
      <c r="J78" s="69" t="str">
        <f t="shared" si="19"/>
        <v/>
      </c>
      <c r="K78" s="69">
        <f t="shared" si="20"/>
        <v>0</v>
      </c>
      <c r="L78" s="234" t="str">
        <f t="shared" si="21"/>
        <v/>
      </c>
      <c r="M78" s="26"/>
      <c r="N78" s="282"/>
      <c r="O78" s="71">
        <f t="shared" si="16"/>
        <v>0</v>
      </c>
      <c r="P78" s="74"/>
    </row>
    <row r="79" spans="2:16" x14ac:dyDescent="0.2">
      <c r="B79" s="61" t="str">
        <f t="shared" si="13"/>
        <v/>
      </c>
      <c r="C79" s="49">
        <v>70</v>
      </c>
      <c r="D79" s="72"/>
      <c r="E79" s="73">
        <f t="shared" si="17"/>
        <v>0</v>
      </c>
      <c r="F79" s="66"/>
      <c r="G79" s="1" t="str">
        <f t="shared" si="18"/>
        <v/>
      </c>
      <c r="H79" s="25" t="str">
        <f t="shared" si="14"/>
        <v/>
      </c>
      <c r="I79" s="42" t="str">
        <f t="shared" si="15"/>
        <v/>
      </c>
      <c r="J79" s="69" t="str">
        <f t="shared" si="19"/>
        <v/>
      </c>
      <c r="K79" s="69">
        <f t="shared" si="20"/>
        <v>0</v>
      </c>
      <c r="L79" s="234" t="str">
        <f t="shared" si="21"/>
        <v/>
      </c>
      <c r="M79" s="26"/>
      <c r="N79" s="282"/>
      <c r="O79" s="71">
        <f t="shared" si="16"/>
        <v>0</v>
      </c>
      <c r="P79" s="74"/>
    </row>
    <row r="80" spans="2:16" x14ac:dyDescent="0.2">
      <c r="B80" s="61" t="str">
        <f t="shared" si="13"/>
        <v/>
      </c>
      <c r="C80" s="49">
        <v>71</v>
      </c>
      <c r="D80" s="72"/>
      <c r="E80" s="73">
        <f t="shared" si="17"/>
        <v>0</v>
      </c>
      <c r="F80" s="66"/>
      <c r="G80" s="1" t="str">
        <f t="shared" si="18"/>
        <v/>
      </c>
      <c r="H80" s="25" t="str">
        <f t="shared" si="14"/>
        <v/>
      </c>
      <c r="I80" s="42" t="str">
        <f t="shared" si="15"/>
        <v/>
      </c>
      <c r="J80" s="69" t="str">
        <f t="shared" si="19"/>
        <v/>
      </c>
      <c r="K80" s="69">
        <f t="shared" si="20"/>
        <v>0</v>
      </c>
      <c r="L80" s="234" t="str">
        <f t="shared" si="21"/>
        <v/>
      </c>
      <c r="M80" s="26"/>
      <c r="N80" s="282"/>
      <c r="O80" s="71">
        <f t="shared" si="16"/>
        <v>0</v>
      </c>
      <c r="P80" s="74"/>
    </row>
    <row r="81" spans="2:16" x14ac:dyDescent="0.2">
      <c r="B81" s="61" t="str">
        <f t="shared" si="13"/>
        <v/>
      </c>
      <c r="C81" s="49">
        <v>72</v>
      </c>
      <c r="D81" s="72"/>
      <c r="E81" s="73">
        <f t="shared" si="17"/>
        <v>0</v>
      </c>
      <c r="F81" s="66"/>
      <c r="G81" s="1" t="str">
        <f t="shared" si="18"/>
        <v/>
      </c>
      <c r="H81" s="25" t="str">
        <f t="shared" si="14"/>
        <v/>
      </c>
      <c r="I81" s="42" t="str">
        <f t="shared" si="15"/>
        <v/>
      </c>
      <c r="J81" s="69" t="str">
        <f t="shared" si="19"/>
        <v/>
      </c>
      <c r="K81" s="69">
        <f t="shared" si="20"/>
        <v>0</v>
      </c>
      <c r="L81" s="234" t="str">
        <f t="shared" si="21"/>
        <v/>
      </c>
      <c r="M81" s="26"/>
      <c r="N81" s="282"/>
      <c r="O81" s="71">
        <f t="shared" si="16"/>
        <v>0</v>
      </c>
      <c r="P81" s="74"/>
    </row>
    <row r="82" spans="2:16" x14ac:dyDescent="0.2">
      <c r="B82" s="61" t="str">
        <f t="shared" si="13"/>
        <v/>
      </c>
      <c r="C82" s="49">
        <v>73</v>
      </c>
      <c r="D82" s="72"/>
      <c r="E82" s="73">
        <f t="shared" si="17"/>
        <v>0</v>
      </c>
      <c r="F82" s="66"/>
      <c r="G82" s="1" t="str">
        <f t="shared" si="18"/>
        <v/>
      </c>
      <c r="H82" s="25" t="str">
        <f t="shared" si="14"/>
        <v/>
      </c>
      <c r="I82" s="42" t="str">
        <f t="shared" si="15"/>
        <v/>
      </c>
      <c r="J82" s="69" t="str">
        <f t="shared" si="19"/>
        <v/>
      </c>
      <c r="K82" s="69">
        <f t="shared" si="20"/>
        <v>0</v>
      </c>
      <c r="L82" s="234" t="str">
        <f t="shared" si="21"/>
        <v/>
      </c>
      <c r="M82" s="26"/>
      <c r="N82" s="282"/>
      <c r="O82" s="71">
        <f t="shared" si="16"/>
        <v>0</v>
      </c>
      <c r="P82" s="74"/>
    </row>
    <row r="83" spans="2:16" x14ac:dyDescent="0.2">
      <c r="B83" s="61" t="str">
        <f t="shared" si="13"/>
        <v/>
      </c>
      <c r="C83" s="49">
        <v>74</v>
      </c>
      <c r="D83" s="72"/>
      <c r="E83" s="73">
        <f t="shared" si="17"/>
        <v>0</v>
      </c>
      <c r="F83" s="66"/>
      <c r="G83" s="1" t="str">
        <f t="shared" si="18"/>
        <v/>
      </c>
      <c r="H83" s="25" t="str">
        <f t="shared" si="14"/>
        <v/>
      </c>
      <c r="I83" s="42" t="str">
        <f t="shared" si="15"/>
        <v/>
      </c>
      <c r="J83" s="69" t="str">
        <f t="shared" si="19"/>
        <v/>
      </c>
      <c r="K83" s="69">
        <f t="shared" si="20"/>
        <v>0</v>
      </c>
      <c r="L83" s="234" t="str">
        <f t="shared" si="21"/>
        <v/>
      </c>
      <c r="M83" s="26"/>
      <c r="N83" s="282"/>
      <c r="O83" s="71">
        <f t="shared" si="16"/>
        <v>0</v>
      </c>
      <c r="P83" s="74"/>
    </row>
    <row r="84" spans="2:16" x14ac:dyDescent="0.2">
      <c r="B84" s="61" t="str">
        <f t="shared" si="13"/>
        <v/>
      </c>
      <c r="C84" s="49">
        <v>75</v>
      </c>
      <c r="D84" s="72"/>
      <c r="E84" s="73">
        <f t="shared" si="17"/>
        <v>0</v>
      </c>
      <c r="F84" s="66"/>
      <c r="G84" s="1" t="str">
        <f t="shared" si="18"/>
        <v/>
      </c>
      <c r="H84" s="25" t="str">
        <f t="shared" si="14"/>
        <v/>
      </c>
      <c r="I84" s="42" t="str">
        <f t="shared" si="15"/>
        <v/>
      </c>
      <c r="J84" s="69" t="str">
        <f t="shared" si="19"/>
        <v/>
      </c>
      <c r="K84" s="69">
        <f t="shared" si="20"/>
        <v>0</v>
      </c>
      <c r="L84" s="234" t="str">
        <f t="shared" si="21"/>
        <v/>
      </c>
      <c r="M84" s="26"/>
      <c r="N84" s="282"/>
      <c r="O84" s="71">
        <f t="shared" si="16"/>
        <v>0</v>
      </c>
      <c r="P84" s="74"/>
    </row>
    <row r="85" spans="2:16" x14ac:dyDescent="0.2">
      <c r="B85" s="61" t="str">
        <f t="shared" si="13"/>
        <v/>
      </c>
      <c r="C85" s="49">
        <v>76</v>
      </c>
      <c r="D85" s="72"/>
      <c r="E85" s="73">
        <f t="shared" si="17"/>
        <v>0</v>
      </c>
      <c r="F85" s="66"/>
      <c r="G85" s="1" t="str">
        <f t="shared" si="18"/>
        <v/>
      </c>
      <c r="H85" s="25" t="str">
        <f t="shared" si="14"/>
        <v/>
      </c>
      <c r="I85" s="42" t="str">
        <f t="shared" si="15"/>
        <v/>
      </c>
      <c r="J85" s="69" t="str">
        <f t="shared" si="19"/>
        <v/>
      </c>
      <c r="K85" s="69">
        <f t="shared" si="20"/>
        <v>0</v>
      </c>
      <c r="L85" s="234" t="str">
        <f t="shared" si="21"/>
        <v/>
      </c>
      <c r="M85" s="26"/>
      <c r="N85" s="282"/>
      <c r="O85" s="71">
        <f t="shared" si="16"/>
        <v>0</v>
      </c>
      <c r="P85" s="74"/>
    </row>
    <row r="86" spans="2:16" x14ac:dyDescent="0.2">
      <c r="B86" s="61" t="str">
        <f t="shared" si="13"/>
        <v/>
      </c>
      <c r="C86" s="49">
        <v>77</v>
      </c>
      <c r="D86" s="72"/>
      <c r="E86" s="73">
        <f t="shared" si="17"/>
        <v>0</v>
      </c>
      <c r="F86" s="66"/>
      <c r="G86" s="1" t="str">
        <f t="shared" si="18"/>
        <v/>
      </c>
      <c r="H86" s="25" t="str">
        <f t="shared" si="14"/>
        <v/>
      </c>
      <c r="I86" s="42" t="str">
        <f t="shared" si="15"/>
        <v/>
      </c>
      <c r="J86" s="69" t="str">
        <f t="shared" si="19"/>
        <v/>
      </c>
      <c r="K86" s="69">
        <f t="shared" si="20"/>
        <v>0</v>
      </c>
      <c r="L86" s="234" t="str">
        <f t="shared" si="21"/>
        <v/>
      </c>
      <c r="M86" s="26"/>
      <c r="N86" s="282"/>
      <c r="O86" s="71">
        <f t="shared" si="16"/>
        <v>0</v>
      </c>
      <c r="P86" s="74"/>
    </row>
    <row r="87" spans="2:16" x14ac:dyDescent="0.2">
      <c r="B87" s="61" t="str">
        <f t="shared" si="13"/>
        <v/>
      </c>
      <c r="C87" s="49">
        <v>78</v>
      </c>
      <c r="D87" s="72"/>
      <c r="E87" s="73">
        <f t="shared" si="17"/>
        <v>0</v>
      </c>
      <c r="F87" s="66"/>
      <c r="G87" s="1" t="str">
        <f t="shared" si="18"/>
        <v/>
      </c>
      <c r="H87" s="25" t="str">
        <f t="shared" si="14"/>
        <v/>
      </c>
      <c r="I87" s="42" t="str">
        <f t="shared" si="15"/>
        <v/>
      </c>
      <c r="J87" s="69" t="str">
        <f t="shared" si="19"/>
        <v/>
      </c>
      <c r="K87" s="69">
        <f t="shared" si="20"/>
        <v>0</v>
      </c>
      <c r="L87" s="234" t="str">
        <f t="shared" si="21"/>
        <v/>
      </c>
      <c r="M87" s="26"/>
      <c r="N87" s="282"/>
      <c r="O87" s="71">
        <f t="shared" si="16"/>
        <v>0</v>
      </c>
      <c r="P87" s="74"/>
    </row>
    <row r="88" spans="2:16" x14ac:dyDescent="0.2">
      <c r="B88" s="61" t="str">
        <f t="shared" si="13"/>
        <v/>
      </c>
      <c r="C88" s="49">
        <v>79</v>
      </c>
      <c r="D88" s="72"/>
      <c r="E88" s="73">
        <f t="shared" si="17"/>
        <v>0</v>
      </c>
      <c r="F88" s="66"/>
      <c r="G88" s="1" t="str">
        <f t="shared" si="18"/>
        <v/>
      </c>
      <c r="H88" s="25" t="str">
        <f t="shared" si="14"/>
        <v/>
      </c>
      <c r="I88" s="42" t="str">
        <f t="shared" si="15"/>
        <v/>
      </c>
      <c r="J88" s="69" t="str">
        <f t="shared" si="19"/>
        <v/>
      </c>
      <c r="K88" s="69">
        <f t="shared" si="20"/>
        <v>0</v>
      </c>
      <c r="L88" s="234" t="str">
        <f t="shared" si="21"/>
        <v/>
      </c>
      <c r="M88" s="26"/>
      <c r="N88" s="282"/>
      <c r="O88" s="71">
        <f t="shared" si="16"/>
        <v>0</v>
      </c>
      <c r="P88" s="74"/>
    </row>
    <row r="89" spans="2:16" x14ac:dyDescent="0.2">
      <c r="B89" s="61" t="str">
        <f t="shared" si="13"/>
        <v/>
      </c>
      <c r="C89" s="49">
        <v>80</v>
      </c>
      <c r="D89" s="72"/>
      <c r="E89" s="73">
        <f t="shared" si="17"/>
        <v>0</v>
      </c>
      <c r="F89" s="66"/>
      <c r="G89" s="1" t="str">
        <f t="shared" si="18"/>
        <v/>
      </c>
      <c r="H89" s="25" t="str">
        <f t="shared" si="14"/>
        <v/>
      </c>
      <c r="I89" s="42" t="str">
        <f t="shared" si="15"/>
        <v/>
      </c>
      <c r="J89" s="69" t="str">
        <f t="shared" si="19"/>
        <v/>
      </c>
      <c r="K89" s="69">
        <f t="shared" si="20"/>
        <v>0</v>
      </c>
      <c r="L89" s="234" t="str">
        <f t="shared" si="21"/>
        <v/>
      </c>
      <c r="M89" s="26"/>
      <c r="N89" s="282"/>
      <c r="O89" s="71">
        <f t="shared" si="16"/>
        <v>0</v>
      </c>
      <c r="P89" s="74"/>
    </row>
    <row r="90" spans="2:16" x14ac:dyDescent="0.2">
      <c r="B90" s="61" t="str">
        <f t="shared" si="13"/>
        <v/>
      </c>
      <c r="C90" s="49">
        <v>81</v>
      </c>
      <c r="D90" s="72"/>
      <c r="E90" s="73">
        <f t="shared" si="17"/>
        <v>0</v>
      </c>
      <c r="F90" s="66"/>
      <c r="G90" s="1" t="str">
        <f t="shared" si="18"/>
        <v/>
      </c>
      <c r="H90" s="25" t="str">
        <f t="shared" si="14"/>
        <v/>
      </c>
      <c r="I90" s="42" t="str">
        <f t="shared" si="15"/>
        <v/>
      </c>
      <c r="J90" s="69" t="str">
        <f t="shared" si="19"/>
        <v/>
      </c>
      <c r="K90" s="69">
        <f t="shared" si="20"/>
        <v>0</v>
      </c>
      <c r="L90" s="234" t="str">
        <f t="shared" si="21"/>
        <v/>
      </c>
      <c r="M90" s="26"/>
      <c r="N90" s="282"/>
      <c r="O90" s="71">
        <f t="shared" si="16"/>
        <v>0</v>
      </c>
      <c r="P90" s="74"/>
    </row>
    <row r="91" spans="2:16" x14ac:dyDescent="0.2">
      <c r="B91" s="61" t="str">
        <f t="shared" si="13"/>
        <v/>
      </c>
      <c r="C91" s="49">
        <v>82</v>
      </c>
      <c r="D91" s="72"/>
      <c r="E91" s="73">
        <f t="shared" si="17"/>
        <v>0</v>
      </c>
      <c r="F91" s="66"/>
      <c r="G91" s="1" t="str">
        <f t="shared" si="18"/>
        <v/>
      </c>
      <c r="H91" s="25" t="str">
        <f t="shared" si="14"/>
        <v/>
      </c>
      <c r="I91" s="42" t="str">
        <f t="shared" si="15"/>
        <v/>
      </c>
      <c r="J91" s="69" t="str">
        <f t="shared" si="19"/>
        <v/>
      </c>
      <c r="K91" s="69">
        <f t="shared" si="20"/>
        <v>0</v>
      </c>
      <c r="L91" s="234" t="str">
        <f t="shared" si="21"/>
        <v/>
      </c>
      <c r="M91" s="26"/>
      <c r="N91" s="282"/>
      <c r="O91" s="71">
        <f t="shared" si="16"/>
        <v>0</v>
      </c>
      <c r="P91" s="74"/>
    </row>
    <row r="92" spans="2:16" x14ac:dyDescent="0.2">
      <c r="B92" s="61" t="str">
        <f t="shared" si="13"/>
        <v/>
      </c>
      <c r="C92" s="49">
        <v>83</v>
      </c>
      <c r="D92" s="72"/>
      <c r="E92" s="73">
        <f t="shared" si="17"/>
        <v>0</v>
      </c>
      <c r="F92" s="66"/>
      <c r="G92" s="1" t="str">
        <f t="shared" si="18"/>
        <v/>
      </c>
      <c r="H92" s="25" t="str">
        <f t="shared" si="14"/>
        <v/>
      </c>
      <c r="I92" s="42" t="str">
        <f t="shared" si="15"/>
        <v/>
      </c>
      <c r="J92" s="69" t="str">
        <f t="shared" si="19"/>
        <v/>
      </c>
      <c r="K92" s="69">
        <f t="shared" si="20"/>
        <v>0</v>
      </c>
      <c r="L92" s="234" t="str">
        <f t="shared" si="21"/>
        <v/>
      </c>
      <c r="M92" s="26"/>
      <c r="N92" s="282"/>
      <c r="O92" s="71">
        <f t="shared" si="16"/>
        <v>0</v>
      </c>
      <c r="P92" s="74"/>
    </row>
    <row r="93" spans="2:16" x14ac:dyDescent="0.2">
      <c r="B93" s="61" t="str">
        <f t="shared" si="13"/>
        <v/>
      </c>
      <c r="C93" s="49">
        <v>84</v>
      </c>
      <c r="D93" s="72"/>
      <c r="E93" s="73">
        <f t="shared" si="17"/>
        <v>0</v>
      </c>
      <c r="F93" s="66"/>
      <c r="G93" s="1" t="str">
        <f t="shared" si="18"/>
        <v/>
      </c>
      <c r="H93" s="25" t="str">
        <f t="shared" si="14"/>
        <v/>
      </c>
      <c r="I93" s="42" t="str">
        <f t="shared" si="15"/>
        <v/>
      </c>
      <c r="J93" s="69" t="str">
        <f t="shared" si="19"/>
        <v/>
      </c>
      <c r="K93" s="69">
        <f t="shared" si="20"/>
        <v>0</v>
      </c>
      <c r="L93" s="234" t="str">
        <f t="shared" si="21"/>
        <v/>
      </c>
      <c r="M93" s="26"/>
      <c r="N93" s="282"/>
      <c r="O93" s="71">
        <f t="shared" si="16"/>
        <v>0</v>
      </c>
      <c r="P93" s="74"/>
    </row>
    <row r="94" spans="2:16" x14ac:dyDescent="0.2">
      <c r="B94" s="61" t="str">
        <f t="shared" si="13"/>
        <v/>
      </c>
      <c r="C94" s="49">
        <v>85</v>
      </c>
      <c r="D94" s="72"/>
      <c r="E94" s="73">
        <f t="shared" si="17"/>
        <v>0</v>
      </c>
      <c r="F94" s="66"/>
      <c r="G94" s="1" t="str">
        <f t="shared" si="18"/>
        <v/>
      </c>
      <c r="H94" s="25" t="str">
        <f t="shared" si="14"/>
        <v/>
      </c>
      <c r="I94" s="42" t="str">
        <f t="shared" si="15"/>
        <v/>
      </c>
      <c r="J94" s="69" t="str">
        <f t="shared" si="19"/>
        <v/>
      </c>
      <c r="K94" s="69">
        <f t="shared" si="20"/>
        <v>0</v>
      </c>
      <c r="L94" s="234" t="str">
        <f t="shared" si="21"/>
        <v/>
      </c>
      <c r="M94" s="26"/>
      <c r="N94" s="282"/>
      <c r="O94" s="71">
        <f t="shared" si="16"/>
        <v>0</v>
      </c>
      <c r="P94" s="74"/>
    </row>
    <row r="95" spans="2:16" x14ac:dyDescent="0.2">
      <c r="B95" s="61" t="str">
        <f t="shared" si="13"/>
        <v/>
      </c>
      <c r="C95" s="49">
        <v>86</v>
      </c>
      <c r="D95" s="72"/>
      <c r="E95" s="73">
        <f t="shared" si="17"/>
        <v>0</v>
      </c>
      <c r="F95" s="66"/>
      <c r="G95" s="1" t="str">
        <f t="shared" si="18"/>
        <v/>
      </c>
      <c r="H95" s="25" t="str">
        <f t="shared" si="14"/>
        <v/>
      </c>
      <c r="I95" s="42" t="str">
        <f t="shared" si="15"/>
        <v/>
      </c>
      <c r="J95" s="69" t="str">
        <f t="shared" si="19"/>
        <v/>
      </c>
      <c r="K95" s="69">
        <f t="shared" si="20"/>
        <v>0</v>
      </c>
      <c r="L95" s="234" t="str">
        <f t="shared" si="21"/>
        <v/>
      </c>
      <c r="M95" s="26"/>
      <c r="N95" s="282"/>
      <c r="O95" s="71">
        <f t="shared" si="16"/>
        <v>0</v>
      </c>
      <c r="P95" s="74"/>
    </row>
    <row r="96" spans="2:16" x14ac:dyDescent="0.2">
      <c r="B96" s="61" t="str">
        <f t="shared" si="13"/>
        <v/>
      </c>
      <c r="C96" s="49">
        <v>87</v>
      </c>
      <c r="D96" s="72"/>
      <c r="E96" s="73">
        <f t="shared" si="17"/>
        <v>0</v>
      </c>
      <c r="F96" s="66"/>
      <c r="G96" s="1" t="str">
        <f t="shared" si="18"/>
        <v/>
      </c>
      <c r="H96" s="25" t="str">
        <f t="shared" si="14"/>
        <v/>
      </c>
      <c r="I96" s="42" t="str">
        <f t="shared" si="15"/>
        <v/>
      </c>
      <c r="J96" s="69" t="str">
        <f t="shared" si="19"/>
        <v/>
      </c>
      <c r="K96" s="69">
        <f t="shared" si="20"/>
        <v>0</v>
      </c>
      <c r="L96" s="234" t="str">
        <f t="shared" si="21"/>
        <v/>
      </c>
      <c r="M96" s="26"/>
      <c r="N96" s="282"/>
      <c r="O96" s="71">
        <f t="shared" si="16"/>
        <v>0</v>
      </c>
      <c r="P96" s="74"/>
    </row>
    <row r="97" spans="2:16" x14ac:dyDescent="0.2">
      <c r="B97" s="61" t="str">
        <f t="shared" si="13"/>
        <v/>
      </c>
      <c r="C97" s="49">
        <v>88</v>
      </c>
      <c r="D97" s="72"/>
      <c r="E97" s="73">
        <f t="shared" si="17"/>
        <v>0</v>
      </c>
      <c r="F97" s="66"/>
      <c r="G97" s="1" t="str">
        <f t="shared" si="18"/>
        <v/>
      </c>
      <c r="H97" s="25" t="str">
        <f t="shared" si="14"/>
        <v/>
      </c>
      <c r="I97" s="42" t="str">
        <f t="shared" si="15"/>
        <v/>
      </c>
      <c r="J97" s="69" t="str">
        <f t="shared" si="19"/>
        <v/>
      </c>
      <c r="K97" s="69">
        <f t="shared" si="20"/>
        <v>0</v>
      </c>
      <c r="L97" s="234" t="str">
        <f t="shared" si="21"/>
        <v/>
      </c>
      <c r="M97" s="26"/>
      <c r="N97" s="282"/>
      <c r="O97" s="71">
        <f t="shared" si="16"/>
        <v>0</v>
      </c>
      <c r="P97" s="74"/>
    </row>
    <row r="98" spans="2:16" x14ac:dyDescent="0.2">
      <c r="B98" s="61" t="str">
        <f t="shared" si="13"/>
        <v/>
      </c>
      <c r="C98" s="49">
        <v>89</v>
      </c>
      <c r="D98" s="72"/>
      <c r="E98" s="73">
        <f t="shared" si="17"/>
        <v>0</v>
      </c>
      <c r="F98" s="66"/>
      <c r="G98" s="1" t="str">
        <f t="shared" si="18"/>
        <v/>
      </c>
      <c r="H98" s="25" t="str">
        <f t="shared" si="14"/>
        <v/>
      </c>
      <c r="I98" s="42" t="str">
        <f t="shared" si="15"/>
        <v/>
      </c>
      <c r="J98" s="69" t="str">
        <f t="shared" si="19"/>
        <v/>
      </c>
      <c r="K98" s="69">
        <f t="shared" si="20"/>
        <v>0</v>
      </c>
      <c r="L98" s="234" t="str">
        <f t="shared" si="21"/>
        <v/>
      </c>
      <c r="M98" s="26"/>
      <c r="N98" s="282"/>
      <c r="O98" s="71">
        <f t="shared" si="16"/>
        <v>0</v>
      </c>
      <c r="P98" s="74"/>
    </row>
    <row r="99" spans="2:16" x14ac:dyDescent="0.2">
      <c r="B99" s="61" t="str">
        <f t="shared" si="13"/>
        <v/>
      </c>
      <c r="C99" s="49">
        <v>90</v>
      </c>
      <c r="D99" s="72"/>
      <c r="E99" s="73">
        <f t="shared" si="17"/>
        <v>0</v>
      </c>
      <c r="F99" s="66"/>
      <c r="G99" s="1" t="str">
        <f t="shared" si="18"/>
        <v/>
      </c>
      <c r="H99" s="25" t="str">
        <f t="shared" si="14"/>
        <v/>
      </c>
      <c r="I99" s="42" t="str">
        <f t="shared" si="15"/>
        <v/>
      </c>
      <c r="J99" s="69" t="str">
        <f t="shared" si="19"/>
        <v/>
      </c>
      <c r="K99" s="69">
        <f t="shared" si="20"/>
        <v>0</v>
      </c>
      <c r="L99" s="234" t="str">
        <f t="shared" si="21"/>
        <v/>
      </c>
      <c r="M99" s="26"/>
      <c r="N99" s="282"/>
      <c r="O99" s="71">
        <f t="shared" si="16"/>
        <v>0</v>
      </c>
      <c r="P99" s="74"/>
    </row>
    <row r="100" spans="2:16" x14ac:dyDescent="0.2">
      <c r="B100" s="61" t="str">
        <f t="shared" si="13"/>
        <v/>
      </c>
      <c r="C100" s="49">
        <v>91</v>
      </c>
      <c r="D100" s="72"/>
      <c r="E100" s="73">
        <f t="shared" si="17"/>
        <v>0</v>
      </c>
      <c r="F100" s="66"/>
      <c r="G100" s="1" t="str">
        <f t="shared" si="18"/>
        <v/>
      </c>
      <c r="H100" s="25" t="str">
        <f t="shared" si="14"/>
        <v/>
      </c>
      <c r="I100" s="42" t="str">
        <f t="shared" si="15"/>
        <v/>
      </c>
      <c r="J100" s="69" t="str">
        <f t="shared" si="19"/>
        <v/>
      </c>
      <c r="K100" s="69">
        <f t="shared" si="20"/>
        <v>0</v>
      </c>
      <c r="L100" s="234" t="str">
        <f t="shared" si="21"/>
        <v/>
      </c>
      <c r="M100" s="26"/>
      <c r="N100" s="282"/>
      <c r="O100" s="71">
        <f t="shared" si="16"/>
        <v>0</v>
      </c>
      <c r="P100" s="74"/>
    </row>
    <row r="101" spans="2:16" x14ac:dyDescent="0.2">
      <c r="B101" s="61" t="str">
        <f t="shared" si="13"/>
        <v/>
      </c>
      <c r="C101" s="49">
        <v>92</v>
      </c>
      <c r="D101" s="72"/>
      <c r="E101" s="73">
        <f t="shared" si="17"/>
        <v>0</v>
      </c>
      <c r="F101" s="66"/>
      <c r="G101" s="1" t="str">
        <f t="shared" si="18"/>
        <v/>
      </c>
      <c r="H101" s="25" t="str">
        <f t="shared" si="14"/>
        <v/>
      </c>
      <c r="I101" s="42" t="str">
        <f t="shared" si="15"/>
        <v/>
      </c>
      <c r="J101" s="69" t="str">
        <f t="shared" si="19"/>
        <v/>
      </c>
      <c r="K101" s="69">
        <f t="shared" si="20"/>
        <v>0</v>
      </c>
      <c r="L101" s="234" t="str">
        <f t="shared" si="21"/>
        <v/>
      </c>
      <c r="M101" s="26"/>
      <c r="N101" s="282"/>
      <c r="O101" s="71">
        <f t="shared" si="16"/>
        <v>0</v>
      </c>
      <c r="P101" s="74"/>
    </row>
    <row r="102" spans="2:16" x14ac:dyDescent="0.2">
      <c r="B102" s="61" t="str">
        <f t="shared" si="13"/>
        <v/>
      </c>
      <c r="C102" s="49">
        <v>93</v>
      </c>
      <c r="D102" s="72"/>
      <c r="E102" s="73">
        <f t="shared" si="17"/>
        <v>0</v>
      </c>
      <c r="F102" s="66"/>
      <c r="G102" s="1" t="str">
        <f t="shared" si="18"/>
        <v/>
      </c>
      <c r="H102" s="25" t="str">
        <f t="shared" si="14"/>
        <v/>
      </c>
      <c r="I102" s="42" t="str">
        <f t="shared" si="15"/>
        <v/>
      </c>
      <c r="J102" s="69" t="str">
        <f t="shared" si="19"/>
        <v/>
      </c>
      <c r="K102" s="69">
        <f t="shared" si="20"/>
        <v>0</v>
      </c>
      <c r="L102" s="234" t="str">
        <f t="shared" si="21"/>
        <v/>
      </c>
      <c r="M102" s="26"/>
      <c r="N102" s="282"/>
      <c r="O102" s="71">
        <f t="shared" si="16"/>
        <v>0</v>
      </c>
      <c r="P102" s="74"/>
    </row>
    <row r="103" spans="2:16" x14ac:dyDescent="0.2">
      <c r="B103" s="61" t="str">
        <f t="shared" si="13"/>
        <v/>
      </c>
      <c r="C103" s="49">
        <v>94</v>
      </c>
      <c r="D103" s="72"/>
      <c r="E103" s="73">
        <f t="shared" si="17"/>
        <v>0</v>
      </c>
      <c r="F103" s="66"/>
      <c r="G103" s="1" t="str">
        <f t="shared" si="18"/>
        <v/>
      </c>
      <c r="H103" s="25" t="str">
        <f t="shared" si="14"/>
        <v/>
      </c>
      <c r="I103" s="42" t="str">
        <f t="shared" si="15"/>
        <v/>
      </c>
      <c r="J103" s="69" t="str">
        <f t="shared" si="19"/>
        <v/>
      </c>
      <c r="K103" s="69">
        <f t="shared" si="20"/>
        <v>0</v>
      </c>
      <c r="L103" s="234" t="str">
        <f t="shared" si="21"/>
        <v/>
      </c>
      <c r="M103" s="26"/>
      <c r="N103" s="282"/>
      <c r="O103" s="71">
        <f t="shared" si="16"/>
        <v>0</v>
      </c>
      <c r="P103" s="74"/>
    </row>
    <row r="104" spans="2:16" x14ac:dyDescent="0.2">
      <c r="B104" s="61" t="str">
        <f t="shared" si="13"/>
        <v/>
      </c>
      <c r="C104" s="49">
        <v>95</v>
      </c>
      <c r="D104" s="72"/>
      <c r="E104" s="73">
        <f t="shared" si="17"/>
        <v>0</v>
      </c>
      <c r="F104" s="66"/>
      <c r="G104" s="1" t="str">
        <f t="shared" si="18"/>
        <v/>
      </c>
      <c r="H104" s="25" t="str">
        <f t="shared" si="14"/>
        <v/>
      </c>
      <c r="I104" s="42" t="str">
        <f t="shared" si="15"/>
        <v/>
      </c>
      <c r="J104" s="69" t="str">
        <f t="shared" si="19"/>
        <v/>
      </c>
      <c r="K104" s="69">
        <f t="shared" si="20"/>
        <v>0</v>
      </c>
      <c r="L104" s="234" t="str">
        <f t="shared" si="21"/>
        <v/>
      </c>
      <c r="M104" s="26"/>
      <c r="N104" s="282"/>
      <c r="O104" s="71">
        <f t="shared" si="16"/>
        <v>0</v>
      </c>
      <c r="P104" s="74"/>
    </row>
    <row r="105" spans="2:16" x14ac:dyDescent="0.2">
      <c r="B105" s="61" t="str">
        <f t="shared" si="13"/>
        <v/>
      </c>
      <c r="C105" s="49">
        <v>96</v>
      </c>
      <c r="D105" s="72"/>
      <c r="E105" s="73">
        <f t="shared" si="17"/>
        <v>0</v>
      </c>
      <c r="F105" s="66"/>
      <c r="G105" s="1" t="str">
        <f t="shared" si="18"/>
        <v/>
      </c>
      <c r="H105" s="25" t="str">
        <f t="shared" si="14"/>
        <v/>
      </c>
      <c r="I105" s="42" t="str">
        <f t="shared" si="15"/>
        <v/>
      </c>
      <c r="J105" s="69" t="str">
        <f t="shared" si="19"/>
        <v/>
      </c>
      <c r="K105" s="69">
        <f t="shared" si="20"/>
        <v>0</v>
      </c>
      <c r="L105" s="234" t="str">
        <f t="shared" si="21"/>
        <v/>
      </c>
      <c r="M105" s="26"/>
      <c r="N105" s="282"/>
      <c r="O105" s="71">
        <f t="shared" si="16"/>
        <v>0</v>
      </c>
      <c r="P105" s="74"/>
    </row>
    <row r="106" spans="2:16" x14ac:dyDescent="0.2">
      <c r="B106" s="61" t="str">
        <f t="shared" ref="B106:B137" si="22">IF(D106&lt;&gt;"",1,"")</f>
        <v/>
      </c>
      <c r="C106" s="49">
        <v>97</v>
      </c>
      <c r="D106" s="72"/>
      <c r="E106" s="73">
        <f t="shared" si="17"/>
        <v>0</v>
      </c>
      <c r="F106" s="66"/>
      <c r="G106" s="1" t="str">
        <f t="shared" si="18"/>
        <v/>
      </c>
      <c r="H106" s="25" t="str">
        <f t="shared" ref="H106:H137" si="23">IF($D106&lt;&gt;"",$H$9,"")</f>
        <v/>
      </c>
      <c r="I106" s="42" t="str">
        <f t="shared" ref="I106:I137" si="24">IF($D106&lt;&gt;"",$I$9,"")</f>
        <v/>
      </c>
      <c r="J106" s="69" t="str">
        <f t="shared" si="19"/>
        <v/>
      </c>
      <c r="K106" s="69">
        <f t="shared" si="20"/>
        <v>0</v>
      </c>
      <c r="L106" s="234" t="str">
        <f t="shared" si="21"/>
        <v/>
      </c>
      <c r="M106" s="26"/>
      <c r="N106" s="282"/>
      <c r="O106" s="71">
        <f t="shared" ref="O106:O137" si="25">F106/10</f>
        <v>0</v>
      </c>
      <c r="P106" s="74"/>
    </row>
    <row r="107" spans="2:16" x14ac:dyDescent="0.2">
      <c r="B107" s="61" t="str">
        <f t="shared" si="22"/>
        <v/>
      </c>
      <c r="C107" s="49">
        <v>98</v>
      </c>
      <c r="D107" s="72"/>
      <c r="E107" s="73">
        <f t="shared" si="17"/>
        <v>0</v>
      </c>
      <c r="F107" s="66"/>
      <c r="G107" s="1" t="str">
        <f t="shared" si="18"/>
        <v/>
      </c>
      <c r="H107" s="25" t="str">
        <f t="shared" si="23"/>
        <v/>
      </c>
      <c r="I107" s="42" t="str">
        <f t="shared" si="24"/>
        <v/>
      </c>
      <c r="J107" s="69" t="str">
        <f t="shared" si="19"/>
        <v/>
      </c>
      <c r="K107" s="69">
        <f t="shared" si="20"/>
        <v>0</v>
      </c>
      <c r="L107" s="234" t="str">
        <f t="shared" si="21"/>
        <v/>
      </c>
      <c r="M107" s="26"/>
      <c r="N107" s="282"/>
      <c r="O107" s="71">
        <f t="shared" si="25"/>
        <v>0</v>
      </c>
      <c r="P107" s="74"/>
    </row>
    <row r="108" spans="2:16" x14ac:dyDescent="0.2">
      <c r="B108" s="61" t="str">
        <f t="shared" si="22"/>
        <v/>
      </c>
      <c r="C108" s="49">
        <v>99</v>
      </c>
      <c r="D108" s="72"/>
      <c r="E108" s="73">
        <f t="shared" si="17"/>
        <v>0</v>
      </c>
      <c r="F108" s="66"/>
      <c r="G108" s="1" t="str">
        <f t="shared" si="18"/>
        <v/>
      </c>
      <c r="H108" s="25" t="str">
        <f t="shared" si="23"/>
        <v/>
      </c>
      <c r="I108" s="42" t="str">
        <f t="shared" si="24"/>
        <v/>
      </c>
      <c r="J108" s="69" t="str">
        <f t="shared" si="19"/>
        <v/>
      </c>
      <c r="K108" s="69">
        <f t="shared" si="20"/>
        <v>0</v>
      </c>
      <c r="L108" s="234" t="str">
        <f t="shared" si="21"/>
        <v/>
      </c>
      <c r="M108" s="26"/>
      <c r="N108" s="282"/>
      <c r="O108" s="71">
        <f t="shared" si="25"/>
        <v>0</v>
      </c>
      <c r="P108" s="74"/>
    </row>
    <row r="109" spans="2:16" x14ac:dyDescent="0.2">
      <c r="B109" s="61" t="str">
        <f t="shared" si="22"/>
        <v/>
      </c>
      <c r="C109" s="49">
        <v>100</v>
      </c>
      <c r="D109" s="72"/>
      <c r="E109" s="73">
        <f t="shared" si="17"/>
        <v>0</v>
      </c>
      <c r="F109" s="66"/>
      <c r="G109" s="1" t="str">
        <f t="shared" si="18"/>
        <v/>
      </c>
      <c r="H109" s="25" t="str">
        <f t="shared" si="23"/>
        <v/>
      </c>
      <c r="I109" s="42" t="str">
        <f t="shared" si="24"/>
        <v/>
      </c>
      <c r="J109" s="69" t="str">
        <f t="shared" si="19"/>
        <v/>
      </c>
      <c r="K109" s="69">
        <f t="shared" si="20"/>
        <v>0</v>
      </c>
      <c r="L109" s="234" t="str">
        <f t="shared" si="21"/>
        <v/>
      </c>
      <c r="M109" s="26"/>
      <c r="N109" s="282"/>
      <c r="O109" s="71">
        <f t="shared" si="25"/>
        <v>0</v>
      </c>
      <c r="P109" s="74"/>
    </row>
    <row r="110" spans="2:16" x14ac:dyDescent="0.2">
      <c r="B110" s="61" t="str">
        <f t="shared" si="22"/>
        <v/>
      </c>
      <c r="C110" s="49">
        <v>101</v>
      </c>
      <c r="D110" s="72"/>
      <c r="E110" s="73">
        <f t="shared" si="17"/>
        <v>0</v>
      </c>
      <c r="F110" s="66"/>
      <c r="G110" s="1" t="str">
        <f t="shared" si="18"/>
        <v/>
      </c>
      <c r="H110" s="25" t="str">
        <f t="shared" si="23"/>
        <v/>
      </c>
      <c r="I110" s="42" t="str">
        <f t="shared" si="24"/>
        <v/>
      </c>
      <c r="J110" s="69" t="str">
        <f t="shared" si="19"/>
        <v/>
      </c>
      <c r="K110" s="69">
        <f t="shared" si="20"/>
        <v>0</v>
      </c>
      <c r="L110" s="234" t="str">
        <f t="shared" si="21"/>
        <v/>
      </c>
      <c r="M110" s="26"/>
      <c r="N110" s="282"/>
      <c r="O110" s="71">
        <f t="shared" si="25"/>
        <v>0</v>
      </c>
      <c r="P110" s="74"/>
    </row>
    <row r="111" spans="2:16" x14ac:dyDescent="0.2">
      <c r="B111" s="61" t="str">
        <f t="shared" si="22"/>
        <v/>
      </c>
      <c r="C111" s="49">
        <v>102</v>
      </c>
      <c r="D111" s="72"/>
      <c r="E111" s="73">
        <f t="shared" si="17"/>
        <v>0</v>
      </c>
      <c r="F111" s="66"/>
      <c r="G111" s="1" t="str">
        <f t="shared" si="18"/>
        <v/>
      </c>
      <c r="H111" s="25" t="str">
        <f t="shared" si="23"/>
        <v/>
      </c>
      <c r="I111" s="42" t="str">
        <f t="shared" si="24"/>
        <v/>
      </c>
      <c r="J111" s="69" t="str">
        <f t="shared" si="19"/>
        <v/>
      </c>
      <c r="K111" s="69">
        <f t="shared" si="20"/>
        <v>0</v>
      </c>
      <c r="L111" s="234" t="str">
        <f t="shared" si="21"/>
        <v/>
      </c>
      <c r="M111" s="26"/>
      <c r="N111" s="282"/>
      <c r="O111" s="71">
        <f t="shared" si="25"/>
        <v>0</v>
      </c>
      <c r="P111" s="74"/>
    </row>
    <row r="112" spans="2:16" x14ac:dyDescent="0.2">
      <c r="B112" s="61" t="str">
        <f t="shared" si="22"/>
        <v/>
      </c>
      <c r="C112" s="49">
        <v>103</v>
      </c>
      <c r="D112" s="72"/>
      <c r="E112" s="73">
        <f t="shared" si="17"/>
        <v>0</v>
      </c>
      <c r="F112" s="66"/>
      <c r="G112" s="1" t="str">
        <f t="shared" si="18"/>
        <v/>
      </c>
      <c r="H112" s="25" t="str">
        <f t="shared" si="23"/>
        <v/>
      </c>
      <c r="I112" s="42" t="str">
        <f t="shared" si="24"/>
        <v/>
      </c>
      <c r="J112" s="69" t="str">
        <f t="shared" si="19"/>
        <v/>
      </c>
      <c r="K112" s="69">
        <f t="shared" si="20"/>
        <v>0</v>
      </c>
      <c r="L112" s="234" t="str">
        <f t="shared" si="21"/>
        <v/>
      </c>
      <c r="M112" s="26"/>
      <c r="N112" s="282"/>
      <c r="O112" s="71">
        <f t="shared" si="25"/>
        <v>0</v>
      </c>
      <c r="P112" s="74"/>
    </row>
    <row r="113" spans="2:16" x14ac:dyDescent="0.2">
      <c r="B113" s="61" t="str">
        <f t="shared" si="22"/>
        <v/>
      </c>
      <c r="C113" s="49">
        <v>104</v>
      </c>
      <c r="D113" s="72"/>
      <c r="E113" s="73">
        <f t="shared" si="17"/>
        <v>0</v>
      </c>
      <c r="F113" s="66"/>
      <c r="G113" s="1" t="str">
        <f t="shared" si="18"/>
        <v/>
      </c>
      <c r="H113" s="25" t="str">
        <f t="shared" si="23"/>
        <v/>
      </c>
      <c r="I113" s="42" t="str">
        <f t="shared" si="24"/>
        <v/>
      </c>
      <c r="J113" s="69" t="str">
        <f t="shared" si="19"/>
        <v/>
      </c>
      <c r="K113" s="69">
        <f t="shared" si="20"/>
        <v>0</v>
      </c>
      <c r="L113" s="234" t="str">
        <f t="shared" si="21"/>
        <v/>
      </c>
      <c r="M113" s="26"/>
      <c r="N113" s="282"/>
      <c r="O113" s="71">
        <f t="shared" si="25"/>
        <v>0</v>
      </c>
      <c r="P113" s="74"/>
    </row>
    <row r="114" spans="2:16" x14ac:dyDescent="0.2">
      <c r="B114" s="61" t="str">
        <f t="shared" si="22"/>
        <v/>
      </c>
      <c r="C114" s="49">
        <v>105</v>
      </c>
      <c r="D114" s="72"/>
      <c r="E114" s="73">
        <f t="shared" si="17"/>
        <v>0</v>
      </c>
      <c r="F114" s="66"/>
      <c r="G114" s="1" t="str">
        <f t="shared" si="18"/>
        <v/>
      </c>
      <c r="H114" s="25" t="str">
        <f t="shared" si="23"/>
        <v/>
      </c>
      <c r="I114" s="42" t="str">
        <f t="shared" si="24"/>
        <v/>
      </c>
      <c r="J114" s="69" t="str">
        <f t="shared" si="19"/>
        <v/>
      </c>
      <c r="K114" s="69">
        <f t="shared" si="20"/>
        <v>0</v>
      </c>
      <c r="L114" s="234" t="str">
        <f t="shared" si="21"/>
        <v/>
      </c>
      <c r="M114" s="26"/>
      <c r="N114" s="282"/>
      <c r="O114" s="71">
        <f t="shared" si="25"/>
        <v>0</v>
      </c>
      <c r="P114" s="74"/>
    </row>
    <row r="115" spans="2:16" x14ac:dyDescent="0.2">
      <c r="B115" s="61" t="str">
        <f t="shared" si="22"/>
        <v/>
      </c>
      <c r="C115" s="49">
        <v>106</v>
      </c>
      <c r="D115" s="72"/>
      <c r="E115" s="73">
        <f t="shared" si="17"/>
        <v>0</v>
      </c>
      <c r="F115" s="66"/>
      <c r="G115" s="1" t="str">
        <f t="shared" si="18"/>
        <v/>
      </c>
      <c r="H115" s="25" t="str">
        <f t="shared" si="23"/>
        <v/>
      </c>
      <c r="I115" s="42" t="str">
        <f t="shared" si="24"/>
        <v/>
      </c>
      <c r="J115" s="69" t="str">
        <f t="shared" si="19"/>
        <v/>
      </c>
      <c r="K115" s="69">
        <f t="shared" si="20"/>
        <v>0</v>
      </c>
      <c r="L115" s="234" t="str">
        <f t="shared" si="21"/>
        <v/>
      </c>
      <c r="M115" s="26"/>
      <c r="N115" s="282"/>
      <c r="O115" s="71">
        <f t="shared" si="25"/>
        <v>0</v>
      </c>
      <c r="P115" s="74"/>
    </row>
    <row r="116" spans="2:16" x14ac:dyDescent="0.2">
      <c r="B116" s="61" t="str">
        <f t="shared" si="22"/>
        <v/>
      </c>
      <c r="C116" s="49">
        <v>107</v>
      </c>
      <c r="D116" s="72"/>
      <c r="E116" s="73">
        <f t="shared" si="17"/>
        <v>0</v>
      </c>
      <c r="F116" s="66"/>
      <c r="G116" s="1" t="str">
        <f t="shared" si="18"/>
        <v/>
      </c>
      <c r="H116" s="25" t="str">
        <f t="shared" si="23"/>
        <v/>
      </c>
      <c r="I116" s="42" t="str">
        <f t="shared" si="24"/>
        <v/>
      </c>
      <c r="J116" s="69" t="str">
        <f t="shared" si="19"/>
        <v/>
      </c>
      <c r="K116" s="69">
        <f t="shared" si="20"/>
        <v>0</v>
      </c>
      <c r="L116" s="234" t="str">
        <f t="shared" si="21"/>
        <v/>
      </c>
      <c r="M116" s="26"/>
      <c r="N116" s="282"/>
      <c r="O116" s="71">
        <f t="shared" si="25"/>
        <v>0</v>
      </c>
      <c r="P116" s="74"/>
    </row>
    <row r="117" spans="2:16" x14ac:dyDescent="0.2">
      <c r="B117" s="61" t="str">
        <f t="shared" si="22"/>
        <v/>
      </c>
      <c r="C117" s="49">
        <v>108</v>
      </c>
      <c r="D117" s="72"/>
      <c r="E117" s="73">
        <f t="shared" si="17"/>
        <v>0</v>
      </c>
      <c r="F117" s="66"/>
      <c r="G117" s="1" t="str">
        <f t="shared" si="18"/>
        <v/>
      </c>
      <c r="H117" s="25" t="str">
        <f t="shared" si="23"/>
        <v/>
      </c>
      <c r="I117" s="42" t="str">
        <f t="shared" si="24"/>
        <v/>
      </c>
      <c r="J117" s="69" t="str">
        <f t="shared" si="19"/>
        <v/>
      </c>
      <c r="K117" s="69">
        <f t="shared" si="20"/>
        <v>0</v>
      </c>
      <c r="L117" s="234" t="str">
        <f t="shared" si="21"/>
        <v/>
      </c>
      <c r="M117" s="26"/>
      <c r="N117" s="282"/>
      <c r="O117" s="71">
        <f t="shared" si="25"/>
        <v>0</v>
      </c>
      <c r="P117" s="74"/>
    </row>
    <row r="118" spans="2:16" x14ac:dyDescent="0.2">
      <c r="B118" s="61" t="str">
        <f t="shared" si="22"/>
        <v/>
      </c>
      <c r="C118" s="49">
        <v>109</v>
      </c>
      <c r="D118" s="72"/>
      <c r="E118" s="73">
        <f t="shared" si="17"/>
        <v>0</v>
      </c>
      <c r="F118" s="66"/>
      <c r="G118" s="1" t="str">
        <f t="shared" si="18"/>
        <v/>
      </c>
      <c r="H118" s="25" t="str">
        <f t="shared" si="23"/>
        <v/>
      </c>
      <c r="I118" s="42" t="str">
        <f t="shared" si="24"/>
        <v/>
      </c>
      <c r="J118" s="69" t="str">
        <f t="shared" si="19"/>
        <v/>
      </c>
      <c r="K118" s="69">
        <f t="shared" si="20"/>
        <v>0</v>
      </c>
      <c r="L118" s="234" t="str">
        <f t="shared" si="21"/>
        <v/>
      </c>
      <c r="M118" s="26"/>
      <c r="N118" s="282"/>
      <c r="O118" s="71">
        <f t="shared" si="25"/>
        <v>0</v>
      </c>
      <c r="P118" s="74"/>
    </row>
    <row r="119" spans="2:16" x14ac:dyDescent="0.2">
      <c r="B119" s="61" t="str">
        <f t="shared" si="22"/>
        <v/>
      </c>
      <c r="C119" s="49">
        <v>110</v>
      </c>
      <c r="D119" s="72"/>
      <c r="E119" s="73">
        <f t="shared" si="17"/>
        <v>0</v>
      </c>
      <c r="F119" s="66"/>
      <c r="G119" s="1" t="str">
        <f t="shared" si="18"/>
        <v/>
      </c>
      <c r="H119" s="25" t="str">
        <f t="shared" si="23"/>
        <v/>
      </c>
      <c r="I119" s="42" t="str">
        <f t="shared" si="24"/>
        <v/>
      </c>
      <c r="J119" s="69" t="str">
        <f t="shared" si="19"/>
        <v/>
      </c>
      <c r="K119" s="69">
        <f t="shared" si="20"/>
        <v>0</v>
      </c>
      <c r="L119" s="234" t="str">
        <f t="shared" si="21"/>
        <v/>
      </c>
      <c r="M119" s="26"/>
      <c r="N119" s="282"/>
      <c r="O119" s="71">
        <f t="shared" si="25"/>
        <v>0</v>
      </c>
      <c r="P119" s="74"/>
    </row>
    <row r="120" spans="2:16" x14ac:dyDescent="0.2">
      <c r="B120" s="61" t="str">
        <f t="shared" si="22"/>
        <v/>
      </c>
      <c r="C120" s="49">
        <v>111</v>
      </c>
      <c r="D120" s="72"/>
      <c r="E120" s="73">
        <f t="shared" si="17"/>
        <v>0</v>
      </c>
      <c r="F120" s="66"/>
      <c r="G120" s="1" t="str">
        <f t="shared" si="18"/>
        <v/>
      </c>
      <c r="H120" s="25" t="str">
        <f t="shared" si="23"/>
        <v/>
      </c>
      <c r="I120" s="42" t="str">
        <f t="shared" si="24"/>
        <v/>
      </c>
      <c r="J120" s="69" t="str">
        <f t="shared" si="19"/>
        <v/>
      </c>
      <c r="K120" s="69">
        <f t="shared" si="20"/>
        <v>0</v>
      </c>
      <c r="L120" s="234" t="str">
        <f t="shared" si="21"/>
        <v/>
      </c>
      <c r="M120" s="26"/>
      <c r="N120" s="282"/>
      <c r="O120" s="71">
        <f t="shared" si="25"/>
        <v>0</v>
      </c>
      <c r="P120" s="74"/>
    </row>
    <row r="121" spans="2:16" x14ac:dyDescent="0.2">
      <c r="B121" s="61" t="str">
        <f t="shared" si="22"/>
        <v/>
      </c>
      <c r="C121" s="49">
        <v>112</v>
      </c>
      <c r="D121" s="72"/>
      <c r="E121" s="73">
        <f t="shared" si="17"/>
        <v>0</v>
      </c>
      <c r="F121" s="66"/>
      <c r="G121" s="1" t="str">
        <f t="shared" si="18"/>
        <v/>
      </c>
      <c r="H121" s="25" t="str">
        <f t="shared" si="23"/>
        <v/>
      </c>
      <c r="I121" s="42" t="str">
        <f t="shared" si="24"/>
        <v/>
      </c>
      <c r="J121" s="69" t="str">
        <f t="shared" si="19"/>
        <v/>
      </c>
      <c r="K121" s="69">
        <f t="shared" si="20"/>
        <v>0</v>
      </c>
      <c r="L121" s="234" t="str">
        <f t="shared" si="21"/>
        <v/>
      </c>
      <c r="M121" s="26"/>
      <c r="N121" s="282"/>
      <c r="O121" s="71">
        <f t="shared" si="25"/>
        <v>0</v>
      </c>
      <c r="P121" s="74"/>
    </row>
    <row r="122" spans="2:16" x14ac:dyDescent="0.2">
      <c r="B122" s="61" t="str">
        <f t="shared" si="22"/>
        <v/>
      </c>
      <c r="C122" s="49">
        <v>113</v>
      </c>
      <c r="D122" s="72"/>
      <c r="E122" s="73">
        <f t="shared" si="17"/>
        <v>0</v>
      </c>
      <c r="F122" s="66"/>
      <c r="G122" s="1" t="str">
        <f t="shared" si="18"/>
        <v/>
      </c>
      <c r="H122" s="25" t="str">
        <f t="shared" si="23"/>
        <v/>
      </c>
      <c r="I122" s="42" t="str">
        <f t="shared" si="24"/>
        <v/>
      </c>
      <c r="J122" s="69" t="str">
        <f t="shared" si="19"/>
        <v/>
      </c>
      <c r="K122" s="69">
        <f t="shared" si="20"/>
        <v>0</v>
      </c>
      <c r="L122" s="234" t="str">
        <f t="shared" si="21"/>
        <v/>
      </c>
      <c r="M122" s="26"/>
      <c r="N122" s="282"/>
      <c r="O122" s="71">
        <f t="shared" si="25"/>
        <v>0</v>
      </c>
      <c r="P122" s="74"/>
    </row>
    <row r="123" spans="2:16" x14ac:dyDescent="0.2">
      <c r="B123" s="61" t="str">
        <f t="shared" si="22"/>
        <v/>
      </c>
      <c r="C123" s="49">
        <v>114</v>
      </c>
      <c r="D123" s="72"/>
      <c r="E123" s="73">
        <f t="shared" si="17"/>
        <v>0</v>
      </c>
      <c r="F123" s="66"/>
      <c r="G123" s="1" t="str">
        <f t="shared" si="18"/>
        <v/>
      </c>
      <c r="H123" s="25" t="str">
        <f t="shared" si="23"/>
        <v/>
      </c>
      <c r="I123" s="42" t="str">
        <f t="shared" si="24"/>
        <v/>
      </c>
      <c r="J123" s="69" t="str">
        <f t="shared" si="19"/>
        <v/>
      </c>
      <c r="K123" s="69">
        <f t="shared" si="20"/>
        <v>0</v>
      </c>
      <c r="L123" s="234" t="str">
        <f t="shared" si="21"/>
        <v/>
      </c>
      <c r="M123" s="26"/>
      <c r="N123" s="282"/>
      <c r="O123" s="71">
        <f t="shared" si="25"/>
        <v>0</v>
      </c>
      <c r="P123" s="74"/>
    </row>
    <row r="124" spans="2:16" x14ac:dyDescent="0.2">
      <c r="B124" s="61" t="str">
        <f t="shared" si="22"/>
        <v/>
      </c>
      <c r="C124" s="49">
        <v>115</v>
      </c>
      <c r="D124" s="72"/>
      <c r="E124" s="73">
        <f t="shared" si="17"/>
        <v>0</v>
      </c>
      <c r="F124" s="66"/>
      <c r="G124" s="1" t="str">
        <f t="shared" si="18"/>
        <v/>
      </c>
      <c r="H124" s="25" t="str">
        <f t="shared" si="23"/>
        <v/>
      </c>
      <c r="I124" s="42" t="str">
        <f t="shared" si="24"/>
        <v/>
      </c>
      <c r="J124" s="69" t="str">
        <f t="shared" si="19"/>
        <v/>
      </c>
      <c r="K124" s="69">
        <f t="shared" si="20"/>
        <v>0</v>
      </c>
      <c r="L124" s="234" t="str">
        <f t="shared" si="21"/>
        <v/>
      </c>
      <c r="M124" s="26"/>
      <c r="N124" s="282"/>
      <c r="O124" s="71">
        <f t="shared" si="25"/>
        <v>0</v>
      </c>
      <c r="P124" s="74"/>
    </row>
    <row r="125" spans="2:16" x14ac:dyDescent="0.2">
      <c r="B125" s="61" t="str">
        <f t="shared" si="22"/>
        <v/>
      </c>
      <c r="C125" s="49">
        <v>116</v>
      </c>
      <c r="D125" s="72"/>
      <c r="E125" s="73">
        <f t="shared" si="17"/>
        <v>0</v>
      </c>
      <c r="F125" s="66"/>
      <c r="G125" s="1" t="str">
        <f t="shared" si="18"/>
        <v/>
      </c>
      <c r="H125" s="25" t="str">
        <f t="shared" si="23"/>
        <v/>
      </c>
      <c r="I125" s="42" t="str">
        <f t="shared" si="24"/>
        <v/>
      </c>
      <c r="J125" s="69" t="str">
        <f t="shared" si="19"/>
        <v/>
      </c>
      <c r="K125" s="69">
        <f t="shared" si="20"/>
        <v>0</v>
      </c>
      <c r="L125" s="234" t="str">
        <f t="shared" si="21"/>
        <v/>
      </c>
      <c r="M125" s="26"/>
      <c r="N125" s="282"/>
      <c r="O125" s="71">
        <f t="shared" si="25"/>
        <v>0</v>
      </c>
      <c r="P125" s="74"/>
    </row>
    <row r="126" spans="2:16" x14ac:dyDescent="0.2">
      <c r="B126" s="61" t="str">
        <f t="shared" si="22"/>
        <v/>
      </c>
      <c r="C126" s="49">
        <v>117</v>
      </c>
      <c r="D126" s="72"/>
      <c r="E126" s="73">
        <f t="shared" ref="E126:E160" si="26">N126+O126/2+P126</f>
        <v>0</v>
      </c>
      <c r="F126" s="66"/>
      <c r="G126" s="1" t="str">
        <f t="shared" si="18"/>
        <v/>
      </c>
      <c r="H126" s="25" t="str">
        <f t="shared" si="23"/>
        <v/>
      </c>
      <c r="I126" s="42" t="str">
        <f t="shared" si="24"/>
        <v/>
      </c>
      <c r="J126" s="69" t="str">
        <f t="shared" si="19"/>
        <v/>
      </c>
      <c r="K126" s="69">
        <f t="shared" si="20"/>
        <v>0</v>
      </c>
      <c r="L126" s="234" t="str">
        <f t="shared" si="21"/>
        <v/>
      </c>
      <c r="M126" s="26"/>
      <c r="N126" s="282"/>
      <c r="O126" s="71">
        <f t="shared" si="25"/>
        <v>0</v>
      </c>
      <c r="P126" s="74"/>
    </row>
    <row r="127" spans="2:16" x14ac:dyDescent="0.2">
      <c r="B127" s="61" t="str">
        <f t="shared" si="22"/>
        <v/>
      </c>
      <c r="C127" s="49">
        <v>118</v>
      </c>
      <c r="D127" s="72"/>
      <c r="E127" s="73">
        <f t="shared" si="26"/>
        <v>0</v>
      </c>
      <c r="F127" s="66"/>
      <c r="G127" s="1" t="str">
        <f t="shared" si="18"/>
        <v/>
      </c>
      <c r="H127" s="25" t="str">
        <f t="shared" si="23"/>
        <v/>
      </c>
      <c r="I127" s="42" t="str">
        <f t="shared" si="24"/>
        <v/>
      </c>
      <c r="J127" s="69" t="str">
        <f t="shared" si="19"/>
        <v/>
      </c>
      <c r="K127" s="69">
        <f t="shared" si="20"/>
        <v>0</v>
      </c>
      <c r="L127" s="234" t="str">
        <f t="shared" si="21"/>
        <v/>
      </c>
      <c r="M127" s="26"/>
      <c r="N127" s="282"/>
      <c r="O127" s="71">
        <f t="shared" si="25"/>
        <v>0</v>
      </c>
      <c r="P127" s="74"/>
    </row>
    <row r="128" spans="2:16" x14ac:dyDescent="0.2">
      <c r="B128" s="61" t="str">
        <f t="shared" si="22"/>
        <v/>
      </c>
      <c r="C128" s="49">
        <v>119</v>
      </c>
      <c r="D128" s="72"/>
      <c r="E128" s="73">
        <f t="shared" si="26"/>
        <v>0</v>
      </c>
      <c r="F128" s="66"/>
      <c r="G128" s="1" t="str">
        <f t="shared" si="18"/>
        <v/>
      </c>
      <c r="H128" s="25" t="str">
        <f t="shared" si="23"/>
        <v/>
      </c>
      <c r="I128" s="42" t="str">
        <f t="shared" si="24"/>
        <v/>
      </c>
      <c r="J128" s="69" t="str">
        <f t="shared" si="19"/>
        <v/>
      </c>
      <c r="K128" s="69">
        <f t="shared" si="20"/>
        <v>0</v>
      </c>
      <c r="L128" s="234" t="str">
        <f t="shared" si="21"/>
        <v/>
      </c>
      <c r="M128" s="26"/>
      <c r="N128" s="282"/>
      <c r="O128" s="71">
        <f t="shared" si="25"/>
        <v>0</v>
      </c>
      <c r="P128" s="74"/>
    </row>
    <row r="129" spans="2:16" x14ac:dyDescent="0.2">
      <c r="B129" s="61" t="str">
        <f t="shared" si="22"/>
        <v/>
      </c>
      <c r="C129" s="49">
        <v>120</v>
      </c>
      <c r="D129" s="72"/>
      <c r="E129" s="73">
        <f t="shared" si="26"/>
        <v>0</v>
      </c>
      <c r="F129" s="66"/>
      <c r="G129" s="1" t="str">
        <f t="shared" si="18"/>
        <v/>
      </c>
      <c r="H129" s="25" t="str">
        <f t="shared" si="23"/>
        <v/>
      </c>
      <c r="I129" s="42" t="str">
        <f t="shared" si="24"/>
        <v/>
      </c>
      <c r="J129" s="69" t="str">
        <f t="shared" si="19"/>
        <v/>
      </c>
      <c r="K129" s="69">
        <f t="shared" si="20"/>
        <v>0</v>
      </c>
      <c r="L129" s="234" t="str">
        <f t="shared" si="21"/>
        <v/>
      </c>
      <c r="M129" s="26"/>
      <c r="N129" s="282"/>
      <c r="O129" s="71">
        <f t="shared" si="25"/>
        <v>0</v>
      </c>
      <c r="P129" s="74"/>
    </row>
    <row r="130" spans="2:16" x14ac:dyDescent="0.2">
      <c r="B130" s="61" t="str">
        <f t="shared" si="22"/>
        <v/>
      </c>
      <c r="C130" s="49">
        <v>121</v>
      </c>
      <c r="D130" s="72"/>
      <c r="E130" s="73">
        <f t="shared" si="26"/>
        <v>0</v>
      </c>
      <c r="F130" s="66"/>
      <c r="G130" s="1" t="str">
        <f t="shared" si="18"/>
        <v/>
      </c>
      <c r="H130" s="25" t="str">
        <f t="shared" si="23"/>
        <v/>
      </c>
      <c r="I130" s="42" t="str">
        <f t="shared" si="24"/>
        <v/>
      </c>
      <c r="J130" s="69" t="str">
        <f t="shared" si="19"/>
        <v/>
      </c>
      <c r="K130" s="69">
        <f t="shared" si="20"/>
        <v>0</v>
      </c>
      <c r="L130" s="234" t="str">
        <f t="shared" si="21"/>
        <v/>
      </c>
      <c r="M130" s="26"/>
      <c r="N130" s="282"/>
      <c r="O130" s="71">
        <f t="shared" si="25"/>
        <v>0</v>
      </c>
      <c r="P130" s="74"/>
    </row>
    <row r="131" spans="2:16" x14ac:dyDescent="0.2">
      <c r="B131" s="61" t="str">
        <f t="shared" si="22"/>
        <v/>
      </c>
      <c r="C131" s="49">
        <v>122</v>
      </c>
      <c r="D131" s="72"/>
      <c r="E131" s="73">
        <f t="shared" si="26"/>
        <v>0</v>
      </c>
      <c r="F131" s="66"/>
      <c r="G131" s="1" t="str">
        <f t="shared" si="18"/>
        <v/>
      </c>
      <c r="H131" s="25" t="str">
        <f t="shared" si="23"/>
        <v/>
      </c>
      <c r="I131" s="42" t="str">
        <f t="shared" si="24"/>
        <v/>
      </c>
      <c r="J131" s="69" t="str">
        <f t="shared" si="19"/>
        <v/>
      </c>
      <c r="K131" s="69">
        <f t="shared" si="20"/>
        <v>0</v>
      </c>
      <c r="L131" s="234" t="str">
        <f t="shared" si="21"/>
        <v/>
      </c>
      <c r="M131" s="26"/>
      <c r="N131" s="282"/>
      <c r="O131" s="71">
        <f t="shared" si="25"/>
        <v>0</v>
      </c>
      <c r="P131" s="74"/>
    </row>
    <row r="132" spans="2:16" x14ac:dyDescent="0.2">
      <c r="B132" s="61" t="str">
        <f t="shared" si="22"/>
        <v/>
      </c>
      <c r="C132" s="49">
        <v>123</v>
      </c>
      <c r="D132" s="72"/>
      <c r="E132" s="73">
        <f t="shared" si="26"/>
        <v>0</v>
      </c>
      <c r="F132" s="66"/>
      <c r="G132" s="1" t="str">
        <f t="shared" si="18"/>
        <v/>
      </c>
      <c r="H132" s="25" t="str">
        <f t="shared" si="23"/>
        <v/>
      </c>
      <c r="I132" s="42" t="str">
        <f t="shared" si="24"/>
        <v/>
      </c>
      <c r="J132" s="69" t="str">
        <f t="shared" si="19"/>
        <v/>
      </c>
      <c r="K132" s="69">
        <f t="shared" si="20"/>
        <v>0</v>
      </c>
      <c r="L132" s="234" t="str">
        <f t="shared" si="21"/>
        <v/>
      </c>
      <c r="M132" s="26"/>
      <c r="N132" s="282"/>
      <c r="O132" s="71">
        <f t="shared" si="25"/>
        <v>0</v>
      </c>
      <c r="P132" s="74"/>
    </row>
    <row r="133" spans="2:16" x14ac:dyDescent="0.2">
      <c r="B133" s="61" t="str">
        <f t="shared" si="22"/>
        <v/>
      </c>
      <c r="C133" s="49">
        <v>124</v>
      </c>
      <c r="D133" s="72"/>
      <c r="E133" s="73">
        <f t="shared" si="26"/>
        <v>0</v>
      </c>
      <c r="F133" s="66"/>
      <c r="G133" s="1" t="str">
        <f t="shared" si="18"/>
        <v/>
      </c>
      <c r="H133" s="25" t="str">
        <f t="shared" si="23"/>
        <v/>
      </c>
      <c r="I133" s="42" t="str">
        <f t="shared" si="24"/>
        <v/>
      </c>
      <c r="J133" s="69" t="str">
        <f t="shared" si="19"/>
        <v/>
      </c>
      <c r="K133" s="69">
        <f t="shared" si="20"/>
        <v>0</v>
      </c>
      <c r="L133" s="234" t="str">
        <f t="shared" si="21"/>
        <v/>
      </c>
      <c r="M133" s="26"/>
      <c r="N133" s="282"/>
      <c r="O133" s="71">
        <f t="shared" si="25"/>
        <v>0</v>
      </c>
      <c r="P133" s="74"/>
    </row>
    <row r="134" spans="2:16" x14ac:dyDescent="0.2">
      <c r="B134" s="61" t="str">
        <f t="shared" si="22"/>
        <v/>
      </c>
      <c r="C134" s="49">
        <v>125</v>
      </c>
      <c r="D134" s="72"/>
      <c r="E134" s="73">
        <f t="shared" si="26"/>
        <v>0</v>
      </c>
      <c r="F134" s="66"/>
      <c r="G134" s="1" t="str">
        <f t="shared" si="18"/>
        <v/>
      </c>
      <c r="H134" s="25" t="str">
        <f t="shared" si="23"/>
        <v/>
      </c>
      <c r="I134" s="42" t="str">
        <f t="shared" si="24"/>
        <v/>
      </c>
      <c r="J134" s="69" t="str">
        <f t="shared" si="19"/>
        <v/>
      </c>
      <c r="K134" s="69">
        <f t="shared" si="20"/>
        <v>0</v>
      </c>
      <c r="L134" s="234" t="str">
        <f t="shared" si="21"/>
        <v/>
      </c>
      <c r="M134" s="26"/>
      <c r="N134" s="282"/>
      <c r="O134" s="71">
        <f t="shared" si="25"/>
        <v>0</v>
      </c>
      <c r="P134" s="74"/>
    </row>
    <row r="135" spans="2:16" x14ac:dyDescent="0.2">
      <c r="B135" s="61" t="str">
        <f t="shared" si="22"/>
        <v/>
      </c>
      <c r="C135" s="49">
        <v>126</v>
      </c>
      <c r="D135" s="72"/>
      <c r="E135" s="73">
        <f t="shared" si="26"/>
        <v>0</v>
      </c>
      <c r="F135" s="66"/>
      <c r="G135" s="1" t="str">
        <f t="shared" si="18"/>
        <v/>
      </c>
      <c r="H135" s="25" t="str">
        <f t="shared" si="23"/>
        <v/>
      </c>
      <c r="I135" s="42" t="str">
        <f t="shared" si="24"/>
        <v/>
      </c>
      <c r="J135" s="69" t="str">
        <f t="shared" si="19"/>
        <v/>
      </c>
      <c r="K135" s="69">
        <f t="shared" si="20"/>
        <v>0</v>
      </c>
      <c r="L135" s="234" t="str">
        <f t="shared" si="21"/>
        <v/>
      </c>
      <c r="M135" s="26"/>
      <c r="N135" s="282"/>
      <c r="O135" s="71">
        <f t="shared" si="25"/>
        <v>0</v>
      </c>
      <c r="P135" s="74"/>
    </row>
    <row r="136" spans="2:16" x14ac:dyDescent="0.2">
      <c r="B136" s="61" t="str">
        <f t="shared" si="22"/>
        <v/>
      </c>
      <c r="C136" s="49">
        <v>127</v>
      </c>
      <c r="D136" s="72"/>
      <c r="E136" s="73">
        <f t="shared" si="26"/>
        <v>0</v>
      </c>
      <c r="F136" s="66"/>
      <c r="G136" s="1" t="str">
        <f t="shared" si="18"/>
        <v/>
      </c>
      <c r="H136" s="25" t="str">
        <f t="shared" si="23"/>
        <v/>
      </c>
      <c r="I136" s="42" t="str">
        <f t="shared" si="24"/>
        <v/>
      </c>
      <c r="J136" s="69" t="str">
        <f t="shared" si="19"/>
        <v/>
      </c>
      <c r="K136" s="69">
        <f t="shared" si="20"/>
        <v>0</v>
      </c>
      <c r="L136" s="234" t="str">
        <f t="shared" si="21"/>
        <v/>
      </c>
      <c r="M136" s="26"/>
      <c r="N136" s="282"/>
      <c r="O136" s="71">
        <f t="shared" si="25"/>
        <v>0</v>
      </c>
      <c r="P136" s="74"/>
    </row>
    <row r="137" spans="2:16" x14ac:dyDescent="0.2">
      <c r="B137" s="61" t="str">
        <f t="shared" si="22"/>
        <v/>
      </c>
      <c r="C137" s="49">
        <v>128</v>
      </c>
      <c r="D137" s="72"/>
      <c r="E137" s="73">
        <f t="shared" si="26"/>
        <v>0</v>
      </c>
      <c r="F137" s="66"/>
      <c r="G137" s="1" t="str">
        <f t="shared" si="18"/>
        <v/>
      </c>
      <c r="H137" s="25" t="str">
        <f t="shared" si="23"/>
        <v/>
      </c>
      <c r="I137" s="42" t="str">
        <f t="shared" si="24"/>
        <v/>
      </c>
      <c r="J137" s="69" t="str">
        <f t="shared" si="19"/>
        <v/>
      </c>
      <c r="K137" s="69">
        <f t="shared" si="20"/>
        <v>0</v>
      </c>
      <c r="L137" s="234" t="str">
        <f t="shared" si="21"/>
        <v/>
      </c>
      <c r="M137" s="26"/>
      <c r="N137" s="282"/>
      <c r="O137" s="71">
        <f t="shared" si="25"/>
        <v>0</v>
      </c>
      <c r="P137" s="74"/>
    </row>
    <row r="138" spans="2:16" x14ac:dyDescent="0.2">
      <c r="B138" s="61" t="str">
        <f t="shared" ref="B138:B169" si="27">IF(D138&lt;&gt;"",1,"")</f>
        <v/>
      </c>
      <c r="C138" s="49">
        <v>129</v>
      </c>
      <c r="D138" s="72"/>
      <c r="E138" s="73">
        <f t="shared" si="26"/>
        <v>0</v>
      </c>
      <c r="F138" s="66"/>
      <c r="G138" s="1" t="str">
        <f t="shared" si="18"/>
        <v/>
      </c>
      <c r="H138" s="25" t="str">
        <f t="shared" ref="H138:H169" si="28">IF($D138&lt;&gt;"",$H$9,"")</f>
        <v/>
      </c>
      <c r="I138" s="42" t="str">
        <f t="shared" ref="I138:I169" si="29">IF($D138&lt;&gt;"",$I$9,"")</f>
        <v/>
      </c>
      <c r="J138" s="69" t="str">
        <f t="shared" si="19"/>
        <v/>
      </c>
      <c r="K138" s="69">
        <f t="shared" si="20"/>
        <v>0</v>
      </c>
      <c r="L138" s="234" t="str">
        <f t="shared" si="21"/>
        <v/>
      </c>
      <c r="M138" s="26"/>
      <c r="N138" s="282"/>
      <c r="O138" s="71">
        <f t="shared" ref="O138:O169" si="30">F138/10</f>
        <v>0</v>
      </c>
      <c r="P138" s="74"/>
    </row>
    <row r="139" spans="2:16" x14ac:dyDescent="0.2">
      <c r="B139" s="61" t="str">
        <f t="shared" si="27"/>
        <v/>
      </c>
      <c r="C139" s="49">
        <v>130</v>
      </c>
      <c r="D139" s="72"/>
      <c r="E139" s="73">
        <f t="shared" si="26"/>
        <v>0</v>
      </c>
      <c r="F139" s="66"/>
      <c r="G139" s="1" t="str">
        <f t="shared" ref="G139:G202" si="31">IF($D139&lt;&gt;"",IF($G$9&lt;&gt;"",$G$9,"SELECIONAR TIPO"),"")</f>
        <v/>
      </c>
      <c r="H139" s="25" t="str">
        <f t="shared" si="28"/>
        <v/>
      </c>
      <c r="I139" s="42" t="str">
        <f t="shared" si="29"/>
        <v/>
      </c>
      <c r="J139" s="69" t="str">
        <f t="shared" ref="J139:J202" si="32">IF(OR(K139="",K139=0),"",(K139*IF(G139="EPS",1.144,IF(G139="PIR",1.12,IF(G139="PUR",1.12,0)))*(E139/100)))</f>
        <v/>
      </c>
      <c r="K139" s="69">
        <f t="shared" ref="K139:K202" si="33">IF(D139="",0,CEILING(ROUNDUP(IF(G139&lt;&gt;"",D139/IF(G139="EPS",114.4,IF(G139="PIR",112,IF(G139="PUR",112))),""),1),0.5))</f>
        <v>0</v>
      </c>
      <c r="L139" s="234" t="str">
        <f t="shared" ref="L139:L202" si="34">IF(D139&lt;&gt;"",G139&amp;" "&amp;F139&amp;"mm - ("&amp;IF(H139&lt;&gt;"",H139,"FACE")&amp;" / "&amp;IF(I139&lt;&gt;"",I139,"FACE")&amp;")","")</f>
        <v/>
      </c>
      <c r="M139" s="26"/>
      <c r="N139" s="282"/>
      <c r="O139" s="71">
        <f t="shared" si="30"/>
        <v>0</v>
      </c>
      <c r="P139" s="74"/>
    </row>
    <row r="140" spans="2:16" x14ac:dyDescent="0.2">
      <c r="B140" s="61" t="str">
        <f t="shared" si="27"/>
        <v/>
      </c>
      <c r="C140" s="49">
        <v>131</v>
      </c>
      <c r="D140" s="72"/>
      <c r="E140" s="73">
        <f t="shared" si="26"/>
        <v>0</v>
      </c>
      <c r="F140" s="66"/>
      <c r="G140" s="1" t="str">
        <f t="shared" si="31"/>
        <v/>
      </c>
      <c r="H140" s="25" t="str">
        <f t="shared" si="28"/>
        <v/>
      </c>
      <c r="I140" s="42" t="str">
        <f t="shared" si="29"/>
        <v/>
      </c>
      <c r="J140" s="69" t="str">
        <f t="shared" si="32"/>
        <v/>
      </c>
      <c r="K140" s="69">
        <f t="shared" si="33"/>
        <v>0</v>
      </c>
      <c r="L140" s="234" t="str">
        <f t="shared" si="34"/>
        <v/>
      </c>
      <c r="M140" s="26"/>
      <c r="N140" s="282"/>
      <c r="O140" s="71">
        <f t="shared" si="30"/>
        <v>0</v>
      </c>
      <c r="P140" s="74"/>
    </row>
    <row r="141" spans="2:16" x14ac:dyDescent="0.2">
      <c r="B141" s="61" t="str">
        <f t="shared" si="27"/>
        <v/>
      </c>
      <c r="C141" s="49">
        <v>132</v>
      </c>
      <c r="D141" s="72"/>
      <c r="E141" s="73">
        <f t="shared" si="26"/>
        <v>0</v>
      </c>
      <c r="F141" s="66"/>
      <c r="G141" s="1" t="str">
        <f t="shared" si="31"/>
        <v/>
      </c>
      <c r="H141" s="25" t="str">
        <f t="shared" si="28"/>
        <v/>
      </c>
      <c r="I141" s="42" t="str">
        <f t="shared" si="29"/>
        <v/>
      </c>
      <c r="J141" s="69" t="str">
        <f t="shared" si="32"/>
        <v/>
      </c>
      <c r="K141" s="69">
        <f t="shared" si="33"/>
        <v>0</v>
      </c>
      <c r="L141" s="234" t="str">
        <f t="shared" si="34"/>
        <v/>
      </c>
      <c r="M141" s="26"/>
      <c r="N141" s="282"/>
      <c r="O141" s="71">
        <f t="shared" si="30"/>
        <v>0</v>
      </c>
      <c r="P141" s="74"/>
    </row>
    <row r="142" spans="2:16" x14ac:dyDescent="0.2">
      <c r="B142" s="61" t="str">
        <f t="shared" si="27"/>
        <v/>
      </c>
      <c r="C142" s="49">
        <v>133</v>
      </c>
      <c r="D142" s="72"/>
      <c r="E142" s="73">
        <f t="shared" si="26"/>
        <v>0</v>
      </c>
      <c r="F142" s="66"/>
      <c r="G142" s="1" t="str">
        <f t="shared" si="31"/>
        <v/>
      </c>
      <c r="H142" s="25" t="str">
        <f t="shared" si="28"/>
        <v/>
      </c>
      <c r="I142" s="42" t="str">
        <f t="shared" si="29"/>
        <v/>
      </c>
      <c r="J142" s="69" t="str">
        <f t="shared" si="32"/>
        <v/>
      </c>
      <c r="K142" s="69">
        <f t="shared" si="33"/>
        <v>0</v>
      </c>
      <c r="L142" s="234" t="str">
        <f t="shared" si="34"/>
        <v/>
      </c>
      <c r="M142" s="26"/>
      <c r="N142" s="282"/>
      <c r="O142" s="71">
        <f t="shared" si="30"/>
        <v>0</v>
      </c>
      <c r="P142" s="74"/>
    </row>
    <row r="143" spans="2:16" x14ac:dyDescent="0.2">
      <c r="B143" s="61" t="str">
        <f t="shared" si="27"/>
        <v/>
      </c>
      <c r="C143" s="49">
        <v>134</v>
      </c>
      <c r="D143" s="72"/>
      <c r="E143" s="73">
        <f t="shared" si="26"/>
        <v>0</v>
      </c>
      <c r="F143" s="66"/>
      <c r="G143" s="1" t="str">
        <f t="shared" si="31"/>
        <v/>
      </c>
      <c r="H143" s="25" t="str">
        <f t="shared" si="28"/>
        <v/>
      </c>
      <c r="I143" s="42" t="str">
        <f t="shared" si="29"/>
        <v/>
      </c>
      <c r="J143" s="69" t="str">
        <f t="shared" si="32"/>
        <v/>
      </c>
      <c r="K143" s="69">
        <f t="shared" si="33"/>
        <v>0</v>
      </c>
      <c r="L143" s="234" t="str">
        <f t="shared" si="34"/>
        <v/>
      </c>
      <c r="M143" s="26"/>
      <c r="N143" s="282"/>
      <c r="O143" s="71">
        <f t="shared" si="30"/>
        <v>0</v>
      </c>
      <c r="P143" s="74"/>
    </row>
    <row r="144" spans="2:16" x14ac:dyDescent="0.2">
      <c r="B144" s="61" t="str">
        <f t="shared" si="27"/>
        <v/>
      </c>
      <c r="C144" s="49">
        <v>135</v>
      </c>
      <c r="D144" s="72"/>
      <c r="E144" s="73">
        <f t="shared" si="26"/>
        <v>0</v>
      </c>
      <c r="F144" s="66"/>
      <c r="G144" s="1" t="str">
        <f t="shared" si="31"/>
        <v/>
      </c>
      <c r="H144" s="25" t="str">
        <f t="shared" si="28"/>
        <v/>
      </c>
      <c r="I144" s="42" t="str">
        <f t="shared" si="29"/>
        <v/>
      </c>
      <c r="J144" s="69" t="str">
        <f t="shared" si="32"/>
        <v/>
      </c>
      <c r="K144" s="69">
        <f t="shared" si="33"/>
        <v>0</v>
      </c>
      <c r="L144" s="234" t="str">
        <f t="shared" si="34"/>
        <v/>
      </c>
      <c r="M144" s="26"/>
      <c r="N144" s="282"/>
      <c r="O144" s="71">
        <f t="shared" si="30"/>
        <v>0</v>
      </c>
      <c r="P144" s="74"/>
    </row>
    <row r="145" spans="2:16" x14ac:dyDescent="0.2">
      <c r="B145" s="61" t="str">
        <f t="shared" si="27"/>
        <v/>
      </c>
      <c r="C145" s="49">
        <v>136</v>
      </c>
      <c r="D145" s="72"/>
      <c r="E145" s="73">
        <f t="shared" si="26"/>
        <v>0</v>
      </c>
      <c r="F145" s="66"/>
      <c r="G145" s="1" t="str">
        <f t="shared" si="31"/>
        <v/>
      </c>
      <c r="H145" s="25" t="str">
        <f t="shared" si="28"/>
        <v/>
      </c>
      <c r="I145" s="42" t="str">
        <f t="shared" si="29"/>
        <v/>
      </c>
      <c r="J145" s="69" t="str">
        <f t="shared" si="32"/>
        <v/>
      </c>
      <c r="K145" s="69">
        <f t="shared" si="33"/>
        <v>0</v>
      </c>
      <c r="L145" s="234" t="str">
        <f t="shared" si="34"/>
        <v/>
      </c>
      <c r="M145" s="26"/>
      <c r="N145" s="282"/>
      <c r="O145" s="71">
        <f t="shared" si="30"/>
        <v>0</v>
      </c>
      <c r="P145" s="74"/>
    </row>
    <row r="146" spans="2:16" x14ac:dyDescent="0.2">
      <c r="B146" s="61" t="str">
        <f t="shared" si="27"/>
        <v/>
      </c>
      <c r="C146" s="49">
        <v>137</v>
      </c>
      <c r="D146" s="72"/>
      <c r="E146" s="73">
        <f t="shared" si="26"/>
        <v>0</v>
      </c>
      <c r="F146" s="66"/>
      <c r="G146" s="1" t="str">
        <f t="shared" si="31"/>
        <v/>
      </c>
      <c r="H146" s="25" t="str">
        <f t="shared" si="28"/>
        <v/>
      </c>
      <c r="I146" s="42" t="str">
        <f t="shared" si="29"/>
        <v/>
      </c>
      <c r="J146" s="69" t="str">
        <f t="shared" si="32"/>
        <v/>
      </c>
      <c r="K146" s="69">
        <f t="shared" si="33"/>
        <v>0</v>
      </c>
      <c r="L146" s="234" t="str">
        <f t="shared" si="34"/>
        <v/>
      </c>
      <c r="M146" s="26"/>
      <c r="N146" s="282"/>
      <c r="O146" s="71">
        <f t="shared" si="30"/>
        <v>0</v>
      </c>
      <c r="P146" s="74"/>
    </row>
    <row r="147" spans="2:16" x14ac:dyDescent="0.2">
      <c r="B147" s="61" t="str">
        <f t="shared" si="27"/>
        <v/>
      </c>
      <c r="C147" s="49">
        <v>138</v>
      </c>
      <c r="D147" s="72"/>
      <c r="E147" s="73">
        <f t="shared" si="26"/>
        <v>0</v>
      </c>
      <c r="F147" s="66"/>
      <c r="G147" s="1" t="str">
        <f t="shared" si="31"/>
        <v/>
      </c>
      <c r="H147" s="25" t="str">
        <f t="shared" si="28"/>
        <v/>
      </c>
      <c r="I147" s="42" t="str">
        <f t="shared" si="29"/>
        <v/>
      </c>
      <c r="J147" s="69" t="str">
        <f t="shared" si="32"/>
        <v/>
      </c>
      <c r="K147" s="69">
        <f t="shared" si="33"/>
        <v>0</v>
      </c>
      <c r="L147" s="234" t="str">
        <f t="shared" si="34"/>
        <v/>
      </c>
      <c r="M147" s="26"/>
      <c r="N147" s="282"/>
      <c r="O147" s="71">
        <f t="shared" si="30"/>
        <v>0</v>
      </c>
      <c r="P147" s="74"/>
    </row>
    <row r="148" spans="2:16" x14ac:dyDescent="0.2">
      <c r="B148" s="61" t="str">
        <f t="shared" si="27"/>
        <v/>
      </c>
      <c r="C148" s="49">
        <v>139</v>
      </c>
      <c r="D148" s="72"/>
      <c r="E148" s="73">
        <f t="shared" si="26"/>
        <v>0</v>
      </c>
      <c r="F148" s="66"/>
      <c r="G148" s="1" t="str">
        <f t="shared" si="31"/>
        <v/>
      </c>
      <c r="H148" s="25" t="str">
        <f t="shared" si="28"/>
        <v/>
      </c>
      <c r="I148" s="42" t="str">
        <f t="shared" si="29"/>
        <v/>
      </c>
      <c r="J148" s="69" t="str">
        <f t="shared" si="32"/>
        <v/>
      </c>
      <c r="K148" s="69">
        <f t="shared" si="33"/>
        <v>0</v>
      </c>
      <c r="L148" s="234" t="str">
        <f t="shared" si="34"/>
        <v/>
      </c>
      <c r="M148" s="26"/>
      <c r="N148" s="282"/>
      <c r="O148" s="71">
        <f t="shared" si="30"/>
        <v>0</v>
      </c>
      <c r="P148" s="74"/>
    </row>
    <row r="149" spans="2:16" x14ac:dyDescent="0.2">
      <c r="B149" s="61" t="str">
        <f t="shared" si="27"/>
        <v/>
      </c>
      <c r="C149" s="49">
        <v>140</v>
      </c>
      <c r="D149" s="72"/>
      <c r="E149" s="73">
        <f t="shared" si="26"/>
        <v>0</v>
      </c>
      <c r="F149" s="66"/>
      <c r="G149" s="1" t="str">
        <f t="shared" si="31"/>
        <v/>
      </c>
      <c r="H149" s="25" t="str">
        <f t="shared" si="28"/>
        <v/>
      </c>
      <c r="I149" s="42" t="str">
        <f t="shared" si="29"/>
        <v/>
      </c>
      <c r="J149" s="69" t="str">
        <f t="shared" si="32"/>
        <v/>
      </c>
      <c r="K149" s="69">
        <f t="shared" si="33"/>
        <v>0</v>
      </c>
      <c r="L149" s="234" t="str">
        <f t="shared" si="34"/>
        <v/>
      </c>
      <c r="M149" s="26"/>
      <c r="N149" s="282"/>
      <c r="O149" s="71">
        <f t="shared" si="30"/>
        <v>0</v>
      </c>
      <c r="P149" s="74"/>
    </row>
    <row r="150" spans="2:16" x14ac:dyDescent="0.2">
      <c r="B150" s="61" t="str">
        <f t="shared" si="27"/>
        <v/>
      </c>
      <c r="C150" s="49">
        <v>141</v>
      </c>
      <c r="D150" s="72"/>
      <c r="E150" s="73">
        <f t="shared" si="26"/>
        <v>0</v>
      </c>
      <c r="F150" s="66"/>
      <c r="G150" s="1" t="str">
        <f t="shared" si="31"/>
        <v/>
      </c>
      <c r="H150" s="25" t="str">
        <f t="shared" si="28"/>
        <v/>
      </c>
      <c r="I150" s="42" t="str">
        <f t="shared" si="29"/>
        <v/>
      </c>
      <c r="J150" s="69" t="str">
        <f t="shared" si="32"/>
        <v/>
      </c>
      <c r="K150" s="69">
        <f t="shared" si="33"/>
        <v>0</v>
      </c>
      <c r="L150" s="234" t="str">
        <f t="shared" si="34"/>
        <v/>
      </c>
      <c r="M150" s="26"/>
      <c r="N150" s="282"/>
      <c r="O150" s="71">
        <f t="shared" si="30"/>
        <v>0</v>
      </c>
      <c r="P150" s="74"/>
    </row>
    <row r="151" spans="2:16" x14ac:dyDescent="0.2">
      <c r="B151" s="61" t="str">
        <f t="shared" si="27"/>
        <v/>
      </c>
      <c r="C151" s="49">
        <v>142</v>
      </c>
      <c r="D151" s="72"/>
      <c r="E151" s="73">
        <f t="shared" si="26"/>
        <v>0</v>
      </c>
      <c r="F151" s="66"/>
      <c r="G151" s="1" t="str">
        <f t="shared" si="31"/>
        <v/>
      </c>
      <c r="H151" s="25" t="str">
        <f t="shared" si="28"/>
        <v/>
      </c>
      <c r="I151" s="42" t="str">
        <f t="shared" si="29"/>
        <v/>
      </c>
      <c r="J151" s="69" t="str">
        <f t="shared" si="32"/>
        <v/>
      </c>
      <c r="K151" s="69">
        <f t="shared" si="33"/>
        <v>0</v>
      </c>
      <c r="L151" s="234" t="str">
        <f t="shared" si="34"/>
        <v/>
      </c>
      <c r="M151" s="26"/>
      <c r="N151" s="282"/>
      <c r="O151" s="71">
        <f t="shared" si="30"/>
        <v>0</v>
      </c>
      <c r="P151" s="74"/>
    </row>
    <row r="152" spans="2:16" x14ac:dyDescent="0.2">
      <c r="B152" s="61" t="str">
        <f t="shared" si="27"/>
        <v/>
      </c>
      <c r="C152" s="49">
        <v>143</v>
      </c>
      <c r="D152" s="72"/>
      <c r="E152" s="73">
        <f t="shared" si="26"/>
        <v>0</v>
      </c>
      <c r="F152" s="66"/>
      <c r="G152" s="1" t="str">
        <f t="shared" si="31"/>
        <v/>
      </c>
      <c r="H152" s="25" t="str">
        <f t="shared" si="28"/>
        <v/>
      </c>
      <c r="I152" s="42" t="str">
        <f t="shared" si="29"/>
        <v/>
      </c>
      <c r="J152" s="69" t="str">
        <f t="shared" si="32"/>
        <v/>
      </c>
      <c r="K152" s="69">
        <f t="shared" si="33"/>
        <v>0</v>
      </c>
      <c r="L152" s="234" t="str">
        <f t="shared" si="34"/>
        <v/>
      </c>
      <c r="M152" s="26"/>
      <c r="N152" s="282"/>
      <c r="O152" s="71">
        <f t="shared" si="30"/>
        <v>0</v>
      </c>
      <c r="P152" s="74"/>
    </row>
    <row r="153" spans="2:16" x14ac:dyDescent="0.2">
      <c r="B153" s="61" t="str">
        <f t="shared" si="27"/>
        <v/>
      </c>
      <c r="C153" s="49">
        <v>144</v>
      </c>
      <c r="D153" s="72"/>
      <c r="E153" s="73">
        <f t="shared" si="26"/>
        <v>0</v>
      </c>
      <c r="F153" s="66"/>
      <c r="G153" s="1" t="str">
        <f t="shared" si="31"/>
        <v/>
      </c>
      <c r="H153" s="25" t="str">
        <f t="shared" si="28"/>
        <v/>
      </c>
      <c r="I153" s="42" t="str">
        <f t="shared" si="29"/>
        <v/>
      </c>
      <c r="J153" s="69" t="str">
        <f t="shared" si="32"/>
        <v/>
      </c>
      <c r="K153" s="69">
        <f t="shared" si="33"/>
        <v>0</v>
      </c>
      <c r="L153" s="234" t="str">
        <f t="shared" si="34"/>
        <v/>
      </c>
      <c r="M153" s="26"/>
      <c r="N153" s="282"/>
      <c r="O153" s="71">
        <f t="shared" si="30"/>
        <v>0</v>
      </c>
      <c r="P153" s="74"/>
    </row>
    <row r="154" spans="2:16" x14ac:dyDescent="0.2">
      <c r="B154" s="61" t="str">
        <f t="shared" si="27"/>
        <v/>
      </c>
      <c r="C154" s="49">
        <v>145</v>
      </c>
      <c r="D154" s="72"/>
      <c r="E154" s="73">
        <f t="shared" si="26"/>
        <v>0</v>
      </c>
      <c r="F154" s="66"/>
      <c r="G154" s="1" t="str">
        <f t="shared" si="31"/>
        <v/>
      </c>
      <c r="H154" s="25" t="str">
        <f t="shared" si="28"/>
        <v/>
      </c>
      <c r="I154" s="42" t="str">
        <f t="shared" si="29"/>
        <v/>
      </c>
      <c r="J154" s="69" t="str">
        <f t="shared" si="32"/>
        <v/>
      </c>
      <c r="K154" s="69">
        <f t="shared" si="33"/>
        <v>0</v>
      </c>
      <c r="L154" s="234" t="str">
        <f t="shared" si="34"/>
        <v/>
      </c>
      <c r="M154" s="26"/>
      <c r="N154" s="282"/>
      <c r="O154" s="71">
        <f t="shared" si="30"/>
        <v>0</v>
      </c>
      <c r="P154" s="74"/>
    </row>
    <row r="155" spans="2:16" x14ac:dyDescent="0.2">
      <c r="B155" s="61" t="str">
        <f t="shared" si="27"/>
        <v/>
      </c>
      <c r="C155" s="49">
        <v>146</v>
      </c>
      <c r="D155" s="72"/>
      <c r="E155" s="73">
        <f t="shared" si="26"/>
        <v>0</v>
      </c>
      <c r="F155" s="66"/>
      <c r="G155" s="1" t="str">
        <f t="shared" si="31"/>
        <v/>
      </c>
      <c r="H155" s="25" t="str">
        <f t="shared" si="28"/>
        <v/>
      </c>
      <c r="I155" s="42" t="str">
        <f t="shared" si="29"/>
        <v/>
      </c>
      <c r="J155" s="69" t="str">
        <f t="shared" si="32"/>
        <v/>
      </c>
      <c r="K155" s="69">
        <f t="shared" si="33"/>
        <v>0</v>
      </c>
      <c r="L155" s="234" t="str">
        <f t="shared" si="34"/>
        <v/>
      </c>
      <c r="M155" s="26"/>
      <c r="N155" s="282"/>
      <c r="O155" s="71">
        <f t="shared" si="30"/>
        <v>0</v>
      </c>
      <c r="P155" s="74"/>
    </row>
    <row r="156" spans="2:16" x14ac:dyDescent="0.2">
      <c r="B156" s="61" t="str">
        <f t="shared" si="27"/>
        <v/>
      </c>
      <c r="C156" s="49">
        <v>147</v>
      </c>
      <c r="D156" s="72"/>
      <c r="E156" s="73">
        <f t="shared" si="26"/>
        <v>0</v>
      </c>
      <c r="F156" s="66"/>
      <c r="G156" s="1" t="str">
        <f t="shared" si="31"/>
        <v/>
      </c>
      <c r="H156" s="25" t="str">
        <f t="shared" si="28"/>
        <v/>
      </c>
      <c r="I156" s="42" t="str">
        <f t="shared" si="29"/>
        <v/>
      </c>
      <c r="J156" s="69" t="str">
        <f t="shared" si="32"/>
        <v/>
      </c>
      <c r="K156" s="69">
        <f t="shared" si="33"/>
        <v>0</v>
      </c>
      <c r="L156" s="234" t="str">
        <f t="shared" si="34"/>
        <v/>
      </c>
      <c r="M156" s="26"/>
      <c r="N156" s="282"/>
      <c r="O156" s="71">
        <f t="shared" si="30"/>
        <v>0</v>
      </c>
      <c r="P156" s="74"/>
    </row>
    <row r="157" spans="2:16" x14ac:dyDescent="0.2">
      <c r="B157" s="61" t="str">
        <f t="shared" si="27"/>
        <v/>
      </c>
      <c r="C157" s="49">
        <v>148</v>
      </c>
      <c r="D157" s="72"/>
      <c r="E157" s="73">
        <f t="shared" si="26"/>
        <v>0</v>
      </c>
      <c r="F157" s="66"/>
      <c r="G157" s="1" t="str">
        <f t="shared" si="31"/>
        <v/>
      </c>
      <c r="H157" s="25" t="str">
        <f t="shared" si="28"/>
        <v/>
      </c>
      <c r="I157" s="42" t="str">
        <f t="shared" si="29"/>
        <v/>
      </c>
      <c r="J157" s="69" t="str">
        <f t="shared" si="32"/>
        <v/>
      </c>
      <c r="K157" s="69">
        <f t="shared" si="33"/>
        <v>0</v>
      </c>
      <c r="L157" s="234" t="str">
        <f t="shared" si="34"/>
        <v/>
      </c>
      <c r="M157" s="26"/>
      <c r="N157" s="282"/>
      <c r="O157" s="71">
        <f t="shared" si="30"/>
        <v>0</v>
      </c>
      <c r="P157" s="74"/>
    </row>
    <row r="158" spans="2:16" x14ac:dyDescent="0.2">
      <c r="B158" s="61" t="str">
        <f t="shared" si="27"/>
        <v/>
      </c>
      <c r="C158" s="49">
        <v>149</v>
      </c>
      <c r="D158" s="72"/>
      <c r="E158" s="73">
        <f t="shared" si="26"/>
        <v>0</v>
      </c>
      <c r="F158" s="66"/>
      <c r="G158" s="1" t="str">
        <f t="shared" si="31"/>
        <v/>
      </c>
      <c r="H158" s="25" t="str">
        <f t="shared" si="28"/>
        <v/>
      </c>
      <c r="I158" s="42" t="str">
        <f t="shared" si="29"/>
        <v/>
      </c>
      <c r="J158" s="69" t="str">
        <f t="shared" si="32"/>
        <v/>
      </c>
      <c r="K158" s="69">
        <f t="shared" si="33"/>
        <v>0</v>
      </c>
      <c r="L158" s="234" t="str">
        <f t="shared" si="34"/>
        <v/>
      </c>
      <c r="M158" s="26"/>
      <c r="N158" s="282"/>
      <c r="O158" s="71">
        <f t="shared" si="30"/>
        <v>0</v>
      </c>
      <c r="P158" s="74"/>
    </row>
    <row r="159" spans="2:16" x14ac:dyDescent="0.2">
      <c r="B159" s="61" t="str">
        <f t="shared" si="27"/>
        <v/>
      </c>
      <c r="C159" s="49">
        <v>150</v>
      </c>
      <c r="D159" s="72"/>
      <c r="E159" s="73">
        <f t="shared" si="26"/>
        <v>0</v>
      </c>
      <c r="F159" s="66"/>
      <c r="G159" s="1" t="str">
        <f t="shared" si="31"/>
        <v/>
      </c>
      <c r="H159" s="25" t="str">
        <f t="shared" si="28"/>
        <v/>
      </c>
      <c r="I159" s="42" t="str">
        <f t="shared" si="29"/>
        <v/>
      </c>
      <c r="J159" s="69" t="str">
        <f t="shared" si="32"/>
        <v/>
      </c>
      <c r="K159" s="69">
        <f t="shared" si="33"/>
        <v>0</v>
      </c>
      <c r="L159" s="234" t="str">
        <f t="shared" si="34"/>
        <v/>
      </c>
      <c r="M159" s="26"/>
      <c r="N159" s="282"/>
      <c r="O159" s="71">
        <f t="shared" si="30"/>
        <v>0</v>
      </c>
      <c r="P159" s="74"/>
    </row>
    <row r="160" spans="2:16" x14ac:dyDescent="0.2">
      <c r="B160" s="61" t="str">
        <f t="shared" si="27"/>
        <v/>
      </c>
      <c r="C160" s="49">
        <v>151</v>
      </c>
      <c r="D160" s="72"/>
      <c r="E160" s="73">
        <f t="shared" si="26"/>
        <v>0</v>
      </c>
      <c r="F160" s="66"/>
      <c r="G160" s="1" t="str">
        <f t="shared" si="31"/>
        <v/>
      </c>
      <c r="H160" s="25" t="str">
        <f t="shared" si="28"/>
        <v/>
      </c>
      <c r="I160" s="42" t="str">
        <f t="shared" si="29"/>
        <v/>
      </c>
      <c r="J160" s="69" t="str">
        <f t="shared" si="32"/>
        <v/>
      </c>
      <c r="K160" s="69">
        <f t="shared" si="33"/>
        <v>0</v>
      </c>
      <c r="L160" s="234" t="str">
        <f t="shared" si="34"/>
        <v/>
      </c>
      <c r="M160" s="26"/>
      <c r="N160" s="282"/>
      <c r="O160" s="71">
        <f t="shared" si="30"/>
        <v>0</v>
      </c>
      <c r="P160" s="74"/>
    </row>
    <row r="161" spans="2:16" x14ac:dyDescent="0.2">
      <c r="B161" s="61" t="str">
        <f t="shared" si="27"/>
        <v/>
      </c>
      <c r="C161" s="49">
        <v>152</v>
      </c>
      <c r="D161" s="72"/>
      <c r="E161" s="73">
        <f t="shared" si="17"/>
        <v>0</v>
      </c>
      <c r="F161" s="66"/>
      <c r="G161" s="1" t="str">
        <f t="shared" si="31"/>
        <v/>
      </c>
      <c r="H161" s="25" t="str">
        <f t="shared" si="28"/>
        <v/>
      </c>
      <c r="I161" s="42" t="str">
        <f t="shared" si="29"/>
        <v/>
      </c>
      <c r="J161" s="69" t="str">
        <f t="shared" si="32"/>
        <v/>
      </c>
      <c r="K161" s="69">
        <f t="shared" si="33"/>
        <v>0</v>
      </c>
      <c r="L161" s="234" t="str">
        <f t="shared" si="34"/>
        <v/>
      </c>
      <c r="M161" s="26"/>
      <c r="N161" s="282"/>
      <c r="O161" s="71">
        <f t="shared" si="30"/>
        <v>0</v>
      </c>
      <c r="P161" s="74"/>
    </row>
    <row r="162" spans="2:16" x14ac:dyDescent="0.2">
      <c r="B162" s="61" t="str">
        <f t="shared" si="27"/>
        <v/>
      </c>
      <c r="C162" s="49">
        <v>153</v>
      </c>
      <c r="D162" s="72"/>
      <c r="E162" s="73">
        <f t="shared" si="17"/>
        <v>0</v>
      </c>
      <c r="F162" s="66"/>
      <c r="G162" s="1" t="str">
        <f t="shared" si="31"/>
        <v/>
      </c>
      <c r="H162" s="25" t="str">
        <f t="shared" si="28"/>
        <v/>
      </c>
      <c r="I162" s="42" t="str">
        <f t="shared" si="29"/>
        <v/>
      </c>
      <c r="J162" s="69" t="str">
        <f t="shared" si="32"/>
        <v/>
      </c>
      <c r="K162" s="69">
        <f t="shared" si="33"/>
        <v>0</v>
      </c>
      <c r="L162" s="234" t="str">
        <f t="shared" si="34"/>
        <v/>
      </c>
      <c r="M162" s="26"/>
      <c r="N162" s="282"/>
      <c r="O162" s="71">
        <f t="shared" si="30"/>
        <v>0</v>
      </c>
      <c r="P162" s="74"/>
    </row>
    <row r="163" spans="2:16" x14ac:dyDescent="0.2">
      <c r="B163" s="61" t="str">
        <f t="shared" si="27"/>
        <v/>
      </c>
      <c r="C163" s="49">
        <v>154</v>
      </c>
      <c r="D163" s="72"/>
      <c r="E163" s="73">
        <f t="shared" si="17"/>
        <v>0</v>
      </c>
      <c r="F163" s="66"/>
      <c r="G163" s="1" t="str">
        <f t="shared" si="31"/>
        <v/>
      </c>
      <c r="H163" s="25" t="str">
        <f t="shared" si="28"/>
        <v/>
      </c>
      <c r="I163" s="42" t="str">
        <f t="shared" si="29"/>
        <v/>
      </c>
      <c r="J163" s="69" t="str">
        <f t="shared" si="32"/>
        <v/>
      </c>
      <c r="K163" s="69">
        <f t="shared" si="33"/>
        <v>0</v>
      </c>
      <c r="L163" s="234" t="str">
        <f t="shared" si="34"/>
        <v/>
      </c>
      <c r="M163" s="26"/>
      <c r="N163" s="282"/>
      <c r="O163" s="71">
        <f t="shared" si="30"/>
        <v>0</v>
      </c>
      <c r="P163" s="74"/>
    </row>
    <row r="164" spans="2:16" x14ac:dyDescent="0.2">
      <c r="B164" s="61" t="str">
        <f t="shared" si="27"/>
        <v/>
      </c>
      <c r="C164" s="49">
        <v>155</v>
      </c>
      <c r="D164" s="72"/>
      <c r="E164" s="73">
        <f t="shared" si="17"/>
        <v>0</v>
      </c>
      <c r="F164" s="66"/>
      <c r="G164" s="1" t="str">
        <f t="shared" si="31"/>
        <v/>
      </c>
      <c r="H164" s="25" t="str">
        <f t="shared" si="28"/>
        <v/>
      </c>
      <c r="I164" s="42" t="str">
        <f t="shared" si="29"/>
        <v/>
      </c>
      <c r="J164" s="69" t="str">
        <f t="shared" si="32"/>
        <v/>
      </c>
      <c r="K164" s="69">
        <f t="shared" si="33"/>
        <v>0</v>
      </c>
      <c r="L164" s="234" t="str">
        <f t="shared" si="34"/>
        <v/>
      </c>
      <c r="M164" s="26"/>
      <c r="N164" s="282"/>
      <c r="O164" s="71">
        <f t="shared" si="30"/>
        <v>0</v>
      </c>
      <c r="P164" s="74"/>
    </row>
    <row r="165" spans="2:16" x14ac:dyDescent="0.2">
      <c r="B165" s="61" t="str">
        <f t="shared" si="27"/>
        <v/>
      </c>
      <c r="C165" s="49">
        <v>156</v>
      </c>
      <c r="D165" s="72"/>
      <c r="E165" s="73">
        <f t="shared" si="17"/>
        <v>0</v>
      </c>
      <c r="F165" s="66"/>
      <c r="G165" s="1" t="str">
        <f t="shared" si="31"/>
        <v/>
      </c>
      <c r="H165" s="25" t="str">
        <f t="shared" si="28"/>
        <v/>
      </c>
      <c r="I165" s="42" t="str">
        <f t="shared" si="29"/>
        <v/>
      </c>
      <c r="J165" s="69" t="str">
        <f t="shared" si="32"/>
        <v/>
      </c>
      <c r="K165" s="69">
        <f t="shared" si="33"/>
        <v>0</v>
      </c>
      <c r="L165" s="234" t="str">
        <f t="shared" si="34"/>
        <v/>
      </c>
      <c r="M165" s="26"/>
      <c r="N165" s="282"/>
      <c r="O165" s="71">
        <f t="shared" si="30"/>
        <v>0</v>
      </c>
      <c r="P165" s="74"/>
    </row>
    <row r="166" spans="2:16" x14ac:dyDescent="0.2">
      <c r="B166" s="61" t="str">
        <f t="shared" si="27"/>
        <v/>
      </c>
      <c r="C166" s="49">
        <v>157</v>
      </c>
      <c r="D166" s="72"/>
      <c r="E166" s="73">
        <f t="shared" si="17"/>
        <v>0</v>
      </c>
      <c r="F166" s="66"/>
      <c r="G166" s="1" t="str">
        <f t="shared" si="31"/>
        <v/>
      </c>
      <c r="H166" s="25" t="str">
        <f t="shared" si="28"/>
        <v/>
      </c>
      <c r="I166" s="42" t="str">
        <f t="shared" si="29"/>
        <v/>
      </c>
      <c r="J166" s="69" t="str">
        <f t="shared" si="32"/>
        <v/>
      </c>
      <c r="K166" s="69">
        <f t="shared" si="33"/>
        <v>0</v>
      </c>
      <c r="L166" s="234" t="str">
        <f t="shared" si="34"/>
        <v/>
      </c>
      <c r="M166" s="26"/>
      <c r="N166" s="282"/>
      <c r="O166" s="71">
        <f t="shared" si="30"/>
        <v>0</v>
      </c>
      <c r="P166" s="74"/>
    </row>
    <row r="167" spans="2:16" x14ac:dyDescent="0.2">
      <c r="B167" s="61" t="str">
        <f t="shared" si="27"/>
        <v/>
      </c>
      <c r="C167" s="49">
        <v>158</v>
      </c>
      <c r="D167" s="72"/>
      <c r="E167" s="73">
        <f t="shared" si="17"/>
        <v>0</v>
      </c>
      <c r="F167" s="66"/>
      <c r="G167" s="1" t="str">
        <f t="shared" si="31"/>
        <v/>
      </c>
      <c r="H167" s="25" t="str">
        <f t="shared" si="28"/>
        <v/>
      </c>
      <c r="I167" s="42" t="str">
        <f t="shared" si="29"/>
        <v/>
      </c>
      <c r="J167" s="69" t="str">
        <f t="shared" si="32"/>
        <v/>
      </c>
      <c r="K167" s="69">
        <f t="shared" si="33"/>
        <v>0</v>
      </c>
      <c r="L167" s="234" t="str">
        <f t="shared" si="34"/>
        <v/>
      </c>
      <c r="M167" s="26"/>
      <c r="N167" s="282"/>
      <c r="O167" s="71">
        <f t="shared" si="30"/>
        <v>0</v>
      </c>
      <c r="P167" s="74"/>
    </row>
    <row r="168" spans="2:16" x14ac:dyDescent="0.2">
      <c r="B168" s="61" t="str">
        <f t="shared" si="27"/>
        <v/>
      </c>
      <c r="C168" s="49">
        <v>159</v>
      </c>
      <c r="D168" s="72"/>
      <c r="E168" s="73">
        <f t="shared" si="17"/>
        <v>0</v>
      </c>
      <c r="F168" s="66"/>
      <c r="G168" s="1" t="str">
        <f t="shared" si="31"/>
        <v/>
      </c>
      <c r="H168" s="25" t="str">
        <f t="shared" si="28"/>
        <v/>
      </c>
      <c r="I168" s="42" t="str">
        <f t="shared" si="29"/>
        <v/>
      </c>
      <c r="J168" s="69" t="str">
        <f t="shared" si="32"/>
        <v/>
      </c>
      <c r="K168" s="69">
        <f t="shared" si="33"/>
        <v>0</v>
      </c>
      <c r="L168" s="234" t="str">
        <f t="shared" si="34"/>
        <v/>
      </c>
      <c r="M168" s="26"/>
      <c r="N168" s="282"/>
      <c r="O168" s="71">
        <f t="shared" si="30"/>
        <v>0</v>
      </c>
      <c r="P168" s="74"/>
    </row>
    <row r="169" spans="2:16" x14ac:dyDescent="0.2">
      <c r="B169" s="61" t="str">
        <f t="shared" si="27"/>
        <v/>
      </c>
      <c r="C169" s="49">
        <v>160</v>
      </c>
      <c r="D169" s="72"/>
      <c r="E169" s="73">
        <f t="shared" si="17"/>
        <v>0</v>
      </c>
      <c r="F169" s="66"/>
      <c r="G169" s="1" t="str">
        <f t="shared" si="31"/>
        <v/>
      </c>
      <c r="H169" s="25" t="str">
        <f t="shared" si="28"/>
        <v/>
      </c>
      <c r="I169" s="42" t="str">
        <f t="shared" si="29"/>
        <v/>
      </c>
      <c r="J169" s="69" t="str">
        <f t="shared" si="32"/>
        <v/>
      </c>
      <c r="K169" s="69">
        <f t="shared" si="33"/>
        <v>0</v>
      </c>
      <c r="L169" s="234" t="str">
        <f t="shared" si="34"/>
        <v/>
      </c>
      <c r="M169" s="26"/>
      <c r="N169" s="282"/>
      <c r="O169" s="71">
        <f t="shared" si="30"/>
        <v>0</v>
      </c>
      <c r="P169" s="74"/>
    </row>
    <row r="170" spans="2:16" x14ac:dyDescent="0.2">
      <c r="B170" s="61" t="str">
        <f t="shared" ref="B170:B201" si="35">IF(D170&lt;&gt;"",1,"")</f>
        <v/>
      </c>
      <c r="C170" s="49">
        <v>161</v>
      </c>
      <c r="D170" s="72"/>
      <c r="E170" s="73">
        <f t="shared" si="17"/>
        <v>0</v>
      </c>
      <c r="F170" s="66"/>
      <c r="G170" s="1" t="str">
        <f t="shared" si="31"/>
        <v/>
      </c>
      <c r="H170" s="25" t="str">
        <f t="shared" ref="H170:H201" si="36">IF($D170&lt;&gt;"",$H$9,"")</f>
        <v/>
      </c>
      <c r="I170" s="42" t="str">
        <f t="shared" ref="I170:I201" si="37">IF($D170&lt;&gt;"",$I$9,"")</f>
        <v/>
      </c>
      <c r="J170" s="69" t="str">
        <f t="shared" si="32"/>
        <v/>
      </c>
      <c r="K170" s="69">
        <f t="shared" si="33"/>
        <v>0</v>
      </c>
      <c r="L170" s="234" t="str">
        <f t="shared" si="34"/>
        <v/>
      </c>
      <c r="M170" s="26"/>
      <c r="N170" s="282"/>
      <c r="O170" s="71">
        <f t="shared" ref="O170:O189" si="38">F170/10</f>
        <v>0</v>
      </c>
      <c r="P170" s="74"/>
    </row>
    <row r="171" spans="2:16" x14ac:dyDescent="0.2">
      <c r="B171" s="61" t="str">
        <f t="shared" si="35"/>
        <v/>
      </c>
      <c r="C171" s="49">
        <v>162</v>
      </c>
      <c r="D171" s="72"/>
      <c r="E171" s="73">
        <f t="shared" si="17"/>
        <v>0</v>
      </c>
      <c r="F171" s="66"/>
      <c r="G171" s="1" t="str">
        <f t="shared" si="31"/>
        <v/>
      </c>
      <c r="H171" s="25" t="str">
        <f t="shared" si="36"/>
        <v/>
      </c>
      <c r="I171" s="42" t="str">
        <f t="shared" si="37"/>
        <v/>
      </c>
      <c r="J171" s="69" t="str">
        <f t="shared" si="32"/>
        <v/>
      </c>
      <c r="K171" s="69">
        <f t="shared" si="33"/>
        <v>0</v>
      </c>
      <c r="L171" s="234" t="str">
        <f t="shared" si="34"/>
        <v/>
      </c>
      <c r="M171" s="26"/>
      <c r="N171" s="282"/>
      <c r="O171" s="71">
        <f t="shared" si="38"/>
        <v>0</v>
      </c>
      <c r="P171" s="74"/>
    </row>
    <row r="172" spans="2:16" x14ac:dyDescent="0.2">
      <c r="B172" s="61" t="str">
        <f t="shared" si="35"/>
        <v/>
      </c>
      <c r="C172" s="49">
        <v>163</v>
      </c>
      <c r="D172" s="72"/>
      <c r="E172" s="73">
        <f t="shared" si="17"/>
        <v>0</v>
      </c>
      <c r="F172" s="66"/>
      <c r="G172" s="1" t="str">
        <f t="shared" si="31"/>
        <v/>
      </c>
      <c r="H172" s="25" t="str">
        <f t="shared" si="36"/>
        <v/>
      </c>
      <c r="I172" s="42" t="str">
        <f t="shared" si="37"/>
        <v/>
      </c>
      <c r="J172" s="69" t="str">
        <f t="shared" si="32"/>
        <v/>
      </c>
      <c r="K172" s="69">
        <f t="shared" si="33"/>
        <v>0</v>
      </c>
      <c r="L172" s="234" t="str">
        <f t="shared" si="34"/>
        <v/>
      </c>
      <c r="M172" s="26"/>
      <c r="N172" s="282"/>
      <c r="O172" s="71">
        <f t="shared" si="38"/>
        <v>0</v>
      </c>
      <c r="P172" s="74"/>
    </row>
    <row r="173" spans="2:16" x14ac:dyDescent="0.2">
      <c r="B173" s="61" t="str">
        <f t="shared" si="35"/>
        <v/>
      </c>
      <c r="C173" s="49">
        <v>164</v>
      </c>
      <c r="D173" s="72"/>
      <c r="E173" s="73">
        <f t="shared" si="17"/>
        <v>0</v>
      </c>
      <c r="F173" s="66"/>
      <c r="G173" s="1" t="str">
        <f t="shared" si="31"/>
        <v/>
      </c>
      <c r="H173" s="25" t="str">
        <f t="shared" si="36"/>
        <v/>
      </c>
      <c r="I173" s="42" t="str">
        <f t="shared" si="37"/>
        <v/>
      </c>
      <c r="J173" s="69" t="str">
        <f t="shared" si="32"/>
        <v/>
      </c>
      <c r="K173" s="69">
        <f t="shared" si="33"/>
        <v>0</v>
      </c>
      <c r="L173" s="234" t="str">
        <f t="shared" si="34"/>
        <v/>
      </c>
      <c r="M173" s="26"/>
      <c r="N173" s="282"/>
      <c r="O173" s="71">
        <f t="shared" si="38"/>
        <v>0</v>
      </c>
      <c r="P173" s="74"/>
    </row>
    <row r="174" spans="2:16" x14ac:dyDescent="0.2">
      <c r="B174" s="61" t="str">
        <f t="shared" si="35"/>
        <v/>
      </c>
      <c r="C174" s="49">
        <v>165</v>
      </c>
      <c r="D174" s="72"/>
      <c r="E174" s="73">
        <f t="shared" si="17"/>
        <v>0</v>
      </c>
      <c r="F174" s="66"/>
      <c r="G174" s="1" t="str">
        <f t="shared" si="31"/>
        <v/>
      </c>
      <c r="H174" s="25" t="str">
        <f t="shared" si="36"/>
        <v/>
      </c>
      <c r="I174" s="42" t="str">
        <f t="shared" si="37"/>
        <v/>
      </c>
      <c r="J174" s="69" t="str">
        <f t="shared" si="32"/>
        <v/>
      </c>
      <c r="K174" s="69">
        <f t="shared" si="33"/>
        <v>0</v>
      </c>
      <c r="L174" s="234" t="str">
        <f t="shared" si="34"/>
        <v/>
      </c>
      <c r="M174" s="26"/>
      <c r="N174" s="282"/>
      <c r="O174" s="71">
        <f t="shared" si="38"/>
        <v>0</v>
      </c>
      <c r="P174" s="74"/>
    </row>
    <row r="175" spans="2:16" x14ac:dyDescent="0.2">
      <c r="B175" s="61" t="str">
        <f t="shared" si="35"/>
        <v/>
      </c>
      <c r="C175" s="49">
        <v>166</v>
      </c>
      <c r="D175" s="72"/>
      <c r="E175" s="73">
        <f t="shared" si="17"/>
        <v>0</v>
      </c>
      <c r="F175" s="66"/>
      <c r="G175" s="1" t="str">
        <f t="shared" si="31"/>
        <v/>
      </c>
      <c r="H175" s="25" t="str">
        <f t="shared" si="36"/>
        <v/>
      </c>
      <c r="I175" s="42" t="str">
        <f t="shared" si="37"/>
        <v/>
      </c>
      <c r="J175" s="69" t="str">
        <f t="shared" si="32"/>
        <v/>
      </c>
      <c r="K175" s="69">
        <f t="shared" si="33"/>
        <v>0</v>
      </c>
      <c r="L175" s="234" t="str">
        <f t="shared" si="34"/>
        <v/>
      </c>
      <c r="M175" s="26"/>
      <c r="N175" s="282"/>
      <c r="O175" s="71">
        <f t="shared" si="38"/>
        <v>0</v>
      </c>
      <c r="P175" s="74"/>
    </row>
    <row r="176" spans="2:16" x14ac:dyDescent="0.2">
      <c r="B176" s="61" t="str">
        <f t="shared" si="35"/>
        <v/>
      </c>
      <c r="C176" s="49">
        <v>167</v>
      </c>
      <c r="D176" s="72"/>
      <c r="E176" s="73">
        <f t="shared" si="17"/>
        <v>0</v>
      </c>
      <c r="F176" s="66"/>
      <c r="G176" s="1" t="str">
        <f t="shared" si="31"/>
        <v/>
      </c>
      <c r="H176" s="25" t="str">
        <f t="shared" si="36"/>
        <v/>
      </c>
      <c r="I176" s="42" t="str">
        <f t="shared" si="37"/>
        <v/>
      </c>
      <c r="J176" s="69" t="str">
        <f t="shared" si="32"/>
        <v/>
      </c>
      <c r="K176" s="69">
        <f t="shared" si="33"/>
        <v>0</v>
      </c>
      <c r="L176" s="234" t="str">
        <f t="shared" si="34"/>
        <v/>
      </c>
      <c r="M176" s="26"/>
      <c r="N176" s="282"/>
      <c r="O176" s="71">
        <f t="shared" si="38"/>
        <v>0</v>
      </c>
      <c r="P176" s="74"/>
    </row>
    <row r="177" spans="2:16" x14ac:dyDescent="0.2">
      <c r="B177" s="61" t="str">
        <f t="shared" si="35"/>
        <v/>
      </c>
      <c r="C177" s="49">
        <v>168</v>
      </c>
      <c r="D177" s="72"/>
      <c r="E177" s="73">
        <f t="shared" si="17"/>
        <v>0</v>
      </c>
      <c r="F177" s="66"/>
      <c r="G177" s="1" t="str">
        <f t="shared" si="31"/>
        <v/>
      </c>
      <c r="H177" s="25" t="str">
        <f t="shared" si="36"/>
        <v/>
      </c>
      <c r="I177" s="42" t="str">
        <f t="shared" si="37"/>
        <v/>
      </c>
      <c r="J177" s="69" t="str">
        <f t="shared" si="32"/>
        <v/>
      </c>
      <c r="K177" s="69">
        <f t="shared" si="33"/>
        <v>0</v>
      </c>
      <c r="L177" s="234" t="str">
        <f t="shared" si="34"/>
        <v/>
      </c>
      <c r="M177" s="26"/>
      <c r="N177" s="282"/>
      <c r="O177" s="71">
        <f t="shared" si="38"/>
        <v>0</v>
      </c>
      <c r="P177" s="74"/>
    </row>
    <row r="178" spans="2:16" x14ac:dyDescent="0.2">
      <c r="B178" s="61" t="str">
        <f t="shared" si="35"/>
        <v/>
      </c>
      <c r="C178" s="49">
        <v>169</v>
      </c>
      <c r="D178" s="72"/>
      <c r="E178" s="73">
        <f t="shared" si="17"/>
        <v>0</v>
      </c>
      <c r="F178" s="66"/>
      <c r="G178" s="1" t="str">
        <f t="shared" si="31"/>
        <v/>
      </c>
      <c r="H178" s="25" t="str">
        <f t="shared" si="36"/>
        <v/>
      </c>
      <c r="I178" s="42" t="str">
        <f t="shared" si="37"/>
        <v/>
      </c>
      <c r="J178" s="69" t="str">
        <f t="shared" si="32"/>
        <v/>
      </c>
      <c r="K178" s="69">
        <f t="shared" si="33"/>
        <v>0</v>
      </c>
      <c r="L178" s="234" t="str">
        <f t="shared" si="34"/>
        <v/>
      </c>
      <c r="M178" s="26"/>
      <c r="N178" s="282"/>
      <c r="O178" s="71">
        <f t="shared" si="38"/>
        <v>0</v>
      </c>
      <c r="P178" s="74"/>
    </row>
    <row r="179" spans="2:16" x14ac:dyDescent="0.2">
      <c r="B179" s="61" t="str">
        <f t="shared" si="35"/>
        <v/>
      </c>
      <c r="C179" s="49">
        <v>170</v>
      </c>
      <c r="D179" s="72"/>
      <c r="E179" s="73">
        <f t="shared" si="17"/>
        <v>0</v>
      </c>
      <c r="F179" s="66"/>
      <c r="G179" s="1" t="str">
        <f t="shared" si="31"/>
        <v/>
      </c>
      <c r="H179" s="25" t="str">
        <f t="shared" si="36"/>
        <v/>
      </c>
      <c r="I179" s="42" t="str">
        <f t="shared" si="37"/>
        <v/>
      </c>
      <c r="J179" s="69" t="str">
        <f t="shared" si="32"/>
        <v/>
      </c>
      <c r="K179" s="69">
        <f t="shared" si="33"/>
        <v>0</v>
      </c>
      <c r="L179" s="234" t="str">
        <f t="shared" si="34"/>
        <v/>
      </c>
      <c r="M179" s="26"/>
      <c r="N179" s="282"/>
      <c r="O179" s="71">
        <f t="shared" si="38"/>
        <v>0</v>
      </c>
      <c r="P179" s="74"/>
    </row>
    <row r="180" spans="2:16" x14ac:dyDescent="0.2">
      <c r="B180" s="61" t="str">
        <f t="shared" si="35"/>
        <v/>
      </c>
      <c r="C180" s="49">
        <v>171</v>
      </c>
      <c r="D180" s="72"/>
      <c r="E180" s="73">
        <f t="shared" si="17"/>
        <v>0</v>
      </c>
      <c r="F180" s="66"/>
      <c r="G180" s="1" t="str">
        <f t="shared" si="31"/>
        <v/>
      </c>
      <c r="H180" s="25" t="str">
        <f t="shared" si="36"/>
        <v/>
      </c>
      <c r="I180" s="42" t="str">
        <f t="shared" si="37"/>
        <v/>
      </c>
      <c r="J180" s="69" t="str">
        <f t="shared" si="32"/>
        <v/>
      </c>
      <c r="K180" s="69">
        <f t="shared" si="33"/>
        <v>0</v>
      </c>
      <c r="L180" s="234" t="str">
        <f t="shared" si="34"/>
        <v/>
      </c>
      <c r="M180" s="26"/>
      <c r="N180" s="282"/>
      <c r="O180" s="71">
        <f t="shared" si="38"/>
        <v>0</v>
      </c>
      <c r="P180" s="74"/>
    </row>
    <row r="181" spans="2:16" x14ac:dyDescent="0.2">
      <c r="B181" s="61" t="str">
        <f t="shared" si="35"/>
        <v/>
      </c>
      <c r="C181" s="49">
        <v>172</v>
      </c>
      <c r="D181" s="72"/>
      <c r="E181" s="73">
        <f t="shared" si="17"/>
        <v>0</v>
      </c>
      <c r="F181" s="66"/>
      <c r="G181" s="1" t="str">
        <f t="shared" si="31"/>
        <v/>
      </c>
      <c r="H181" s="25" t="str">
        <f t="shared" si="36"/>
        <v/>
      </c>
      <c r="I181" s="42" t="str">
        <f t="shared" si="37"/>
        <v/>
      </c>
      <c r="J181" s="69" t="str">
        <f t="shared" si="32"/>
        <v/>
      </c>
      <c r="K181" s="69">
        <f t="shared" si="33"/>
        <v>0</v>
      </c>
      <c r="L181" s="234" t="str">
        <f t="shared" si="34"/>
        <v/>
      </c>
      <c r="M181" s="26"/>
      <c r="N181" s="282"/>
      <c r="O181" s="71">
        <f t="shared" si="38"/>
        <v>0</v>
      </c>
      <c r="P181" s="74"/>
    </row>
    <row r="182" spans="2:16" x14ac:dyDescent="0.2">
      <c r="B182" s="61" t="str">
        <f t="shared" si="35"/>
        <v/>
      </c>
      <c r="C182" s="49">
        <v>173</v>
      </c>
      <c r="D182" s="72"/>
      <c r="E182" s="73">
        <f t="shared" si="17"/>
        <v>0</v>
      </c>
      <c r="F182" s="66"/>
      <c r="G182" s="1" t="str">
        <f t="shared" si="31"/>
        <v/>
      </c>
      <c r="H182" s="25" t="str">
        <f t="shared" si="36"/>
        <v/>
      </c>
      <c r="I182" s="42" t="str">
        <f t="shared" si="37"/>
        <v/>
      </c>
      <c r="J182" s="69" t="str">
        <f t="shared" si="32"/>
        <v/>
      </c>
      <c r="K182" s="69">
        <f t="shared" si="33"/>
        <v>0</v>
      </c>
      <c r="L182" s="234" t="str">
        <f t="shared" si="34"/>
        <v/>
      </c>
      <c r="M182" s="26"/>
      <c r="N182" s="282"/>
      <c r="O182" s="71">
        <f t="shared" si="38"/>
        <v>0</v>
      </c>
      <c r="P182" s="74"/>
    </row>
    <row r="183" spans="2:16" x14ac:dyDescent="0.2">
      <c r="B183" s="61" t="str">
        <f t="shared" si="35"/>
        <v/>
      </c>
      <c r="C183" s="49">
        <v>174</v>
      </c>
      <c r="D183" s="72"/>
      <c r="E183" s="73">
        <f t="shared" si="17"/>
        <v>0</v>
      </c>
      <c r="F183" s="66"/>
      <c r="G183" s="1" t="str">
        <f t="shared" si="31"/>
        <v/>
      </c>
      <c r="H183" s="25" t="str">
        <f t="shared" si="36"/>
        <v/>
      </c>
      <c r="I183" s="42" t="str">
        <f t="shared" si="37"/>
        <v/>
      </c>
      <c r="J183" s="69" t="str">
        <f t="shared" si="32"/>
        <v/>
      </c>
      <c r="K183" s="69">
        <f t="shared" si="33"/>
        <v>0</v>
      </c>
      <c r="L183" s="234" t="str">
        <f t="shared" si="34"/>
        <v/>
      </c>
      <c r="M183" s="26"/>
      <c r="N183" s="282"/>
      <c r="O183" s="71">
        <f t="shared" si="38"/>
        <v>0</v>
      </c>
      <c r="P183" s="74"/>
    </row>
    <row r="184" spans="2:16" x14ac:dyDescent="0.2">
      <c r="B184" s="61" t="str">
        <f t="shared" si="35"/>
        <v/>
      </c>
      <c r="C184" s="49">
        <v>175</v>
      </c>
      <c r="D184" s="72"/>
      <c r="E184" s="73">
        <f t="shared" si="17"/>
        <v>0</v>
      </c>
      <c r="F184" s="66"/>
      <c r="G184" s="1" t="str">
        <f t="shared" si="31"/>
        <v/>
      </c>
      <c r="H184" s="25" t="str">
        <f t="shared" si="36"/>
        <v/>
      </c>
      <c r="I184" s="42" t="str">
        <f t="shared" si="37"/>
        <v/>
      </c>
      <c r="J184" s="69" t="str">
        <f t="shared" si="32"/>
        <v/>
      </c>
      <c r="K184" s="69">
        <f t="shared" si="33"/>
        <v>0</v>
      </c>
      <c r="L184" s="234" t="str">
        <f t="shared" si="34"/>
        <v/>
      </c>
      <c r="M184" s="26"/>
      <c r="N184" s="282"/>
      <c r="O184" s="71">
        <f t="shared" si="38"/>
        <v>0</v>
      </c>
      <c r="P184" s="74"/>
    </row>
    <row r="185" spans="2:16" x14ac:dyDescent="0.2">
      <c r="B185" s="61" t="str">
        <f t="shared" si="35"/>
        <v/>
      </c>
      <c r="C185" s="49">
        <v>176</v>
      </c>
      <c r="D185" s="72"/>
      <c r="E185" s="73">
        <f t="shared" si="17"/>
        <v>0</v>
      </c>
      <c r="F185" s="66"/>
      <c r="G185" s="1" t="str">
        <f t="shared" si="31"/>
        <v/>
      </c>
      <c r="H185" s="25" t="str">
        <f t="shared" si="36"/>
        <v/>
      </c>
      <c r="I185" s="42" t="str">
        <f t="shared" si="37"/>
        <v/>
      </c>
      <c r="J185" s="69" t="str">
        <f t="shared" si="32"/>
        <v/>
      </c>
      <c r="K185" s="69">
        <f t="shared" si="33"/>
        <v>0</v>
      </c>
      <c r="L185" s="234" t="str">
        <f t="shared" si="34"/>
        <v/>
      </c>
      <c r="M185" s="26"/>
      <c r="N185" s="282"/>
      <c r="O185" s="71">
        <f t="shared" si="38"/>
        <v>0</v>
      </c>
      <c r="P185" s="74"/>
    </row>
    <row r="186" spans="2:16" x14ac:dyDescent="0.2">
      <c r="B186" s="61" t="str">
        <f t="shared" si="35"/>
        <v/>
      </c>
      <c r="C186" s="49">
        <v>177</v>
      </c>
      <c r="D186" s="72"/>
      <c r="E186" s="73">
        <f t="shared" si="17"/>
        <v>0</v>
      </c>
      <c r="F186" s="66"/>
      <c r="G186" s="1" t="str">
        <f t="shared" si="31"/>
        <v/>
      </c>
      <c r="H186" s="25" t="str">
        <f t="shared" si="36"/>
        <v/>
      </c>
      <c r="I186" s="42" t="str">
        <f t="shared" si="37"/>
        <v/>
      </c>
      <c r="J186" s="69" t="str">
        <f t="shared" si="32"/>
        <v/>
      </c>
      <c r="K186" s="69">
        <f t="shared" si="33"/>
        <v>0</v>
      </c>
      <c r="L186" s="234" t="str">
        <f t="shared" si="34"/>
        <v/>
      </c>
      <c r="M186" s="26"/>
      <c r="N186" s="282"/>
      <c r="O186" s="71">
        <f t="shared" si="38"/>
        <v>0</v>
      </c>
      <c r="P186" s="74"/>
    </row>
    <row r="187" spans="2:16" x14ac:dyDescent="0.2">
      <c r="B187" s="61" t="str">
        <f t="shared" si="35"/>
        <v/>
      </c>
      <c r="C187" s="49">
        <v>178</v>
      </c>
      <c r="D187" s="72"/>
      <c r="E187" s="73">
        <f t="shared" si="17"/>
        <v>0</v>
      </c>
      <c r="F187" s="66"/>
      <c r="G187" s="1" t="str">
        <f t="shared" si="31"/>
        <v/>
      </c>
      <c r="H187" s="25" t="str">
        <f t="shared" si="36"/>
        <v/>
      </c>
      <c r="I187" s="42" t="str">
        <f t="shared" si="37"/>
        <v/>
      </c>
      <c r="J187" s="69" t="str">
        <f t="shared" si="32"/>
        <v/>
      </c>
      <c r="K187" s="69">
        <f t="shared" si="33"/>
        <v>0</v>
      </c>
      <c r="L187" s="234" t="str">
        <f t="shared" si="34"/>
        <v/>
      </c>
      <c r="M187" s="26"/>
      <c r="N187" s="282"/>
      <c r="O187" s="71">
        <f t="shared" si="38"/>
        <v>0</v>
      </c>
      <c r="P187" s="74"/>
    </row>
    <row r="188" spans="2:16" x14ac:dyDescent="0.2">
      <c r="B188" s="61" t="str">
        <f t="shared" si="35"/>
        <v/>
      </c>
      <c r="C188" s="49">
        <v>179</v>
      </c>
      <c r="D188" s="72"/>
      <c r="E188" s="73">
        <f t="shared" si="17"/>
        <v>0</v>
      </c>
      <c r="F188" s="66"/>
      <c r="G188" s="1" t="str">
        <f t="shared" si="31"/>
        <v/>
      </c>
      <c r="H188" s="25" t="str">
        <f t="shared" si="36"/>
        <v/>
      </c>
      <c r="I188" s="42" t="str">
        <f t="shared" si="37"/>
        <v/>
      </c>
      <c r="J188" s="69" t="str">
        <f t="shared" si="32"/>
        <v/>
      </c>
      <c r="K188" s="69">
        <f t="shared" si="33"/>
        <v>0</v>
      </c>
      <c r="L188" s="234" t="str">
        <f t="shared" si="34"/>
        <v/>
      </c>
      <c r="M188" s="26"/>
      <c r="N188" s="282"/>
      <c r="O188" s="71">
        <f t="shared" si="38"/>
        <v>0</v>
      </c>
      <c r="P188" s="74"/>
    </row>
    <row r="189" spans="2:16" x14ac:dyDescent="0.2">
      <c r="B189" s="61" t="str">
        <f t="shared" si="35"/>
        <v/>
      </c>
      <c r="C189" s="49">
        <v>180</v>
      </c>
      <c r="D189" s="72"/>
      <c r="E189" s="73">
        <f t="shared" si="17"/>
        <v>0</v>
      </c>
      <c r="F189" s="66"/>
      <c r="G189" s="1" t="str">
        <f t="shared" si="31"/>
        <v/>
      </c>
      <c r="H189" s="25" t="str">
        <f t="shared" si="36"/>
        <v/>
      </c>
      <c r="I189" s="42" t="str">
        <f t="shared" si="37"/>
        <v/>
      </c>
      <c r="J189" s="69" t="str">
        <f t="shared" si="32"/>
        <v/>
      </c>
      <c r="K189" s="69">
        <f t="shared" si="33"/>
        <v>0</v>
      </c>
      <c r="L189" s="234" t="str">
        <f t="shared" si="34"/>
        <v/>
      </c>
      <c r="M189" s="26"/>
      <c r="N189" s="282"/>
      <c r="O189" s="71">
        <f t="shared" si="38"/>
        <v>0</v>
      </c>
      <c r="P189" s="74"/>
    </row>
    <row r="190" spans="2:16" x14ac:dyDescent="0.2">
      <c r="B190" s="61" t="str">
        <f t="shared" si="35"/>
        <v/>
      </c>
      <c r="C190" s="49">
        <v>181</v>
      </c>
      <c r="D190" s="72"/>
      <c r="E190" s="73">
        <f t="shared" ref="E190:E208" si="39">N190+O190/2+P190</f>
        <v>0</v>
      </c>
      <c r="F190" s="66"/>
      <c r="G190" s="1" t="str">
        <f t="shared" si="31"/>
        <v/>
      </c>
      <c r="H190" s="25" t="str">
        <f t="shared" si="36"/>
        <v/>
      </c>
      <c r="I190" s="42" t="str">
        <f t="shared" si="37"/>
        <v/>
      </c>
      <c r="J190" s="69" t="str">
        <f t="shared" si="32"/>
        <v/>
      </c>
      <c r="K190" s="69">
        <f t="shared" si="33"/>
        <v>0</v>
      </c>
      <c r="L190" s="234" t="str">
        <f t="shared" si="34"/>
        <v/>
      </c>
      <c r="M190" s="26"/>
      <c r="N190" s="282"/>
      <c r="O190" s="71">
        <f t="shared" ref="O190:O209" si="40">F190/10</f>
        <v>0</v>
      </c>
      <c r="P190" s="74"/>
    </row>
    <row r="191" spans="2:16" x14ac:dyDescent="0.2">
      <c r="B191" s="61" t="str">
        <f t="shared" si="35"/>
        <v/>
      </c>
      <c r="C191" s="49">
        <v>182</v>
      </c>
      <c r="D191" s="72"/>
      <c r="E191" s="73">
        <f t="shared" si="39"/>
        <v>0</v>
      </c>
      <c r="F191" s="66"/>
      <c r="G191" s="1" t="str">
        <f t="shared" si="31"/>
        <v/>
      </c>
      <c r="H191" s="25" t="str">
        <f t="shared" si="36"/>
        <v/>
      </c>
      <c r="I191" s="42" t="str">
        <f t="shared" si="37"/>
        <v/>
      </c>
      <c r="J191" s="69" t="str">
        <f t="shared" si="32"/>
        <v/>
      </c>
      <c r="K191" s="69">
        <f t="shared" si="33"/>
        <v>0</v>
      </c>
      <c r="L191" s="234" t="str">
        <f t="shared" si="34"/>
        <v/>
      </c>
      <c r="M191" s="26"/>
      <c r="N191" s="282"/>
      <c r="O191" s="71">
        <f t="shared" si="40"/>
        <v>0</v>
      </c>
      <c r="P191" s="74"/>
    </row>
    <row r="192" spans="2:16" x14ac:dyDescent="0.2">
      <c r="B192" s="61" t="str">
        <f t="shared" si="35"/>
        <v/>
      </c>
      <c r="C192" s="49">
        <v>183</v>
      </c>
      <c r="D192" s="72"/>
      <c r="E192" s="73">
        <f t="shared" si="39"/>
        <v>0</v>
      </c>
      <c r="F192" s="66"/>
      <c r="G192" s="1" t="str">
        <f t="shared" si="31"/>
        <v/>
      </c>
      <c r="H192" s="25" t="str">
        <f t="shared" si="36"/>
        <v/>
      </c>
      <c r="I192" s="42" t="str">
        <f t="shared" si="37"/>
        <v/>
      </c>
      <c r="J192" s="69" t="str">
        <f t="shared" si="32"/>
        <v/>
      </c>
      <c r="K192" s="69">
        <f t="shared" si="33"/>
        <v>0</v>
      </c>
      <c r="L192" s="234" t="str">
        <f t="shared" si="34"/>
        <v/>
      </c>
      <c r="M192" s="26"/>
      <c r="N192" s="282"/>
      <c r="O192" s="71">
        <f t="shared" si="40"/>
        <v>0</v>
      </c>
      <c r="P192" s="74"/>
    </row>
    <row r="193" spans="2:16" x14ac:dyDescent="0.2">
      <c r="B193" s="61" t="str">
        <f t="shared" si="35"/>
        <v/>
      </c>
      <c r="C193" s="49">
        <v>184</v>
      </c>
      <c r="D193" s="72"/>
      <c r="E193" s="73">
        <f t="shared" si="39"/>
        <v>0</v>
      </c>
      <c r="F193" s="66"/>
      <c r="G193" s="1" t="str">
        <f t="shared" si="31"/>
        <v/>
      </c>
      <c r="H193" s="25" t="str">
        <f t="shared" si="36"/>
        <v/>
      </c>
      <c r="I193" s="42" t="str">
        <f t="shared" si="37"/>
        <v/>
      </c>
      <c r="J193" s="69" t="str">
        <f t="shared" si="32"/>
        <v/>
      </c>
      <c r="K193" s="69">
        <f t="shared" si="33"/>
        <v>0</v>
      </c>
      <c r="L193" s="234" t="str">
        <f t="shared" si="34"/>
        <v/>
      </c>
      <c r="M193" s="26"/>
      <c r="N193" s="282"/>
      <c r="O193" s="71">
        <f t="shared" si="40"/>
        <v>0</v>
      </c>
      <c r="P193" s="74"/>
    </row>
    <row r="194" spans="2:16" x14ac:dyDescent="0.2">
      <c r="B194" s="61" t="str">
        <f t="shared" si="35"/>
        <v/>
      </c>
      <c r="C194" s="49">
        <v>185</v>
      </c>
      <c r="D194" s="72"/>
      <c r="E194" s="73">
        <f t="shared" si="39"/>
        <v>0</v>
      </c>
      <c r="F194" s="66"/>
      <c r="G194" s="1" t="str">
        <f t="shared" si="31"/>
        <v/>
      </c>
      <c r="H194" s="25" t="str">
        <f t="shared" si="36"/>
        <v/>
      </c>
      <c r="I194" s="42" t="str">
        <f t="shared" si="37"/>
        <v/>
      </c>
      <c r="J194" s="69" t="str">
        <f t="shared" si="32"/>
        <v/>
      </c>
      <c r="K194" s="69">
        <f t="shared" si="33"/>
        <v>0</v>
      </c>
      <c r="L194" s="234" t="str">
        <f t="shared" si="34"/>
        <v/>
      </c>
      <c r="M194" s="26"/>
      <c r="N194" s="282"/>
      <c r="O194" s="71">
        <f t="shared" si="40"/>
        <v>0</v>
      </c>
      <c r="P194" s="74"/>
    </row>
    <row r="195" spans="2:16" x14ac:dyDescent="0.2">
      <c r="B195" s="61" t="str">
        <f t="shared" si="35"/>
        <v/>
      </c>
      <c r="C195" s="49">
        <v>186</v>
      </c>
      <c r="D195" s="72"/>
      <c r="E195" s="73">
        <f t="shared" si="39"/>
        <v>0</v>
      </c>
      <c r="F195" s="66"/>
      <c r="G195" s="1" t="str">
        <f t="shared" si="31"/>
        <v/>
      </c>
      <c r="H195" s="25" t="str">
        <f t="shared" si="36"/>
        <v/>
      </c>
      <c r="I195" s="42" t="str">
        <f t="shared" si="37"/>
        <v/>
      </c>
      <c r="J195" s="69" t="str">
        <f t="shared" si="32"/>
        <v/>
      </c>
      <c r="K195" s="69">
        <f t="shared" si="33"/>
        <v>0</v>
      </c>
      <c r="L195" s="234" t="str">
        <f t="shared" si="34"/>
        <v/>
      </c>
      <c r="M195" s="26"/>
      <c r="N195" s="282"/>
      <c r="O195" s="71">
        <f t="shared" si="40"/>
        <v>0</v>
      </c>
      <c r="P195" s="74"/>
    </row>
    <row r="196" spans="2:16" x14ac:dyDescent="0.2">
      <c r="B196" s="61" t="str">
        <f t="shared" si="35"/>
        <v/>
      </c>
      <c r="C196" s="49">
        <v>187</v>
      </c>
      <c r="D196" s="72"/>
      <c r="E196" s="73">
        <f t="shared" si="39"/>
        <v>0</v>
      </c>
      <c r="F196" s="66"/>
      <c r="G196" s="1" t="str">
        <f t="shared" si="31"/>
        <v/>
      </c>
      <c r="H196" s="25" t="str">
        <f t="shared" si="36"/>
        <v/>
      </c>
      <c r="I196" s="42" t="str">
        <f t="shared" si="37"/>
        <v/>
      </c>
      <c r="J196" s="69" t="str">
        <f t="shared" si="32"/>
        <v/>
      </c>
      <c r="K196" s="69">
        <f t="shared" si="33"/>
        <v>0</v>
      </c>
      <c r="L196" s="234" t="str">
        <f t="shared" si="34"/>
        <v/>
      </c>
      <c r="M196" s="26"/>
      <c r="N196" s="282"/>
      <c r="O196" s="71">
        <f t="shared" si="40"/>
        <v>0</v>
      </c>
      <c r="P196" s="74"/>
    </row>
    <row r="197" spans="2:16" x14ac:dyDescent="0.2">
      <c r="B197" s="61" t="str">
        <f t="shared" si="35"/>
        <v/>
      </c>
      <c r="C197" s="49">
        <v>188</v>
      </c>
      <c r="D197" s="72"/>
      <c r="E197" s="73">
        <f t="shared" si="39"/>
        <v>0</v>
      </c>
      <c r="F197" s="66"/>
      <c r="G197" s="1" t="str">
        <f t="shared" si="31"/>
        <v/>
      </c>
      <c r="H197" s="25" t="str">
        <f t="shared" si="36"/>
        <v/>
      </c>
      <c r="I197" s="42" t="str">
        <f t="shared" si="37"/>
        <v/>
      </c>
      <c r="J197" s="69" t="str">
        <f t="shared" si="32"/>
        <v/>
      </c>
      <c r="K197" s="69">
        <f t="shared" si="33"/>
        <v>0</v>
      </c>
      <c r="L197" s="234" t="str">
        <f t="shared" si="34"/>
        <v/>
      </c>
      <c r="M197" s="26"/>
      <c r="N197" s="282"/>
      <c r="O197" s="71">
        <f t="shared" si="40"/>
        <v>0</v>
      </c>
      <c r="P197" s="74"/>
    </row>
    <row r="198" spans="2:16" x14ac:dyDescent="0.2">
      <c r="B198" s="61" t="str">
        <f t="shared" si="35"/>
        <v/>
      </c>
      <c r="C198" s="49">
        <v>189</v>
      </c>
      <c r="D198" s="72"/>
      <c r="E198" s="73">
        <f t="shared" si="39"/>
        <v>0</v>
      </c>
      <c r="F198" s="66"/>
      <c r="G198" s="1" t="str">
        <f t="shared" si="31"/>
        <v/>
      </c>
      <c r="H198" s="25" t="str">
        <f t="shared" si="36"/>
        <v/>
      </c>
      <c r="I198" s="42" t="str">
        <f t="shared" si="37"/>
        <v/>
      </c>
      <c r="J198" s="69" t="str">
        <f t="shared" si="32"/>
        <v/>
      </c>
      <c r="K198" s="69">
        <f t="shared" si="33"/>
        <v>0</v>
      </c>
      <c r="L198" s="234" t="str">
        <f t="shared" si="34"/>
        <v/>
      </c>
      <c r="M198" s="26"/>
      <c r="N198" s="282"/>
      <c r="O198" s="71">
        <f t="shared" si="40"/>
        <v>0</v>
      </c>
      <c r="P198" s="74"/>
    </row>
    <row r="199" spans="2:16" x14ac:dyDescent="0.2">
      <c r="B199" s="61" t="str">
        <f t="shared" si="35"/>
        <v/>
      </c>
      <c r="C199" s="49">
        <v>190</v>
      </c>
      <c r="D199" s="72"/>
      <c r="E199" s="73">
        <f t="shared" si="39"/>
        <v>0</v>
      </c>
      <c r="F199" s="66"/>
      <c r="G199" s="1" t="str">
        <f t="shared" si="31"/>
        <v/>
      </c>
      <c r="H199" s="25" t="str">
        <f t="shared" si="36"/>
        <v/>
      </c>
      <c r="I199" s="42" t="str">
        <f t="shared" si="37"/>
        <v/>
      </c>
      <c r="J199" s="69" t="str">
        <f t="shared" si="32"/>
        <v/>
      </c>
      <c r="K199" s="69">
        <f t="shared" si="33"/>
        <v>0</v>
      </c>
      <c r="L199" s="234" t="str">
        <f t="shared" si="34"/>
        <v/>
      </c>
      <c r="M199" s="26"/>
      <c r="N199" s="282"/>
      <c r="O199" s="71">
        <f t="shared" si="40"/>
        <v>0</v>
      </c>
      <c r="P199" s="74"/>
    </row>
    <row r="200" spans="2:16" x14ac:dyDescent="0.2">
      <c r="B200" s="61" t="str">
        <f t="shared" si="35"/>
        <v/>
      </c>
      <c r="C200" s="49">
        <v>191</v>
      </c>
      <c r="D200" s="72"/>
      <c r="E200" s="73">
        <f t="shared" si="39"/>
        <v>0</v>
      </c>
      <c r="F200" s="66"/>
      <c r="G200" s="1" t="str">
        <f t="shared" si="31"/>
        <v/>
      </c>
      <c r="H200" s="25" t="str">
        <f t="shared" si="36"/>
        <v/>
      </c>
      <c r="I200" s="42" t="str">
        <f t="shared" si="37"/>
        <v/>
      </c>
      <c r="J200" s="69" t="str">
        <f t="shared" si="32"/>
        <v/>
      </c>
      <c r="K200" s="69">
        <f t="shared" si="33"/>
        <v>0</v>
      </c>
      <c r="L200" s="234" t="str">
        <f t="shared" si="34"/>
        <v/>
      </c>
      <c r="M200" s="26"/>
      <c r="N200" s="282"/>
      <c r="O200" s="71">
        <f t="shared" si="40"/>
        <v>0</v>
      </c>
      <c r="P200" s="74"/>
    </row>
    <row r="201" spans="2:16" x14ac:dyDescent="0.2">
      <c r="B201" s="61" t="str">
        <f t="shared" si="35"/>
        <v/>
      </c>
      <c r="C201" s="49">
        <v>192</v>
      </c>
      <c r="D201" s="72"/>
      <c r="E201" s="73">
        <f t="shared" si="39"/>
        <v>0</v>
      </c>
      <c r="F201" s="66"/>
      <c r="G201" s="1" t="str">
        <f t="shared" si="31"/>
        <v/>
      </c>
      <c r="H201" s="25" t="str">
        <f t="shared" si="36"/>
        <v/>
      </c>
      <c r="I201" s="42" t="str">
        <f t="shared" si="37"/>
        <v/>
      </c>
      <c r="J201" s="69" t="str">
        <f t="shared" si="32"/>
        <v/>
      </c>
      <c r="K201" s="69">
        <f t="shared" si="33"/>
        <v>0</v>
      </c>
      <c r="L201" s="234" t="str">
        <f t="shared" si="34"/>
        <v/>
      </c>
      <c r="M201" s="26"/>
      <c r="N201" s="282"/>
      <c r="O201" s="71">
        <f t="shared" si="40"/>
        <v>0</v>
      </c>
      <c r="P201" s="74"/>
    </row>
    <row r="202" spans="2:16" x14ac:dyDescent="0.2">
      <c r="B202" s="61" t="str">
        <f t="shared" ref="B202:B209" si="41">IF(D202&lt;&gt;"",1,"")</f>
        <v/>
      </c>
      <c r="C202" s="49">
        <v>193</v>
      </c>
      <c r="D202" s="72"/>
      <c r="E202" s="73">
        <f t="shared" si="39"/>
        <v>0</v>
      </c>
      <c r="F202" s="66"/>
      <c r="G202" s="1" t="str">
        <f t="shared" si="31"/>
        <v/>
      </c>
      <c r="H202" s="25" t="str">
        <f t="shared" ref="H202:H209" si="42">IF($D202&lt;&gt;"",$H$9,"")</f>
        <v/>
      </c>
      <c r="I202" s="42" t="str">
        <f t="shared" ref="I202:I209" si="43">IF($D202&lt;&gt;"",$I$9,"")</f>
        <v/>
      </c>
      <c r="J202" s="69" t="str">
        <f t="shared" si="32"/>
        <v/>
      </c>
      <c r="K202" s="69">
        <f t="shared" si="33"/>
        <v>0</v>
      </c>
      <c r="L202" s="234" t="str">
        <f t="shared" si="34"/>
        <v/>
      </c>
      <c r="M202" s="26"/>
      <c r="N202" s="282"/>
      <c r="O202" s="71">
        <f t="shared" si="40"/>
        <v>0</v>
      </c>
      <c r="P202" s="74"/>
    </row>
    <row r="203" spans="2:16" x14ac:dyDescent="0.2">
      <c r="B203" s="61" t="str">
        <f t="shared" si="41"/>
        <v/>
      </c>
      <c r="C203" s="49">
        <v>194</v>
      </c>
      <c r="D203" s="72"/>
      <c r="E203" s="73">
        <f t="shared" si="39"/>
        <v>0</v>
      </c>
      <c r="F203" s="66"/>
      <c r="G203" s="1" t="str">
        <f t="shared" ref="G203:G209" si="44">IF($D203&lt;&gt;"",IF($G$9&lt;&gt;"",$G$9,"SELECIONAR TIPO"),"")</f>
        <v/>
      </c>
      <c r="H203" s="25" t="str">
        <f t="shared" si="42"/>
        <v/>
      </c>
      <c r="I203" s="42" t="str">
        <f t="shared" si="43"/>
        <v/>
      </c>
      <c r="J203" s="69" t="str">
        <f t="shared" ref="J203:J208" si="45">IF(OR(K203="",K203=0),"",(K203*IF(G203="EPS",1.144,IF(G203="PIR",1.12,IF(G203="PUR",1.12,0)))*(E203/100)))</f>
        <v/>
      </c>
      <c r="K203" s="69">
        <f t="shared" ref="K203:K209" si="46">IF(D203="",0,CEILING(ROUNDUP(IF(G203&lt;&gt;"",D203/IF(G203="EPS",114.4,IF(G203="PIR",112,IF(G203="PUR",112))),""),1),0.5))</f>
        <v>0</v>
      </c>
      <c r="L203" s="234" t="str">
        <f t="shared" ref="L203:L209" si="47">IF(D203&lt;&gt;"",G203&amp;" "&amp;F203&amp;"mm - ("&amp;IF(H203&lt;&gt;"",H203,"FACE")&amp;" / "&amp;IF(I203&lt;&gt;"",I203,"FACE")&amp;")","")</f>
        <v/>
      </c>
      <c r="M203" s="26"/>
      <c r="N203" s="282"/>
      <c r="O203" s="71">
        <f t="shared" si="40"/>
        <v>0</v>
      </c>
      <c r="P203" s="74"/>
    </row>
    <row r="204" spans="2:16" x14ac:dyDescent="0.2">
      <c r="B204" s="61" t="str">
        <f t="shared" si="41"/>
        <v/>
      </c>
      <c r="C204" s="49">
        <v>195</v>
      </c>
      <c r="D204" s="72"/>
      <c r="E204" s="73">
        <f t="shared" si="39"/>
        <v>0</v>
      </c>
      <c r="F204" s="66"/>
      <c r="G204" s="1" t="str">
        <f t="shared" si="44"/>
        <v/>
      </c>
      <c r="H204" s="25" t="str">
        <f t="shared" si="42"/>
        <v/>
      </c>
      <c r="I204" s="42" t="str">
        <f t="shared" si="43"/>
        <v/>
      </c>
      <c r="J204" s="69" t="str">
        <f t="shared" si="45"/>
        <v/>
      </c>
      <c r="K204" s="69">
        <f t="shared" si="46"/>
        <v>0</v>
      </c>
      <c r="L204" s="234" t="str">
        <f t="shared" si="47"/>
        <v/>
      </c>
      <c r="M204" s="26"/>
      <c r="N204" s="282"/>
      <c r="O204" s="71">
        <f t="shared" si="40"/>
        <v>0</v>
      </c>
      <c r="P204" s="74"/>
    </row>
    <row r="205" spans="2:16" x14ac:dyDescent="0.2">
      <c r="B205" s="61" t="str">
        <f t="shared" si="41"/>
        <v/>
      </c>
      <c r="C205" s="49">
        <v>196</v>
      </c>
      <c r="D205" s="72"/>
      <c r="E205" s="73">
        <f t="shared" si="39"/>
        <v>0</v>
      </c>
      <c r="F205" s="66"/>
      <c r="G205" s="1" t="str">
        <f t="shared" si="44"/>
        <v/>
      </c>
      <c r="H205" s="25" t="str">
        <f t="shared" si="42"/>
        <v/>
      </c>
      <c r="I205" s="42" t="str">
        <f t="shared" si="43"/>
        <v/>
      </c>
      <c r="J205" s="69" t="str">
        <f t="shared" si="45"/>
        <v/>
      </c>
      <c r="K205" s="69">
        <f t="shared" si="46"/>
        <v>0</v>
      </c>
      <c r="L205" s="234" t="str">
        <f t="shared" si="47"/>
        <v/>
      </c>
      <c r="M205" s="26"/>
      <c r="N205" s="282"/>
      <c r="O205" s="71">
        <f t="shared" si="40"/>
        <v>0</v>
      </c>
      <c r="P205" s="74"/>
    </row>
    <row r="206" spans="2:16" x14ac:dyDescent="0.2">
      <c r="B206" s="61" t="str">
        <f t="shared" si="41"/>
        <v/>
      </c>
      <c r="C206" s="49">
        <v>197</v>
      </c>
      <c r="D206" s="72"/>
      <c r="E206" s="73">
        <f t="shared" si="39"/>
        <v>0</v>
      </c>
      <c r="F206" s="66"/>
      <c r="G206" s="1" t="str">
        <f t="shared" si="44"/>
        <v/>
      </c>
      <c r="H206" s="25" t="str">
        <f t="shared" si="42"/>
        <v/>
      </c>
      <c r="I206" s="42" t="str">
        <f t="shared" si="43"/>
        <v/>
      </c>
      <c r="J206" s="69" t="str">
        <f t="shared" si="45"/>
        <v/>
      </c>
      <c r="K206" s="69">
        <f t="shared" si="46"/>
        <v>0</v>
      </c>
      <c r="L206" s="234" t="str">
        <f t="shared" si="47"/>
        <v/>
      </c>
      <c r="M206" s="26"/>
      <c r="N206" s="282"/>
      <c r="O206" s="71">
        <f t="shared" si="40"/>
        <v>0</v>
      </c>
      <c r="P206" s="74"/>
    </row>
    <row r="207" spans="2:16" x14ac:dyDescent="0.2">
      <c r="B207" s="61" t="str">
        <f t="shared" si="41"/>
        <v/>
      </c>
      <c r="C207" s="49">
        <v>198</v>
      </c>
      <c r="D207" s="72"/>
      <c r="E207" s="73">
        <f t="shared" si="39"/>
        <v>0</v>
      </c>
      <c r="F207" s="66"/>
      <c r="G207" s="1" t="str">
        <f t="shared" si="44"/>
        <v/>
      </c>
      <c r="H207" s="25" t="str">
        <f t="shared" si="42"/>
        <v/>
      </c>
      <c r="I207" s="42" t="str">
        <f t="shared" si="43"/>
        <v/>
      </c>
      <c r="J207" s="69" t="str">
        <f t="shared" si="45"/>
        <v/>
      </c>
      <c r="K207" s="69">
        <f t="shared" si="46"/>
        <v>0</v>
      </c>
      <c r="L207" s="234" t="str">
        <f t="shared" si="47"/>
        <v/>
      </c>
      <c r="M207" s="26"/>
      <c r="N207" s="282"/>
      <c r="O207" s="71">
        <f t="shared" si="40"/>
        <v>0</v>
      </c>
      <c r="P207" s="74"/>
    </row>
    <row r="208" spans="2:16" x14ac:dyDescent="0.2">
      <c r="B208" s="61" t="str">
        <f t="shared" si="41"/>
        <v/>
      </c>
      <c r="C208" s="49">
        <v>199</v>
      </c>
      <c r="D208" s="72"/>
      <c r="E208" s="73">
        <f t="shared" si="39"/>
        <v>0</v>
      </c>
      <c r="F208" s="66"/>
      <c r="G208" s="1" t="str">
        <f t="shared" si="44"/>
        <v/>
      </c>
      <c r="H208" s="25" t="str">
        <f t="shared" si="42"/>
        <v/>
      </c>
      <c r="I208" s="42" t="str">
        <f t="shared" si="43"/>
        <v/>
      </c>
      <c r="J208" s="69" t="str">
        <f t="shared" si="45"/>
        <v/>
      </c>
      <c r="K208" s="69">
        <f t="shared" si="46"/>
        <v>0</v>
      </c>
      <c r="L208" s="234" t="str">
        <f t="shared" si="47"/>
        <v/>
      </c>
      <c r="M208" s="26"/>
      <c r="N208" s="282"/>
      <c r="O208" s="71">
        <f t="shared" si="40"/>
        <v>0</v>
      </c>
      <c r="P208" s="74"/>
    </row>
    <row r="209" spans="1:19" ht="13.5" thickBot="1" x14ac:dyDescent="0.25">
      <c r="B209" s="75" t="str">
        <f t="shared" si="41"/>
        <v/>
      </c>
      <c r="C209" s="30">
        <v>200</v>
      </c>
      <c r="D209" s="76"/>
      <c r="E209" s="77">
        <f>N209+O209/2+P209</f>
        <v>0</v>
      </c>
      <c r="F209" s="78"/>
      <c r="G209" s="7" t="str">
        <f t="shared" si="44"/>
        <v/>
      </c>
      <c r="H209" s="25" t="str">
        <f t="shared" si="42"/>
        <v/>
      </c>
      <c r="I209" s="47" t="str">
        <f t="shared" si="43"/>
        <v/>
      </c>
      <c r="J209" s="69" t="str">
        <f>IF(OR(K209="",K209=0),"",(K209*IF(G209="EPS",1.144,IF(G209="PIR",1.12,IF(G209="PUR",1.12,0)))*(E209/100)))</f>
        <v/>
      </c>
      <c r="K209" s="69">
        <f t="shared" si="46"/>
        <v>0</v>
      </c>
      <c r="L209" s="234" t="str">
        <f t="shared" si="47"/>
        <v/>
      </c>
      <c r="M209" s="80"/>
      <c r="N209" s="283"/>
      <c r="O209" s="81">
        <f t="shared" si="40"/>
        <v>0</v>
      </c>
      <c r="P209" s="82"/>
    </row>
    <row r="210" spans="1:19" x14ac:dyDescent="0.2">
      <c r="B210" s="58">
        <v>1</v>
      </c>
      <c r="C210" s="83"/>
      <c r="D210" s="83"/>
      <c r="E210" s="83"/>
      <c r="F210" s="83"/>
      <c r="G210" s="83"/>
      <c r="H210" s="84"/>
      <c r="I210" s="83"/>
      <c r="J210" s="83"/>
      <c r="K210" s="85"/>
      <c r="L210" s="86"/>
      <c r="M210" s="36"/>
    </row>
    <row r="211" spans="1:19" x14ac:dyDescent="0.2">
      <c r="B211" s="61">
        <v>1</v>
      </c>
      <c r="K211" s="87"/>
      <c r="L211" s="88"/>
      <c r="M211" s="27"/>
    </row>
    <row r="212" spans="1:19" ht="13.5" thickBot="1" x14ac:dyDescent="0.25">
      <c r="B212" s="75">
        <v>1</v>
      </c>
      <c r="K212" s="87"/>
      <c r="L212" s="88"/>
      <c r="M212" s="27"/>
    </row>
    <row r="213" spans="1:19" s="38" customFormat="1" ht="13.5" thickBot="1" x14ac:dyDescent="0.25">
      <c r="A213" s="14"/>
      <c r="B213" s="32">
        <v>1</v>
      </c>
      <c r="C213" s="328" t="s">
        <v>11</v>
      </c>
      <c r="D213" s="329"/>
      <c r="E213" s="329"/>
      <c r="F213" s="329"/>
      <c r="G213" s="329"/>
      <c r="H213" s="329"/>
      <c r="I213" s="329"/>
      <c r="J213" s="329"/>
      <c r="K213" s="329"/>
      <c r="L213" s="330"/>
      <c r="M213" s="28"/>
      <c r="N213" s="55"/>
      <c r="O213" s="291" t="s">
        <v>543</v>
      </c>
    </row>
    <row r="214" spans="1:19" ht="12.75" customHeight="1" x14ac:dyDescent="0.2">
      <c r="B214" s="58">
        <v>1</v>
      </c>
      <c r="C214" s="320" t="s">
        <v>1</v>
      </c>
      <c r="D214" s="315" t="s">
        <v>2</v>
      </c>
      <c r="E214" s="317" t="s">
        <v>3</v>
      </c>
      <c r="F214" s="317" t="s">
        <v>4</v>
      </c>
      <c r="G214" s="293" t="s">
        <v>5</v>
      </c>
      <c r="H214" s="50" t="s">
        <v>6</v>
      </c>
      <c r="I214" s="50" t="s">
        <v>7</v>
      </c>
      <c r="J214" s="293" t="s">
        <v>8</v>
      </c>
      <c r="K214" s="317" t="s">
        <v>9</v>
      </c>
      <c r="L214" s="325" t="s">
        <v>10</v>
      </c>
      <c r="M214" s="320" t="s">
        <v>209</v>
      </c>
    </row>
    <row r="215" spans="1:19" x14ac:dyDescent="0.2">
      <c r="B215" s="61">
        <v>1</v>
      </c>
      <c r="C215" s="321"/>
      <c r="D215" s="335"/>
      <c r="E215" s="323"/>
      <c r="F215" s="323"/>
      <c r="G215" s="332"/>
      <c r="H215" s="42" t="s">
        <v>218</v>
      </c>
      <c r="I215" s="42" t="s">
        <v>219</v>
      </c>
      <c r="J215" s="332"/>
      <c r="K215" s="323"/>
      <c r="L215" s="326"/>
      <c r="M215" s="321"/>
    </row>
    <row r="216" spans="1:19" ht="13.5" thickBot="1" x14ac:dyDescent="0.25">
      <c r="B216" s="61">
        <v>1</v>
      </c>
      <c r="C216" s="322"/>
      <c r="D216" s="336"/>
      <c r="E216" s="331"/>
      <c r="F216" s="331"/>
      <c r="G216" s="29" t="s">
        <v>511</v>
      </c>
      <c r="H216" s="29" t="s">
        <v>512</v>
      </c>
      <c r="I216" s="24" t="s">
        <v>512</v>
      </c>
      <c r="J216" s="334"/>
      <c r="K216" s="324"/>
      <c r="L216" s="327"/>
      <c r="M216" s="322"/>
    </row>
    <row r="217" spans="1:19" x14ac:dyDescent="0.2">
      <c r="B217" s="61" t="str">
        <f>IF(D217&lt;&gt;"",1,"")</f>
        <v/>
      </c>
      <c r="C217" s="48">
        <v>1</v>
      </c>
      <c r="D217" s="89"/>
      <c r="E217" s="68"/>
      <c r="F217" s="68"/>
      <c r="G217" s="4" t="str">
        <f>IF($D217&lt;&gt;"",IF($G$216&lt;&gt;"",$G$216,"SELECIONAR TIPO"),"")</f>
        <v/>
      </c>
      <c r="H217" s="25" t="str">
        <f>IF($D217&lt;&gt;"",$H$216,"")</f>
        <v/>
      </c>
      <c r="I217" s="25" t="str">
        <f>IF($D217&lt;&gt;"",$I$216,"")</f>
        <v/>
      </c>
      <c r="J217" s="69" t="str">
        <f>IF(OR(K217="",K217=0),"",(K217*IF(G217="EPS",1.144,IF(G217="PIR",1.12,0))*((D217/100)+(2*F217/1000))))</f>
        <v/>
      </c>
      <c r="K217" s="69">
        <f>IF(E217="",0,CEILING(ROUNDUP(IF(G217&lt;&gt;0,(E217+(2*(F217/10)))/IF(G217="EPS",114.4,IF(G217="PIR",112)),IF(G217="PUR",112,"")),1),0.5))</f>
        <v>0</v>
      </c>
      <c r="L217" s="70" t="str">
        <f>IF(D217&lt;&gt;"",G217&amp;" "&amp;F217&amp;"mm - ("&amp;IF(H217&lt;&gt;"",H217,"FACE")&amp;" / "&amp;IF(I217&lt;&gt;"",I217,"FACE")&amp;")","")</f>
        <v/>
      </c>
      <c r="M217" s="33"/>
    </row>
    <row r="218" spans="1:19" x14ac:dyDescent="0.2">
      <c r="B218" s="61" t="str">
        <f t="shared" ref="B218:B281" si="48">IF(D218&lt;&gt;"",1,"")</f>
        <v/>
      </c>
      <c r="C218" s="49">
        <v>2</v>
      </c>
      <c r="D218" s="90"/>
      <c r="E218" s="66"/>
      <c r="F218" s="66"/>
      <c r="G218" s="4" t="str">
        <f t="shared" ref="G218:G281" si="49">IF($D218&lt;&gt;"",IF($G$216&lt;&gt;"",$G$216,"SELECIONAR TIPO"),"")</f>
        <v/>
      </c>
      <c r="H218" s="25" t="str">
        <f t="shared" ref="H218:H281" si="50">IF($D218&lt;&gt;"",$H$216,"")</f>
        <v/>
      </c>
      <c r="I218" s="25" t="str">
        <f t="shared" ref="I218:I281" si="51">IF($D218&lt;&gt;"",$I$216,"")</f>
        <v/>
      </c>
      <c r="J218" s="69" t="str">
        <f t="shared" ref="J218:J281" si="52">IF(OR(K218="",K218=0),"",(K218*IF(G218="EPS",1.144,IF(G218="PIR",1.12,0))*((D218/100)+(2*F218/1000))))</f>
        <v/>
      </c>
      <c r="K218" s="69">
        <f t="shared" ref="K218:K281" si="53">IF(E218="",0,CEILING(ROUNDUP(IF(G218&lt;&gt;0,(E218+(2*(F218/10)))/IF(G218="EPS",114.4,IF(G218="PIR",112)),IF(G218="PUR",112,"")),1),0.5))</f>
        <v>0</v>
      </c>
      <c r="L218" s="92" t="str">
        <f t="shared" ref="L218:L281" si="54">IF(D218&lt;&gt;"",G218&amp;" "&amp;F218&amp;"mm - ("&amp;IF(H218&lt;&gt;"",H218,"FACE")&amp;" / "&amp;IF(I218&lt;&gt;"",I218,"FACE")&amp;")","")</f>
        <v/>
      </c>
      <c r="M218" s="34"/>
      <c r="S218"/>
    </row>
    <row r="219" spans="1:19" x14ac:dyDescent="0.2">
      <c r="B219" s="61" t="str">
        <f t="shared" si="48"/>
        <v/>
      </c>
      <c r="C219" s="49">
        <v>3</v>
      </c>
      <c r="D219" s="90"/>
      <c r="E219" s="66"/>
      <c r="F219" s="66"/>
      <c r="G219" s="4" t="str">
        <f t="shared" si="49"/>
        <v/>
      </c>
      <c r="H219" s="25" t="str">
        <f t="shared" si="50"/>
        <v/>
      </c>
      <c r="I219" s="25" t="str">
        <f t="shared" si="51"/>
        <v/>
      </c>
      <c r="J219" s="69" t="str">
        <f t="shared" si="52"/>
        <v/>
      </c>
      <c r="K219" s="69">
        <f t="shared" si="53"/>
        <v>0</v>
      </c>
      <c r="L219" s="92" t="str">
        <f t="shared" si="54"/>
        <v/>
      </c>
      <c r="M219" s="34"/>
    </row>
    <row r="220" spans="1:19" x14ac:dyDescent="0.2">
      <c r="B220" s="61" t="str">
        <f t="shared" si="48"/>
        <v/>
      </c>
      <c r="C220" s="49">
        <v>4</v>
      </c>
      <c r="D220" s="90"/>
      <c r="E220" s="66"/>
      <c r="F220" s="66"/>
      <c r="G220" s="4" t="str">
        <f t="shared" si="49"/>
        <v/>
      </c>
      <c r="H220" s="25" t="str">
        <f t="shared" si="50"/>
        <v/>
      </c>
      <c r="I220" s="25" t="str">
        <f t="shared" si="51"/>
        <v/>
      </c>
      <c r="J220" s="69" t="str">
        <f t="shared" si="52"/>
        <v/>
      </c>
      <c r="K220" s="69">
        <f t="shared" si="53"/>
        <v>0</v>
      </c>
      <c r="L220" s="92" t="str">
        <f t="shared" si="54"/>
        <v/>
      </c>
      <c r="M220" s="34"/>
    </row>
    <row r="221" spans="1:19" x14ac:dyDescent="0.2">
      <c r="B221" s="61" t="str">
        <f t="shared" si="48"/>
        <v/>
      </c>
      <c r="C221" s="49">
        <v>5</v>
      </c>
      <c r="D221" s="90"/>
      <c r="E221" s="66"/>
      <c r="F221" s="66"/>
      <c r="G221" s="4" t="str">
        <f t="shared" si="49"/>
        <v/>
      </c>
      <c r="H221" s="25" t="str">
        <f t="shared" si="50"/>
        <v/>
      </c>
      <c r="I221" s="25" t="str">
        <f t="shared" si="51"/>
        <v/>
      </c>
      <c r="J221" s="69" t="str">
        <f t="shared" si="52"/>
        <v/>
      </c>
      <c r="K221" s="69">
        <f t="shared" si="53"/>
        <v>0</v>
      </c>
      <c r="L221" s="92" t="str">
        <f t="shared" si="54"/>
        <v/>
      </c>
      <c r="M221" s="34"/>
    </row>
    <row r="222" spans="1:19" x14ac:dyDescent="0.2">
      <c r="B222" s="61" t="str">
        <f t="shared" si="48"/>
        <v/>
      </c>
      <c r="C222" s="49">
        <v>6</v>
      </c>
      <c r="D222" s="90"/>
      <c r="E222" s="66"/>
      <c r="F222" s="66"/>
      <c r="G222" s="4" t="str">
        <f t="shared" si="49"/>
        <v/>
      </c>
      <c r="H222" s="25" t="str">
        <f t="shared" si="50"/>
        <v/>
      </c>
      <c r="I222" s="25" t="str">
        <f t="shared" si="51"/>
        <v/>
      </c>
      <c r="J222" s="69" t="str">
        <f t="shared" si="52"/>
        <v/>
      </c>
      <c r="K222" s="69">
        <f t="shared" si="53"/>
        <v>0</v>
      </c>
      <c r="L222" s="92" t="str">
        <f t="shared" si="54"/>
        <v/>
      </c>
      <c r="M222" s="34"/>
    </row>
    <row r="223" spans="1:19" x14ac:dyDescent="0.2">
      <c r="B223" s="61" t="str">
        <f t="shared" si="48"/>
        <v/>
      </c>
      <c r="C223" s="49">
        <v>7</v>
      </c>
      <c r="D223" s="90"/>
      <c r="E223" s="66"/>
      <c r="F223" s="66"/>
      <c r="G223" s="4" t="str">
        <f t="shared" si="49"/>
        <v/>
      </c>
      <c r="H223" s="25" t="str">
        <f t="shared" si="50"/>
        <v/>
      </c>
      <c r="I223" s="25" t="str">
        <f t="shared" si="51"/>
        <v/>
      </c>
      <c r="J223" s="69" t="str">
        <f t="shared" si="52"/>
        <v/>
      </c>
      <c r="K223" s="69">
        <f t="shared" si="53"/>
        <v>0</v>
      </c>
      <c r="L223" s="92" t="str">
        <f t="shared" si="54"/>
        <v/>
      </c>
      <c r="M223" s="34"/>
    </row>
    <row r="224" spans="1:19" x14ac:dyDescent="0.2">
      <c r="B224" s="61" t="str">
        <f t="shared" si="48"/>
        <v/>
      </c>
      <c r="C224" s="49">
        <v>8</v>
      </c>
      <c r="D224" s="90"/>
      <c r="E224" s="66"/>
      <c r="F224" s="66"/>
      <c r="G224" s="4" t="str">
        <f t="shared" si="49"/>
        <v/>
      </c>
      <c r="H224" s="25" t="str">
        <f t="shared" si="50"/>
        <v/>
      </c>
      <c r="I224" s="25" t="str">
        <f t="shared" si="51"/>
        <v/>
      </c>
      <c r="J224" s="69" t="str">
        <f t="shared" si="52"/>
        <v/>
      </c>
      <c r="K224" s="69">
        <f t="shared" si="53"/>
        <v>0</v>
      </c>
      <c r="L224" s="92" t="str">
        <f t="shared" si="54"/>
        <v/>
      </c>
      <c r="M224" s="34"/>
    </row>
    <row r="225" spans="2:13" x14ac:dyDescent="0.2">
      <c r="B225" s="61" t="str">
        <f t="shared" si="48"/>
        <v/>
      </c>
      <c r="C225" s="49">
        <v>9</v>
      </c>
      <c r="D225" s="90"/>
      <c r="E225" s="66"/>
      <c r="F225" s="66"/>
      <c r="G225" s="4" t="str">
        <f t="shared" si="49"/>
        <v/>
      </c>
      <c r="H225" s="25" t="str">
        <f t="shared" si="50"/>
        <v/>
      </c>
      <c r="I225" s="25" t="str">
        <f t="shared" si="51"/>
        <v/>
      </c>
      <c r="J225" s="69" t="str">
        <f t="shared" si="52"/>
        <v/>
      </c>
      <c r="K225" s="69">
        <f t="shared" si="53"/>
        <v>0</v>
      </c>
      <c r="L225" s="92" t="str">
        <f t="shared" si="54"/>
        <v/>
      </c>
      <c r="M225" s="34"/>
    </row>
    <row r="226" spans="2:13" x14ac:dyDescent="0.2">
      <c r="B226" s="61" t="str">
        <f t="shared" si="48"/>
        <v/>
      </c>
      <c r="C226" s="49">
        <v>10</v>
      </c>
      <c r="D226" s="90"/>
      <c r="E226" s="66"/>
      <c r="F226" s="66"/>
      <c r="G226" s="4" t="str">
        <f t="shared" si="49"/>
        <v/>
      </c>
      <c r="H226" s="25" t="str">
        <f t="shared" si="50"/>
        <v/>
      </c>
      <c r="I226" s="25" t="str">
        <f t="shared" si="51"/>
        <v/>
      </c>
      <c r="J226" s="69" t="str">
        <f t="shared" si="52"/>
        <v/>
      </c>
      <c r="K226" s="69">
        <f t="shared" si="53"/>
        <v>0</v>
      </c>
      <c r="L226" s="92" t="str">
        <f t="shared" si="54"/>
        <v/>
      </c>
      <c r="M226" s="34"/>
    </row>
    <row r="227" spans="2:13" x14ac:dyDescent="0.2">
      <c r="B227" s="61" t="str">
        <f t="shared" si="48"/>
        <v/>
      </c>
      <c r="C227" s="49">
        <v>11</v>
      </c>
      <c r="D227" s="90"/>
      <c r="E227" s="66"/>
      <c r="F227" s="66"/>
      <c r="G227" s="4" t="str">
        <f t="shared" si="49"/>
        <v/>
      </c>
      <c r="H227" s="25" t="str">
        <f t="shared" si="50"/>
        <v/>
      </c>
      <c r="I227" s="25" t="str">
        <f t="shared" si="51"/>
        <v/>
      </c>
      <c r="J227" s="69" t="str">
        <f t="shared" si="52"/>
        <v/>
      </c>
      <c r="K227" s="69">
        <f t="shared" si="53"/>
        <v>0</v>
      </c>
      <c r="L227" s="92" t="str">
        <f t="shared" si="54"/>
        <v/>
      </c>
      <c r="M227" s="34"/>
    </row>
    <row r="228" spans="2:13" x14ac:dyDescent="0.2">
      <c r="B228" s="61" t="str">
        <f t="shared" si="48"/>
        <v/>
      </c>
      <c r="C228" s="49">
        <v>12</v>
      </c>
      <c r="D228" s="90"/>
      <c r="E228" s="66"/>
      <c r="F228" s="66"/>
      <c r="G228" s="4" t="str">
        <f t="shared" si="49"/>
        <v/>
      </c>
      <c r="H228" s="25" t="str">
        <f t="shared" si="50"/>
        <v/>
      </c>
      <c r="I228" s="25" t="str">
        <f t="shared" si="51"/>
        <v/>
      </c>
      <c r="J228" s="69" t="str">
        <f t="shared" si="52"/>
        <v/>
      </c>
      <c r="K228" s="69">
        <f t="shared" si="53"/>
        <v>0</v>
      </c>
      <c r="L228" s="92" t="str">
        <f t="shared" si="54"/>
        <v/>
      </c>
      <c r="M228" s="34"/>
    </row>
    <row r="229" spans="2:13" x14ac:dyDescent="0.2">
      <c r="B229" s="61" t="str">
        <f t="shared" si="48"/>
        <v/>
      </c>
      <c r="C229" s="49">
        <v>13</v>
      </c>
      <c r="D229" s="90"/>
      <c r="E229" s="66"/>
      <c r="F229" s="66"/>
      <c r="G229" s="4" t="str">
        <f t="shared" si="49"/>
        <v/>
      </c>
      <c r="H229" s="25" t="str">
        <f t="shared" si="50"/>
        <v/>
      </c>
      <c r="I229" s="25" t="str">
        <f t="shared" si="51"/>
        <v/>
      </c>
      <c r="J229" s="69" t="str">
        <f t="shared" si="52"/>
        <v/>
      </c>
      <c r="K229" s="69">
        <f t="shared" si="53"/>
        <v>0</v>
      </c>
      <c r="L229" s="92" t="str">
        <f t="shared" si="54"/>
        <v/>
      </c>
      <c r="M229" s="34"/>
    </row>
    <row r="230" spans="2:13" x14ac:dyDescent="0.2">
      <c r="B230" s="61" t="str">
        <f t="shared" si="48"/>
        <v/>
      </c>
      <c r="C230" s="49">
        <v>14</v>
      </c>
      <c r="D230" s="90"/>
      <c r="E230" s="66"/>
      <c r="F230" s="66"/>
      <c r="G230" s="4" t="str">
        <f t="shared" si="49"/>
        <v/>
      </c>
      <c r="H230" s="25" t="str">
        <f t="shared" si="50"/>
        <v/>
      </c>
      <c r="I230" s="25" t="str">
        <f t="shared" si="51"/>
        <v/>
      </c>
      <c r="J230" s="69" t="str">
        <f t="shared" si="52"/>
        <v/>
      </c>
      <c r="K230" s="69">
        <f t="shared" si="53"/>
        <v>0</v>
      </c>
      <c r="L230" s="92" t="str">
        <f t="shared" si="54"/>
        <v/>
      </c>
      <c r="M230" s="34"/>
    </row>
    <row r="231" spans="2:13" x14ac:dyDescent="0.2">
      <c r="B231" s="61" t="str">
        <f t="shared" si="48"/>
        <v/>
      </c>
      <c r="C231" s="49">
        <v>15</v>
      </c>
      <c r="D231" s="90"/>
      <c r="E231" s="66"/>
      <c r="F231" s="66"/>
      <c r="G231" s="4" t="str">
        <f t="shared" si="49"/>
        <v/>
      </c>
      <c r="H231" s="25" t="str">
        <f t="shared" si="50"/>
        <v/>
      </c>
      <c r="I231" s="25" t="str">
        <f t="shared" si="51"/>
        <v/>
      </c>
      <c r="J231" s="69" t="str">
        <f t="shared" si="52"/>
        <v/>
      </c>
      <c r="K231" s="69">
        <f t="shared" si="53"/>
        <v>0</v>
      </c>
      <c r="L231" s="92" t="str">
        <f t="shared" si="54"/>
        <v/>
      </c>
      <c r="M231" s="34"/>
    </row>
    <row r="232" spans="2:13" x14ac:dyDescent="0.2">
      <c r="B232" s="61" t="str">
        <f t="shared" si="48"/>
        <v/>
      </c>
      <c r="C232" s="49">
        <v>16</v>
      </c>
      <c r="D232" s="90"/>
      <c r="E232" s="66"/>
      <c r="F232" s="66"/>
      <c r="G232" s="4" t="str">
        <f t="shared" si="49"/>
        <v/>
      </c>
      <c r="H232" s="25" t="str">
        <f t="shared" si="50"/>
        <v/>
      </c>
      <c r="I232" s="25" t="str">
        <f t="shared" si="51"/>
        <v/>
      </c>
      <c r="J232" s="69" t="str">
        <f t="shared" si="52"/>
        <v/>
      </c>
      <c r="K232" s="69">
        <f t="shared" si="53"/>
        <v>0</v>
      </c>
      <c r="L232" s="92" t="str">
        <f t="shared" si="54"/>
        <v/>
      </c>
      <c r="M232" s="34"/>
    </row>
    <row r="233" spans="2:13" x14ac:dyDescent="0.2">
      <c r="B233" s="61" t="str">
        <f t="shared" si="48"/>
        <v/>
      </c>
      <c r="C233" s="49">
        <v>17</v>
      </c>
      <c r="D233" s="90"/>
      <c r="E233" s="66"/>
      <c r="F233" s="66"/>
      <c r="G233" s="4" t="str">
        <f t="shared" si="49"/>
        <v/>
      </c>
      <c r="H233" s="25" t="str">
        <f t="shared" si="50"/>
        <v/>
      </c>
      <c r="I233" s="25" t="str">
        <f t="shared" si="51"/>
        <v/>
      </c>
      <c r="J233" s="69" t="str">
        <f t="shared" si="52"/>
        <v/>
      </c>
      <c r="K233" s="69">
        <f t="shared" si="53"/>
        <v>0</v>
      </c>
      <c r="L233" s="92" t="str">
        <f t="shared" si="54"/>
        <v/>
      </c>
      <c r="M233" s="34"/>
    </row>
    <row r="234" spans="2:13" x14ac:dyDescent="0.2">
      <c r="B234" s="61" t="str">
        <f t="shared" si="48"/>
        <v/>
      </c>
      <c r="C234" s="49">
        <v>18</v>
      </c>
      <c r="D234" s="90"/>
      <c r="E234" s="66"/>
      <c r="F234" s="66"/>
      <c r="G234" s="4" t="str">
        <f t="shared" si="49"/>
        <v/>
      </c>
      <c r="H234" s="25" t="str">
        <f t="shared" si="50"/>
        <v/>
      </c>
      <c r="I234" s="25" t="str">
        <f t="shared" si="51"/>
        <v/>
      </c>
      <c r="J234" s="69" t="str">
        <f t="shared" si="52"/>
        <v/>
      </c>
      <c r="K234" s="69">
        <f t="shared" si="53"/>
        <v>0</v>
      </c>
      <c r="L234" s="92" t="str">
        <f t="shared" si="54"/>
        <v/>
      </c>
      <c r="M234" s="34"/>
    </row>
    <row r="235" spans="2:13" x14ac:dyDescent="0.2">
      <c r="B235" s="61" t="str">
        <f t="shared" si="48"/>
        <v/>
      </c>
      <c r="C235" s="49">
        <v>19</v>
      </c>
      <c r="D235" s="90"/>
      <c r="E235" s="66"/>
      <c r="F235" s="66"/>
      <c r="G235" s="4" t="str">
        <f t="shared" si="49"/>
        <v/>
      </c>
      <c r="H235" s="25" t="str">
        <f t="shared" si="50"/>
        <v/>
      </c>
      <c r="I235" s="25" t="str">
        <f t="shared" si="51"/>
        <v/>
      </c>
      <c r="J235" s="69" t="str">
        <f t="shared" si="52"/>
        <v/>
      </c>
      <c r="K235" s="69">
        <f t="shared" si="53"/>
        <v>0</v>
      </c>
      <c r="L235" s="92" t="str">
        <f t="shared" si="54"/>
        <v/>
      </c>
      <c r="M235" s="34"/>
    </row>
    <row r="236" spans="2:13" x14ac:dyDescent="0.2">
      <c r="B236" s="61" t="str">
        <f t="shared" si="48"/>
        <v/>
      </c>
      <c r="C236" s="49">
        <v>20</v>
      </c>
      <c r="D236" s="90"/>
      <c r="E236" s="66"/>
      <c r="F236" s="66"/>
      <c r="G236" s="4" t="str">
        <f t="shared" si="49"/>
        <v/>
      </c>
      <c r="H236" s="25" t="str">
        <f t="shared" si="50"/>
        <v/>
      </c>
      <c r="I236" s="25" t="str">
        <f t="shared" si="51"/>
        <v/>
      </c>
      <c r="J236" s="69" t="str">
        <f t="shared" si="52"/>
        <v/>
      </c>
      <c r="K236" s="69">
        <f t="shared" si="53"/>
        <v>0</v>
      </c>
      <c r="L236" s="92" t="str">
        <f t="shared" si="54"/>
        <v/>
      </c>
      <c r="M236" s="34"/>
    </row>
    <row r="237" spans="2:13" x14ac:dyDescent="0.2">
      <c r="B237" s="61" t="str">
        <f t="shared" si="48"/>
        <v/>
      </c>
      <c r="C237" s="49">
        <v>21</v>
      </c>
      <c r="D237" s="90"/>
      <c r="E237" s="66"/>
      <c r="F237" s="66"/>
      <c r="G237" s="4" t="str">
        <f t="shared" si="49"/>
        <v/>
      </c>
      <c r="H237" s="25" t="str">
        <f t="shared" si="50"/>
        <v/>
      </c>
      <c r="I237" s="25" t="str">
        <f t="shared" si="51"/>
        <v/>
      </c>
      <c r="J237" s="69" t="str">
        <f t="shared" si="52"/>
        <v/>
      </c>
      <c r="K237" s="69">
        <f t="shared" si="53"/>
        <v>0</v>
      </c>
      <c r="L237" s="92" t="str">
        <f t="shared" si="54"/>
        <v/>
      </c>
      <c r="M237" s="34"/>
    </row>
    <row r="238" spans="2:13" x14ac:dyDescent="0.2">
      <c r="B238" s="61" t="str">
        <f t="shared" si="48"/>
        <v/>
      </c>
      <c r="C238" s="49">
        <v>22</v>
      </c>
      <c r="D238" s="90"/>
      <c r="E238" s="66"/>
      <c r="F238" s="66"/>
      <c r="G238" s="4" t="str">
        <f t="shared" si="49"/>
        <v/>
      </c>
      <c r="H238" s="25" t="str">
        <f t="shared" si="50"/>
        <v/>
      </c>
      <c r="I238" s="25" t="str">
        <f t="shared" si="51"/>
        <v/>
      </c>
      <c r="J238" s="69" t="str">
        <f t="shared" si="52"/>
        <v/>
      </c>
      <c r="K238" s="69">
        <f t="shared" si="53"/>
        <v>0</v>
      </c>
      <c r="L238" s="92" t="str">
        <f t="shared" si="54"/>
        <v/>
      </c>
      <c r="M238" s="34"/>
    </row>
    <row r="239" spans="2:13" x14ac:dyDescent="0.2">
      <c r="B239" s="61" t="str">
        <f t="shared" si="48"/>
        <v/>
      </c>
      <c r="C239" s="49">
        <v>23</v>
      </c>
      <c r="D239" s="90"/>
      <c r="E239" s="66"/>
      <c r="F239" s="66"/>
      <c r="G239" s="4" t="str">
        <f t="shared" si="49"/>
        <v/>
      </c>
      <c r="H239" s="25" t="str">
        <f t="shared" si="50"/>
        <v/>
      </c>
      <c r="I239" s="25" t="str">
        <f t="shared" si="51"/>
        <v/>
      </c>
      <c r="J239" s="69" t="str">
        <f t="shared" si="52"/>
        <v/>
      </c>
      <c r="K239" s="69">
        <f t="shared" si="53"/>
        <v>0</v>
      </c>
      <c r="L239" s="92" t="str">
        <f t="shared" si="54"/>
        <v/>
      </c>
      <c r="M239" s="34"/>
    </row>
    <row r="240" spans="2:13" x14ac:dyDescent="0.2">
      <c r="B240" s="61" t="str">
        <f t="shared" si="48"/>
        <v/>
      </c>
      <c r="C240" s="49">
        <v>24</v>
      </c>
      <c r="D240" s="90"/>
      <c r="E240" s="66"/>
      <c r="F240" s="66"/>
      <c r="G240" s="4" t="str">
        <f t="shared" si="49"/>
        <v/>
      </c>
      <c r="H240" s="25" t="str">
        <f t="shared" si="50"/>
        <v/>
      </c>
      <c r="I240" s="25" t="str">
        <f t="shared" si="51"/>
        <v/>
      </c>
      <c r="J240" s="69" t="str">
        <f t="shared" si="52"/>
        <v/>
      </c>
      <c r="K240" s="69">
        <f t="shared" si="53"/>
        <v>0</v>
      </c>
      <c r="L240" s="92" t="str">
        <f t="shared" si="54"/>
        <v/>
      </c>
      <c r="M240" s="34"/>
    </row>
    <row r="241" spans="2:13" x14ac:dyDescent="0.2">
      <c r="B241" s="61" t="str">
        <f t="shared" si="48"/>
        <v/>
      </c>
      <c r="C241" s="49">
        <v>25</v>
      </c>
      <c r="D241" s="90"/>
      <c r="E241" s="66"/>
      <c r="F241" s="66"/>
      <c r="G241" s="4" t="str">
        <f t="shared" si="49"/>
        <v/>
      </c>
      <c r="H241" s="25" t="str">
        <f t="shared" si="50"/>
        <v/>
      </c>
      <c r="I241" s="25" t="str">
        <f t="shared" si="51"/>
        <v/>
      </c>
      <c r="J241" s="69" t="str">
        <f t="shared" si="52"/>
        <v/>
      </c>
      <c r="K241" s="69">
        <f t="shared" si="53"/>
        <v>0</v>
      </c>
      <c r="L241" s="92" t="str">
        <f t="shared" si="54"/>
        <v/>
      </c>
      <c r="M241" s="34"/>
    </row>
    <row r="242" spans="2:13" x14ac:dyDescent="0.2">
      <c r="B242" s="61" t="str">
        <f t="shared" si="48"/>
        <v/>
      </c>
      <c r="C242" s="49">
        <v>26</v>
      </c>
      <c r="D242" s="90"/>
      <c r="E242" s="66"/>
      <c r="F242" s="66"/>
      <c r="G242" s="4" t="str">
        <f t="shared" si="49"/>
        <v/>
      </c>
      <c r="H242" s="25" t="str">
        <f t="shared" si="50"/>
        <v/>
      </c>
      <c r="I242" s="25" t="str">
        <f t="shared" si="51"/>
        <v/>
      </c>
      <c r="J242" s="69" t="str">
        <f t="shared" si="52"/>
        <v/>
      </c>
      <c r="K242" s="69">
        <f t="shared" si="53"/>
        <v>0</v>
      </c>
      <c r="L242" s="92" t="str">
        <f t="shared" si="54"/>
        <v/>
      </c>
      <c r="M242" s="34"/>
    </row>
    <row r="243" spans="2:13" x14ac:dyDescent="0.2">
      <c r="B243" s="61" t="str">
        <f t="shared" si="48"/>
        <v/>
      </c>
      <c r="C243" s="49">
        <v>27</v>
      </c>
      <c r="D243" s="90"/>
      <c r="E243" s="66"/>
      <c r="F243" s="66"/>
      <c r="G243" s="4" t="str">
        <f t="shared" si="49"/>
        <v/>
      </c>
      <c r="H243" s="25" t="str">
        <f t="shared" si="50"/>
        <v/>
      </c>
      <c r="I243" s="25" t="str">
        <f t="shared" si="51"/>
        <v/>
      </c>
      <c r="J243" s="69" t="str">
        <f t="shared" si="52"/>
        <v/>
      </c>
      <c r="K243" s="69">
        <f t="shared" si="53"/>
        <v>0</v>
      </c>
      <c r="L243" s="92" t="str">
        <f t="shared" si="54"/>
        <v/>
      </c>
      <c r="M243" s="34"/>
    </row>
    <row r="244" spans="2:13" x14ac:dyDescent="0.2">
      <c r="B244" s="61" t="str">
        <f t="shared" si="48"/>
        <v/>
      </c>
      <c r="C244" s="49">
        <v>28</v>
      </c>
      <c r="D244" s="90"/>
      <c r="E244" s="66"/>
      <c r="F244" s="66"/>
      <c r="G244" s="4" t="str">
        <f t="shared" si="49"/>
        <v/>
      </c>
      <c r="H244" s="25" t="str">
        <f t="shared" si="50"/>
        <v/>
      </c>
      <c r="I244" s="25" t="str">
        <f t="shared" si="51"/>
        <v/>
      </c>
      <c r="J244" s="69" t="str">
        <f t="shared" si="52"/>
        <v/>
      </c>
      <c r="K244" s="69">
        <f t="shared" si="53"/>
        <v>0</v>
      </c>
      <c r="L244" s="92" t="str">
        <f t="shared" si="54"/>
        <v/>
      </c>
      <c r="M244" s="34"/>
    </row>
    <row r="245" spans="2:13" x14ac:dyDescent="0.2">
      <c r="B245" s="61" t="str">
        <f t="shared" si="48"/>
        <v/>
      </c>
      <c r="C245" s="49">
        <v>29</v>
      </c>
      <c r="D245" s="90"/>
      <c r="E245" s="66"/>
      <c r="F245" s="66"/>
      <c r="G245" s="4" t="str">
        <f t="shared" si="49"/>
        <v/>
      </c>
      <c r="H245" s="25" t="str">
        <f t="shared" si="50"/>
        <v/>
      </c>
      <c r="I245" s="25" t="str">
        <f t="shared" si="51"/>
        <v/>
      </c>
      <c r="J245" s="69" t="str">
        <f t="shared" si="52"/>
        <v/>
      </c>
      <c r="K245" s="69">
        <f t="shared" si="53"/>
        <v>0</v>
      </c>
      <c r="L245" s="92" t="str">
        <f t="shared" si="54"/>
        <v/>
      </c>
      <c r="M245" s="34"/>
    </row>
    <row r="246" spans="2:13" x14ac:dyDescent="0.2">
      <c r="B246" s="61" t="str">
        <f t="shared" si="48"/>
        <v/>
      </c>
      <c r="C246" s="49">
        <v>30</v>
      </c>
      <c r="D246" s="90"/>
      <c r="E246" s="66"/>
      <c r="F246" s="66"/>
      <c r="G246" s="4" t="str">
        <f t="shared" si="49"/>
        <v/>
      </c>
      <c r="H246" s="25" t="str">
        <f t="shared" si="50"/>
        <v/>
      </c>
      <c r="I246" s="25" t="str">
        <f t="shared" si="51"/>
        <v/>
      </c>
      <c r="J246" s="69" t="str">
        <f t="shared" si="52"/>
        <v/>
      </c>
      <c r="K246" s="69">
        <f t="shared" si="53"/>
        <v>0</v>
      </c>
      <c r="L246" s="92" t="str">
        <f t="shared" si="54"/>
        <v/>
      </c>
      <c r="M246" s="34"/>
    </row>
    <row r="247" spans="2:13" x14ac:dyDescent="0.2">
      <c r="B247" s="61" t="str">
        <f t="shared" si="48"/>
        <v/>
      </c>
      <c r="C247" s="49">
        <v>31</v>
      </c>
      <c r="D247" s="90"/>
      <c r="E247" s="66"/>
      <c r="F247" s="66"/>
      <c r="G247" s="4" t="str">
        <f t="shared" si="49"/>
        <v/>
      </c>
      <c r="H247" s="25" t="str">
        <f t="shared" si="50"/>
        <v/>
      </c>
      <c r="I247" s="25" t="str">
        <f t="shared" si="51"/>
        <v/>
      </c>
      <c r="J247" s="69" t="str">
        <f t="shared" si="52"/>
        <v/>
      </c>
      <c r="K247" s="69">
        <f t="shared" si="53"/>
        <v>0</v>
      </c>
      <c r="L247" s="92" t="str">
        <f t="shared" si="54"/>
        <v/>
      </c>
      <c r="M247" s="34"/>
    </row>
    <row r="248" spans="2:13" x14ac:dyDescent="0.2">
      <c r="B248" s="61" t="str">
        <f t="shared" si="48"/>
        <v/>
      </c>
      <c r="C248" s="49">
        <v>32</v>
      </c>
      <c r="D248" s="90"/>
      <c r="E248" s="66"/>
      <c r="F248" s="66"/>
      <c r="G248" s="4" t="str">
        <f t="shared" si="49"/>
        <v/>
      </c>
      <c r="H248" s="25" t="str">
        <f t="shared" si="50"/>
        <v/>
      </c>
      <c r="I248" s="25" t="str">
        <f t="shared" si="51"/>
        <v/>
      </c>
      <c r="J248" s="69" t="str">
        <f t="shared" si="52"/>
        <v/>
      </c>
      <c r="K248" s="69">
        <f t="shared" si="53"/>
        <v>0</v>
      </c>
      <c r="L248" s="92" t="str">
        <f t="shared" si="54"/>
        <v/>
      </c>
      <c r="M248" s="34"/>
    </row>
    <row r="249" spans="2:13" x14ac:dyDescent="0.2">
      <c r="B249" s="61" t="str">
        <f t="shared" si="48"/>
        <v/>
      </c>
      <c r="C249" s="49">
        <v>33</v>
      </c>
      <c r="D249" s="90"/>
      <c r="E249" s="66"/>
      <c r="F249" s="66"/>
      <c r="G249" s="4" t="str">
        <f t="shared" si="49"/>
        <v/>
      </c>
      <c r="H249" s="25" t="str">
        <f t="shared" si="50"/>
        <v/>
      </c>
      <c r="I249" s="25" t="str">
        <f t="shared" si="51"/>
        <v/>
      </c>
      <c r="J249" s="69" t="str">
        <f t="shared" si="52"/>
        <v/>
      </c>
      <c r="K249" s="69">
        <f t="shared" si="53"/>
        <v>0</v>
      </c>
      <c r="L249" s="92" t="str">
        <f t="shared" si="54"/>
        <v/>
      </c>
      <c r="M249" s="34"/>
    </row>
    <row r="250" spans="2:13" x14ac:dyDescent="0.2">
      <c r="B250" s="61" t="str">
        <f t="shared" si="48"/>
        <v/>
      </c>
      <c r="C250" s="49">
        <v>34</v>
      </c>
      <c r="D250" s="90"/>
      <c r="E250" s="66"/>
      <c r="F250" s="66"/>
      <c r="G250" s="4" t="str">
        <f t="shared" si="49"/>
        <v/>
      </c>
      <c r="H250" s="25" t="str">
        <f t="shared" si="50"/>
        <v/>
      </c>
      <c r="I250" s="25" t="str">
        <f t="shared" si="51"/>
        <v/>
      </c>
      <c r="J250" s="69" t="str">
        <f t="shared" si="52"/>
        <v/>
      </c>
      <c r="K250" s="69">
        <f t="shared" si="53"/>
        <v>0</v>
      </c>
      <c r="L250" s="92" t="str">
        <f t="shared" si="54"/>
        <v/>
      </c>
      <c r="M250" s="34"/>
    </row>
    <row r="251" spans="2:13" x14ac:dyDescent="0.2">
      <c r="B251" s="61" t="str">
        <f t="shared" si="48"/>
        <v/>
      </c>
      <c r="C251" s="49">
        <v>35</v>
      </c>
      <c r="D251" s="90"/>
      <c r="E251" s="66"/>
      <c r="F251" s="66"/>
      <c r="G251" s="4" t="str">
        <f t="shared" si="49"/>
        <v/>
      </c>
      <c r="H251" s="25" t="str">
        <f t="shared" si="50"/>
        <v/>
      </c>
      <c r="I251" s="25" t="str">
        <f t="shared" si="51"/>
        <v/>
      </c>
      <c r="J251" s="69" t="str">
        <f t="shared" si="52"/>
        <v/>
      </c>
      <c r="K251" s="69">
        <f t="shared" si="53"/>
        <v>0</v>
      </c>
      <c r="L251" s="92" t="str">
        <f t="shared" si="54"/>
        <v/>
      </c>
      <c r="M251" s="34"/>
    </row>
    <row r="252" spans="2:13" x14ac:dyDescent="0.2">
      <c r="B252" s="61" t="str">
        <f t="shared" si="48"/>
        <v/>
      </c>
      <c r="C252" s="49">
        <v>36</v>
      </c>
      <c r="D252" s="90"/>
      <c r="E252" s="66"/>
      <c r="F252" s="66"/>
      <c r="G252" s="4" t="str">
        <f t="shared" si="49"/>
        <v/>
      </c>
      <c r="H252" s="25" t="str">
        <f t="shared" si="50"/>
        <v/>
      </c>
      <c r="I252" s="25" t="str">
        <f t="shared" si="51"/>
        <v/>
      </c>
      <c r="J252" s="69" t="str">
        <f t="shared" si="52"/>
        <v/>
      </c>
      <c r="K252" s="69">
        <f t="shared" si="53"/>
        <v>0</v>
      </c>
      <c r="L252" s="92" t="str">
        <f t="shared" si="54"/>
        <v/>
      </c>
      <c r="M252" s="34"/>
    </row>
    <row r="253" spans="2:13" x14ac:dyDescent="0.2">
      <c r="B253" s="61" t="str">
        <f t="shared" si="48"/>
        <v/>
      </c>
      <c r="C253" s="49">
        <v>37</v>
      </c>
      <c r="D253" s="90"/>
      <c r="E253" s="66"/>
      <c r="F253" s="66"/>
      <c r="G253" s="4" t="str">
        <f t="shared" si="49"/>
        <v/>
      </c>
      <c r="H253" s="25" t="str">
        <f t="shared" si="50"/>
        <v/>
      </c>
      <c r="I253" s="25" t="str">
        <f t="shared" si="51"/>
        <v/>
      </c>
      <c r="J253" s="69" t="str">
        <f t="shared" si="52"/>
        <v/>
      </c>
      <c r="K253" s="69">
        <f t="shared" si="53"/>
        <v>0</v>
      </c>
      <c r="L253" s="92" t="str">
        <f t="shared" si="54"/>
        <v/>
      </c>
      <c r="M253" s="34"/>
    </row>
    <row r="254" spans="2:13" x14ac:dyDescent="0.2">
      <c r="B254" s="61" t="str">
        <f t="shared" si="48"/>
        <v/>
      </c>
      <c r="C254" s="49">
        <v>38</v>
      </c>
      <c r="D254" s="90"/>
      <c r="E254" s="66"/>
      <c r="F254" s="66"/>
      <c r="G254" s="4" t="str">
        <f t="shared" si="49"/>
        <v/>
      </c>
      <c r="H254" s="25" t="str">
        <f t="shared" si="50"/>
        <v/>
      </c>
      <c r="I254" s="25" t="str">
        <f t="shared" si="51"/>
        <v/>
      </c>
      <c r="J254" s="69" t="str">
        <f t="shared" si="52"/>
        <v/>
      </c>
      <c r="K254" s="69">
        <f t="shared" si="53"/>
        <v>0</v>
      </c>
      <c r="L254" s="92" t="str">
        <f t="shared" si="54"/>
        <v/>
      </c>
      <c r="M254" s="34"/>
    </row>
    <row r="255" spans="2:13" x14ac:dyDescent="0.2">
      <c r="B255" s="61" t="str">
        <f t="shared" si="48"/>
        <v/>
      </c>
      <c r="C255" s="49">
        <v>39</v>
      </c>
      <c r="D255" s="90"/>
      <c r="E255" s="66"/>
      <c r="F255" s="66"/>
      <c r="G255" s="4" t="str">
        <f t="shared" si="49"/>
        <v/>
      </c>
      <c r="H255" s="25" t="str">
        <f t="shared" si="50"/>
        <v/>
      </c>
      <c r="I255" s="25" t="str">
        <f t="shared" si="51"/>
        <v/>
      </c>
      <c r="J255" s="69" t="str">
        <f t="shared" si="52"/>
        <v/>
      </c>
      <c r="K255" s="69">
        <f t="shared" si="53"/>
        <v>0</v>
      </c>
      <c r="L255" s="92" t="str">
        <f t="shared" si="54"/>
        <v/>
      </c>
      <c r="M255" s="34"/>
    </row>
    <row r="256" spans="2:13" x14ac:dyDescent="0.2">
      <c r="B256" s="61" t="str">
        <f t="shared" si="48"/>
        <v/>
      </c>
      <c r="C256" s="49">
        <v>40</v>
      </c>
      <c r="D256" s="90"/>
      <c r="E256" s="66"/>
      <c r="F256" s="66"/>
      <c r="G256" s="4" t="str">
        <f t="shared" si="49"/>
        <v/>
      </c>
      <c r="H256" s="25" t="str">
        <f t="shared" si="50"/>
        <v/>
      </c>
      <c r="I256" s="25" t="str">
        <f t="shared" si="51"/>
        <v/>
      </c>
      <c r="J256" s="69" t="str">
        <f t="shared" si="52"/>
        <v/>
      </c>
      <c r="K256" s="69">
        <f t="shared" si="53"/>
        <v>0</v>
      </c>
      <c r="L256" s="92" t="str">
        <f t="shared" si="54"/>
        <v/>
      </c>
      <c r="M256" s="34"/>
    </row>
    <row r="257" spans="2:13" x14ac:dyDescent="0.2">
      <c r="B257" s="61" t="str">
        <f t="shared" si="48"/>
        <v/>
      </c>
      <c r="C257" s="49">
        <v>41</v>
      </c>
      <c r="D257" s="90"/>
      <c r="E257" s="66"/>
      <c r="F257" s="66"/>
      <c r="G257" s="4" t="str">
        <f t="shared" si="49"/>
        <v/>
      </c>
      <c r="H257" s="25" t="str">
        <f t="shared" si="50"/>
        <v/>
      </c>
      <c r="I257" s="25" t="str">
        <f t="shared" si="51"/>
        <v/>
      </c>
      <c r="J257" s="69" t="str">
        <f t="shared" si="52"/>
        <v/>
      </c>
      <c r="K257" s="69">
        <f t="shared" si="53"/>
        <v>0</v>
      </c>
      <c r="L257" s="92" t="str">
        <f t="shared" si="54"/>
        <v/>
      </c>
      <c r="M257" s="34"/>
    </row>
    <row r="258" spans="2:13" x14ac:dyDescent="0.2">
      <c r="B258" s="61" t="str">
        <f t="shared" si="48"/>
        <v/>
      </c>
      <c r="C258" s="49">
        <v>42</v>
      </c>
      <c r="D258" s="90"/>
      <c r="E258" s="66"/>
      <c r="F258" s="66"/>
      <c r="G258" s="4" t="str">
        <f t="shared" si="49"/>
        <v/>
      </c>
      <c r="H258" s="25" t="str">
        <f t="shared" si="50"/>
        <v/>
      </c>
      <c r="I258" s="25" t="str">
        <f t="shared" si="51"/>
        <v/>
      </c>
      <c r="J258" s="69" t="str">
        <f t="shared" si="52"/>
        <v/>
      </c>
      <c r="K258" s="69">
        <f t="shared" si="53"/>
        <v>0</v>
      </c>
      <c r="L258" s="92" t="str">
        <f t="shared" si="54"/>
        <v/>
      </c>
      <c r="M258" s="34"/>
    </row>
    <row r="259" spans="2:13" x14ac:dyDescent="0.2">
      <c r="B259" s="61" t="str">
        <f t="shared" si="48"/>
        <v/>
      </c>
      <c r="C259" s="49">
        <v>43</v>
      </c>
      <c r="D259" s="90"/>
      <c r="E259" s="66"/>
      <c r="F259" s="66"/>
      <c r="G259" s="4" t="str">
        <f t="shared" si="49"/>
        <v/>
      </c>
      <c r="H259" s="25" t="str">
        <f t="shared" si="50"/>
        <v/>
      </c>
      <c r="I259" s="25" t="str">
        <f t="shared" si="51"/>
        <v/>
      </c>
      <c r="J259" s="69" t="str">
        <f t="shared" si="52"/>
        <v/>
      </c>
      <c r="K259" s="69">
        <f t="shared" si="53"/>
        <v>0</v>
      </c>
      <c r="L259" s="92" t="str">
        <f t="shared" si="54"/>
        <v/>
      </c>
      <c r="M259" s="34"/>
    </row>
    <row r="260" spans="2:13" x14ac:dyDescent="0.2">
      <c r="B260" s="61" t="str">
        <f t="shared" si="48"/>
        <v/>
      </c>
      <c r="C260" s="49">
        <v>44</v>
      </c>
      <c r="D260" s="90"/>
      <c r="E260" s="66"/>
      <c r="F260" s="66"/>
      <c r="G260" s="4" t="str">
        <f t="shared" si="49"/>
        <v/>
      </c>
      <c r="H260" s="25" t="str">
        <f t="shared" si="50"/>
        <v/>
      </c>
      <c r="I260" s="25" t="str">
        <f t="shared" si="51"/>
        <v/>
      </c>
      <c r="J260" s="69" t="str">
        <f t="shared" si="52"/>
        <v/>
      </c>
      <c r="K260" s="69">
        <f t="shared" si="53"/>
        <v>0</v>
      </c>
      <c r="L260" s="92" t="str">
        <f t="shared" si="54"/>
        <v/>
      </c>
      <c r="M260" s="34"/>
    </row>
    <row r="261" spans="2:13" x14ac:dyDescent="0.2">
      <c r="B261" s="61" t="str">
        <f t="shared" si="48"/>
        <v/>
      </c>
      <c r="C261" s="49">
        <v>45</v>
      </c>
      <c r="D261" s="90"/>
      <c r="E261" s="66"/>
      <c r="F261" s="66"/>
      <c r="G261" s="4" t="str">
        <f t="shared" si="49"/>
        <v/>
      </c>
      <c r="H261" s="25" t="str">
        <f t="shared" si="50"/>
        <v/>
      </c>
      <c r="I261" s="25" t="str">
        <f t="shared" si="51"/>
        <v/>
      </c>
      <c r="J261" s="69" t="str">
        <f t="shared" si="52"/>
        <v/>
      </c>
      <c r="K261" s="69">
        <f t="shared" si="53"/>
        <v>0</v>
      </c>
      <c r="L261" s="92" t="str">
        <f t="shared" si="54"/>
        <v/>
      </c>
      <c r="M261" s="34"/>
    </row>
    <row r="262" spans="2:13" x14ac:dyDescent="0.2">
      <c r="B262" s="61" t="str">
        <f t="shared" si="48"/>
        <v/>
      </c>
      <c r="C262" s="49">
        <v>46</v>
      </c>
      <c r="D262" s="90"/>
      <c r="E262" s="66"/>
      <c r="F262" s="66"/>
      <c r="G262" s="4" t="str">
        <f t="shared" si="49"/>
        <v/>
      </c>
      <c r="H262" s="25" t="str">
        <f t="shared" si="50"/>
        <v/>
      </c>
      <c r="I262" s="25" t="str">
        <f t="shared" si="51"/>
        <v/>
      </c>
      <c r="J262" s="69" t="str">
        <f t="shared" si="52"/>
        <v/>
      </c>
      <c r="K262" s="69">
        <f t="shared" si="53"/>
        <v>0</v>
      </c>
      <c r="L262" s="92" t="str">
        <f t="shared" si="54"/>
        <v/>
      </c>
      <c r="M262" s="34"/>
    </row>
    <row r="263" spans="2:13" x14ac:dyDescent="0.2">
      <c r="B263" s="61" t="str">
        <f t="shared" si="48"/>
        <v/>
      </c>
      <c r="C263" s="49">
        <v>47</v>
      </c>
      <c r="D263" s="90"/>
      <c r="E263" s="66"/>
      <c r="F263" s="66"/>
      <c r="G263" s="4" t="str">
        <f t="shared" si="49"/>
        <v/>
      </c>
      <c r="H263" s="25" t="str">
        <f t="shared" si="50"/>
        <v/>
      </c>
      <c r="I263" s="25" t="str">
        <f t="shared" si="51"/>
        <v/>
      </c>
      <c r="J263" s="69" t="str">
        <f t="shared" si="52"/>
        <v/>
      </c>
      <c r="K263" s="69">
        <f t="shared" si="53"/>
        <v>0</v>
      </c>
      <c r="L263" s="92" t="str">
        <f t="shared" si="54"/>
        <v/>
      </c>
      <c r="M263" s="34"/>
    </row>
    <row r="264" spans="2:13" x14ac:dyDescent="0.2">
      <c r="B264" s="61" t="str">
        <f t="shared" si="48"/>
        <v/>
      </c>
      <c r="C264" s="49">
        <v>48</v>
      </c>
      <c r="D264" s="90"/>
      <c r="E264" s="66"/>
      <c r="F264" s="66"/>
      <c r="G264" s="4" t="str">
        <f t="shared" si="49"/>
        <v/>
      </c>
      <c r="H264" s="25" t="str">
        <f t="shared" si="50"/>
        <v/>
      </c>
      <c r="I264" s="25" t="str">
        <f t="shared" si="51"/>
        <v/>
      </c>
      <c r="J264" s="69" t="str">
        <f t="shared" si="52"/>
        <v/>
      </c>
      <c r="K264" s="69">
        <f t="shared" si="53"/>
        <v>0</v>
      </c>
      <c r="L264" s="92" t="str">
        <f t="shared" si="54"/>
        <v/>
      </c>
      <c r="M264" s="34"/>
    </row>
    <row r="265" spans="2:13" x14ac:dyDescent="0.2">
      <c r="B265" s="61" t="str">
        <f t="shared" si="48"/>
        <v/>
      </c>
      <c r="C265" s="49">
        <v>49</v>
      </c>
      <c r="D265" s="90"/>
      <c r="E265" s="66"/>
      <c r="F265" s="66"/>
      <c r="G265" s="4" t="str">
        <f t="shared" si="49"/>
        <v/>
      </c>
      <c r="H265" s="25" t="str">
        <f t="shared" si="50"/>
        <v/>
      </c>
      <c r="I265" s="25" t="str">
        <f t="shared" si="51"/>
        <v/>
      </c>
      <c r="J265" s="69" t="str">
        <f t="shared" si="52"/>
        <v/>
      </c>
      <c r="K265" s="69">
        <f t="shared" si="53"/>
        <v>0</v>
      </c>
      <c r="L265" s="92" t="str">
        <f t="shared" si="54"/>
        <v/>
      </c>
      <c r="M265" s="34"/>
    </row>
    <row r="266" spans="2:13" x14ac:dyDescent="0.2">
      <c r="B266" s="61" t="str">
        <f t="shared" si="48"/>
        <v/>
      </c>
      <c r="C266" s="49">
        <v>50</v>
      </c>
      <c r="D266" s="90"/>
      <c r="E266" s="66"/>
      <c r="F266" s="66"/>
      <c r="G266" s="4" t="str">
        <f t="shared" si="49"/>
        <v/>
      </c>
      <c r="H266" s="25" t="str">
        <f t="shared" si="50"/>
        <v/>
      </c>
      <c r="I266" s="25" t="str">
        <f t="shared" si="51"/>
        <v/>
      </c>
      <c r="J266" s="69" t="str">
        <f t="shared" si="52"/>
        <v/>
      </c>
      <c r="K266" s="69">
        <f t="shared" si="53"/>
        <v>0</v>
      </c>
      <c r="L266" s="92" t="str">
        <f t="shared" si="54"/>
        <v/>
      </c>
      <c r="M266" s="34"/>
    </row>
    <row r="267" spans="2:13" x14ac:dyDescent="0.2">
      <c r="B267" s="61" t="str">
        <f t="shared" si="48"/>
        <v/>
      </c>
      <c r="C267" s="49">
        <v>51</v>
      </c>
      <c r="D267" s="90"/>
      <c r="E267" s="66"/>
      <c r="F267" s="66"/>
      <c r="G267" s="4" t="str">
        <f t="shared" si="49"/>
        <v/>
      </c>
      <c r="H267" s="25" t="str">
        <f t="shared" si="50"/>
        <v/>
      </c>
      <c r="I267" s="25" t="str">
        <f t="shared" si="51"/>
        <v/>
      </c>
      <c r="J267" s="69" t="str">
        <f t="shared" si="52"/>
        <v/>
      </c>
      <c r="K267" s="69">
        <f t="shared" si="53"/>
        <v>0</v>
      </c>
      <c r="L267" s="92" t="str">
        <f t="shared" si="54"/>
        <v/>
      </c>
      <c r="M267" s="34"/>
    </row>
    <row r="268" spans="2:13" x14ac:dyDescent="0.2">
      <c r="B268" s="61" t="str">
        <f t="shared" si="48"/>
        <v/>
      </c>
      <c r="C268" s="49">
        <v>52</v>
      </c>
      <c r="D268" s="90"/>
      <c r="E268" s="66"/>
      <c r="F268" s="66"/>
      <c r="G268" s="4" t="str">
        <f t="shared" si="49"/>
        <v/>
      </c>
      <c r="H268" s="25" t="str">
        <f t="shared" si="50"/>
        <v/>
      </c>
      <c r="I268" s="25" t="str">
        <f t="shared" si="51"/>
        <v/>
      </c>
      <c r="J268" s="69" t="str">
        <f t="shared" si="52"/>
        <v/>
      </c>
      <c r="K268" s="69">
        <f t="shared" si="53"/>
        <v>0</v>
      </c>
      <c r="L268" s="92" t="str">
        <f t="shared" si="54"/>
        <v/>
      </c>
      <c r="M268" s="34"/>
    </row>
    <row r="269" spans="2:13" x14ac:dyDescent="0.2">
      <c r="B269" s="61" t="str">
        <f t="shared" si="48"/>
        <v/>
      </c>
      <c r="C269" s="49">
        <v>53</v>
      </c>
      <c r="D269" s="90"/>
      <c r="E269" s="66"/>
      <c r="F269" s="66"/>
      <c r="G269" s="4" t="str">
        <f t="shared" si="49"/>
        <v/>
      </c>
      <c r="H269" s="25" t="str">
        <f t="shared" si="50"/>
        <v/>
      </c>
      <c r="I269" s="25" t="str">
        <f t="shared" si="51"/>
        <v/>
      </c>
      <c r="J269" s="69" t="str">
        <f t="shared" si="52"/>
        <v/>
      </c>
      <c r="K269" s="69">
        <f t="shared" si="53"/>
        <v>0</v>
      </c>
      <c r="L269" s="92" t="str">
        <f t="shared" si="54"/>
        <v/>
      </c>
      <c r="M269" s="34"/>
    </row>
    <row r="270" spans="2:13" x14ac:dyDescent="0.2">
      <c r="B270" s="61" t="str">
        <f t="shared" si="48"/>
        <v/>
      </c>
      <c r="C270" s="49">
        <v>54</v>
      </c>
      <c r="D270" s="90"/>
      <c r="E270" s="66"/>
      <c r="F270" s="66"/>
      <c r="G270" s="4" t="str">
        <f t="shared" si="49"/>
        <v/>
      </c>
      <c r="H270" s="25" t="str">
        <f t="shared" si="50"/>
        <v/>
      </c>
      <c r="I270" s="25" t="str">
        <f t="shared" si="51"/>
        <v/>
      </c>
      <c r="J270" s="69" t="str">
        <f t="shared" si="52"/>
        <v/>
      </c>
      <c r="K270" s="69">
        <f t="shared" si="53"/>
        <v>0</v>
      </c>
      <c r="L270" s="92" t="str">
        <f t="shared" si="54"/>
        <v/>
      </c>
      <c r="M270" s="34"/>
    </row>
    <row r="271" spans="2:13" x14ac:dyDescent="0.2">
      <c r="B271" s="61" t="str">
        <f t="shared" si="48"/>
        <v/>
      </c>
      <c r="C271" s="49">
        <v>55</v>
      </c>
      <c r="D271" s="90"/>
      <c r="E271" s="66"/>
      <c r="F271" s="66"/>
      <c r="G271" s="4" t="str">
        <f t="shared" si="49"/>
        <v/>
      </c>
      <c r="H271" s="25" t="str">
        <f t="shared" si="50"/>
        <v/>
      </c>
      <c r="I271" s="25" t="str">
        <f t="shared" si="51"/>
        <v/>
      </c>
      <c r="J271" s="69" t="str">
        <f t="shared" si="52"/>
        <v/>
      </c>
      <c r="K271" s="69">
        <f t="shared" si="53"/>
        <v>0</v>
      </c>
      <c r="L271" s="92" t="str">
        <f t="shared" si="54"/>
        <v/>
      </c>
      <c r="M271" s="34"/>
    </row>
    <row r="272" spans="2:13" x14ac:dyDescent="0.2">
      <c r="B272" s="61" t="str">
        <f t="shared" si="48"/>
        <v/>
      </c>
      <c r="C272" s="49">
        <v>56</v>
      </c>
      <c r="D272" s="90"/>
      <c r="E272" s="66"/>
      <c r="F272" s="66"/>
      <c r="G272" s="4" t="str">
        <f t="shared" si="49"/>
        <v/>
      </c>
      <c r="H272" s="25" t="str">
        <f t="shared" si="50"/>
        <v/>
      </c>
      <c r="I272" s="25" t="str">
        <f t="shared" si="51"/>
        <v/>
      </c>
      <c r="J272" s="69" t="str">
        <f t="shared" si="52"/>
        <v/>
      </c>
      <c r="K272" s="69">
        <f t="shared" si="53"/>
        <v>0</v>
      </c>
      <c r="L272" s="92" t="str">
        <f t="shared" si="54"/>
        <v/>
      </c>
      <c r="M272" s="34"/>
    </row>
    <row r="273" spans="2:13" x14ac:dyDescent="0.2">
      <c r="B273" s="61" t="str">
        <f t="shared" si="48"/>
        <v/>
      </c>
      <c r="C273" s="49">
        <v>57</v>
      </c>
      <c r="D273" s="90"/>
      <c r="E273" s="66"/>
      <c r="F273" s="66"/>
      <c r="G273" s="4" t="str">
        <f t="shared" si="49"/>
        <v/>
      </c>
      <c r="H273" s="25" t="str">
        <f t="shared" si="50"/>
        <v/>
      </c>
      <c r="I273" s="25" t="str">
        <f t="shared" si="51"/>
        <v/>
      </c>
      <c r="J273" s="69" t="str">
        <f t="shared" si="52"/>
        <v/>
      </c>
      <c r="K273" s="69">
        <f t="shared" si="53"/>
        <v>0</v>
      </c>
      <c r="L273" s="92" t="str">
        <f t="shared" si="54"/>
        <v/>
      </c>
      <c r="M273" s="34"/>
    </row>
    <row r="274" spans="2:13" x14ac:dyDescent="0.2">
      <c r="B274" s="61" t="str">
        <f t="shared" si="48"/>
        <v/>
      </c>
      <c r="C274" s="49">
        <v>58</v>
      </c>
      <c r="D274" s="90"/>
      <c r="E274" s="66"/>
      <c r="F274" s="66"/>
      <c r="G274" s="4" t="str">
        <f t="shared" si="49"/>
        <v/>
      </c>
      <c r="H274" s="25" t="str">
        <f t="shared" si="50"/>
        <v/>
      </c>
      <c r="I274" s="25" t="str">
        <f t="shared" si="51"/>
        <v/>
      </c>
      <c r="J274" s="69" t="str">
        <f t="shared" si="52"/>
        <v/>
      </c>
      <c r="K274" s="69">
        <f t="shared" si="53"/>
        <v>0</v>
      </c>
      <c r="L274" s="92" t="str">
        <f t="shared" si="54"/>
        <v/>
      </c>
      <c r="M274" s="34"/>
    </row>
    <row r="275" spans="2:13" x14ac:dyDescent="0.2">
      <c r="B275" s="61" t="str">
        <f t="shared" si="48"/>
        <v/>
      </c>
      <c r="C275" s="49">
        <v>59</v>
      </c>
      <c r="D275" s="90"/>
      <c r="E275" s="66"/>
      <c r="F275" s="66"/>
      <c r="G275" s="4" t="str">
        <f t="shared" si="49"/>
        <v/>
      </c>
      <c r="H275" s="25" t="str">
        <f t="shared" si="50"/>
        <v/>
      </c>
      <c r="I275" s="25" t="str">
        <f t="shared" si="51"/>
        <v/>
      </c>
      <c r="J275" s="69" t="str">
        <f t="shared" si="52"/>
        <v/>
      </c>
      <c r="K275" s="69">
        <f t="shared" si="53"/>
        <v>0</v>
      </c>
      <c r="L275" s="92" t="str">
        <f t="shared" si="54"/>
        <v/>
      </c>
      <c r="M275" s="34"/>
    </row>
    <row r="276" spans="2:13" x14ac:dyDescent="0.2">
      <c r="B276" s="61" t="str">
        <f t="shared" si="48"/>
        <v/>
      </c>
      <c r="C276" s="49">
        <v>60</v>
      </c>
      <c r="D276" s="90"/>
      <c r="E276" s="66"/>
      <c r="F276" s="66"/>
      <c r="G276" s="4" t="str">
        <f t="shared" si="49"/>
        <v/>
      </c>
      <c r="H276" s="25" t="str">
        <f t="shared" si="50"/>
        <v/>
      </c>
      <c r="I276" s="25" t="str">
        <f t="shared" si="51"/>
        <v/>
      </c>
      <c r="J276" s="69" t="str">
        <f t="shared" si="52"/>
        <v/>
      </c>
      <c r="K276" s="69">
        <f t="shared" si="53"/>
        <v>0</v>
      </c>
      <c r="L276" s="92" t="str">
        <f t="shared" si="54"/>
        <v/>
      </c>
      <c r="M276" s="34"/>
    </row>
    <row r="277" spans="2:13" x14ac:dyDescent="0.2">
      <c r="B277" s="61" t="str">
        <f t="shared" si="48"/>
        <v/>
      </c>
      <c r="C277" s="49">
        <v>61</v>
      </c>
      <c r="D277" s="90"/>
      <c r="E277" s="66"/>
      <c r="F277" s="66"/>
      <c r="G277" s="4" t="str">
        <f t="shared" si="49"/>
        <v/>
      </c>
      <c r="H277" s="25" t="str">
        <f t="shared" si="50"/>
        <v/>
      </c>
      <c r="I277" s="25" t="str">
        <f t="shared" si="51"/>
        <v/>
      </c>
      <c r="J277" s="69" t="str">
        <f t="shared" si="52"/>
        <v/>
      </c>
      <c r="K277" s="69">
        <f t="shared" si="53"/>
        <v>0</v>
      </c>
      <c r="L277" s="92" t="str">
        <f t="shared" si="54"/>
        <v/>
      </c>
      <c r="M277" s="34"/>
    </row>
    <row r="278" spans="2:13" x14ac:dyDescent="0.2">
      <c r="B278" s="61" t="str">
        <f t="shared" si="48"/>
        <v/>
      </c>
      <c r="C278" s="49">
        <v>62</v>
      </c>
      <c r="D278" s="90"/>
      <c r="E278" s="66"/>
      <c r="F278" s="66"/>
      <c r="G278" s="4" t="str">
        <f t="shared" si="49"/>
        <v/>
      </c>
      <c r="H278" s="25" t="str">
        <f t="shared" si="50"/>
        <v/>
      </c>
      <c r="I278" s="25" t="str">
        <f t="shared" si="51"/>
        <v/>
      </c>
      <c r="J278" s="69" t="str">
        <f t="shared" si="52"/>
        <v/>
      </c>
      <c r="K278" s="69">
        <f t="shared" si="53"/>
        <v>0</v>
      </c>
      <c r="L278" s="92" t="str">
        <f t="shared" si="54"/>
        <v/>
      </c>
      <c r="M278" s="34"/>
    </row>
    <row r="279" spans="2:13" x14ac:dyDescent="0.2">
      <c r="B279" s="61" t="str">
        <f t="shared" si="48"/>
        <v/>
      </c>
      <c r="C279" s="49">
        <v>63</v>
      </c>
      <c r="D279" s="90"/>
      <c r="E279" s="66"/>
      <c r="F279" s="66"/>
      <c r="G279" s="4" t="str">
        <f t="shared" si="49"/>
        <v/>
      </c>
      <c r="H279" s="25" t="str">
        <f t="shared" si="50"/>
        <v/>
      </c>
      <c r="I279" s="25" t="str">
        <f t="shared" si="51"/>
        <v/>
      </c>
      <c r="J279" s="69" t="str">
        <f t="shared" si="52"/>
        <v/>
      </c>
      <c r="K279" s="69">
        <f t="shared" si="53"/>
        <v>0</v>
      </c>
      <c r="L279" s="92" t="str">
        <f t="shared" si="54"/>
        <v/>
      </c>
      <c r="M279" s="34"/>
    </row>
    <row r="280" spans="2:13" x14ac:dyDescent="0.2">
      <c r="B280" s="61" t="str">
        <f t="shared" si="48"/>
        <v/>
      </c>
      <c r="C280" s="49">
        <v>64</v>
      </c>
      <c r="D280" s="90"/>
      <c r="E280" s="66"/>
      <c r="F280" s="66"/>
      <c r="G280" s="4" t="str">
        <f t="shared" si="49"/>
        <v/>
      </c>
      <c r="H280" s="25" t="str">
        <f t="shared" si="50"/>
        <v/>
      </c>
      <c r="I280" s="25" t="str">
        <f t="shared" si="51"/>
        <v/>
      </c>
      <c r="J280" s="69" t="str">
        <f t="shared" si="52"/>
        <v/>
      </c>
      <c r="K280" s="69">
        <f t="shared" si="53"/>
        <v>0</v>
      </c>
      <c r="L280" s="92" t="str">
        <f t="shared" si="54"/>
        <v/>
      </c>
      <c r="M280" s="34"/>
    </row>
    <row r="281" spans="2:13" x14ac:dyDescent="0.2">
      <c r="B281" s="61" t="str">
        <f t="shared" si="48"/>
        <v/>
      </c>
      <c r="C281" s="49">
        <v>65</v>
      </c>
      <c r="D281" s="90"/>
      <c r="E281" s="66"/>
      <c r="F281" s="66"/>
      <c r="G281" s="4" t="str">
        <f t="shared" si="49"/>
        <v/>
      </c>
      <c r="H281" s="25" t="str">
        <f t="shared" si="50"/>
        <v/>
      </c>
      <c r="I281" s="25" t="str">
        <f t="shared" si="51"/>
        <v/>
      </c>
      <c r="J281" s="69" t="str">
        <f t="shared" si="52"/>
        <v/>
      </c>
      <c r="K281" s="69">
        <f t="shared" si="53"/>
        <v>0</v>
      </c>
      <c r="L281" s="92" t="str">
        <f t="shared" si="54"/>
        <v/>
      </c>
      <c r="M281" s="34"/>
    </row>
    <row r="282" spans="2:13" x14ac:dyDescent="0.2">
      <c r="B282" s="61" t="str">
        <f t="shared" ref="B282:B316" si="55">IF(D282&lt;&gt;"",1,"")</f>
        <v/>
      </c>
      <c r="C282" s="49">
        <v>66</v>
      </c>
      <c r="D282" s="90"/>
      <c r="E282" s="66"/>
      <c r="F282" s="66"/>
      <c r="G282" s="4" t="str">
        <f t="shared" ref="G282:G316" si="56">IF($D282&lt;&gt;"",IF($G$216&lt;&gt;"",$G$216,"SELECIONAR TIPO"),"")</f>
        <v/>
      </c>
      <c r="H282" s="25" t="str">
        <f t="shared" ref="H282:H316" si="57">IF($D282&lt;&gt;"",$H$216,"")</f>
        <v/>
      </c>
      <c r="I282" s="25" t="str">
        <f t="shared" ref="I282:I316" si="58">IF($D282&lt;&gt;"",$I$216,"")</f>
        <v/>
      </c>
      <c r="J282" s="69" t="str">
        <f t="shared" ref="J282:J316" si="59">IF(OR(K282="",K282=0),"",(K282*IF(G282="EPS",1.144,IF(G282="PIR",1.12,0))*((D282/100)+(2*F282/1000))))</f>
        <v/>
      </c>
      <c r="K282" s="69">
        <f t="shared" ref="K282:K316" si="60">IF(E282="",0,CEILING(ROUNDUP(IF(G282&lt;&gt;0,(E282+(2*(F282/10)))/IF(G282="EPS",114.4,IF(G282="PIR",112)),IF(G282="PUR",112,"")),1),0.5))</f>
        <v>0</v>
      </c>
      <c r="L282" s="92" t="str">
        <f t="shared" ref="L282:L316" si="61">IF(D282&lt;&gt;"",G282&amp;" "&amp;F282&amp;"mm - ("&amp;IF(H282&lt;&gt;"",H282,"FACE")&amp;" / "&amp;IF(I282&lt;&gt;"",I282,"FACE")&amp;")","")</f>
        <v/>
      </c>
      <c r="M282" s="34"/>
    </row>
    <row r="283" spans="2:13" x14ac:dyDescent="0.2">
      <c r="B283" s="61" t="str">
        <f t="shared" si="55"/>
        <v/>
      </c>
      <c r="C283" s="49">
        <v>67</v>
      </c>
      <c r="D283" s="90"/>
      <c r="E283" s="66"/>
      <c r="F283" s="66"/>
      <c r="G283" s="4" t="str">
        <f t="shared" si="56"/>
        <v/>
      </c>
      <c r="H283" s="25" t="str">
        <f t="shared" si="57"/>
        <v/>
      </c>
      <c r="I283" s="25" t="str">
        <f t="shared" si="58"/>
        <v/>
      </c>
      <c r="J283" s="69" t="str">
        <f t="shared" si="59"/>
        <v/>
      </c>
      <c r="K283" s="69">
        <f t="shared" si="60"/>
        <v>0</v>
      </c>
      <c r="L283" s="92" t="str">
        <f t="shared" si="61"/>
        <v/>
      </c>
      <c r="M283" s="34"/>
    </row>
    <row r="284" spans="2:13" x14ac:dyDescent="0.2">
      <c r="B284" s="61" t="str">
        <f t="shared" si="55"/>
        <v/>
      </c>
      <c r="C284" s="49">
        <v>68</v>
      </c>
      <c r="D284" s="90"/>
      <c r="E284" s="66"/>
      <c r="F284" s="66"/>
      <c r="G284" s="4" t="str">
        <f t="shared" si="56"/>
        <v/>
      </c>
      <c r="H284" s="25" t="str">
        <f t="shared" si="57"/>
        <v/>
      </c>
      <c r="I284" s="25" t="str">
        <f t="shared" si="58"/>
        <v/>
      </c>
      <c r="J284" s="69" t="str">
        <f t="shared" si="59"/>
        <v/>
      </c>
      <c r="K284" s="69">
        <f t="shared" si="60"/>
        <v>0</v>
      </c>
      <c r="L284" s="92" t="str">
        <f t="shared" si="61"/>
        <v/>
      </c>
      <c r="M284" s="34"/>
    </row>
    <row r="285" spans="2:13" x14ac:dyDescent="0.2">
      <c r="B285" s="61" t="str">
        <f t="shared" si="55"/>
        <v/>
      </c>
      <c r="C285" s="49">
        <v>69</v>
      </c>
      <c r="D285" s="90"/>
      <c r="E285" s="66"/>
      <c r="F285" s="66"/>
      <c r="G285" s="4" t="str">
        <f t="shared" si="56"/>
        <v/>
      </c>
      <c r="H285" s="25" t="str">
        <f t="shared" si="57"/>
        <v/>
      </c>
      <c r="I285" s="25" t="str">
        <f t="shared" si="58"/>
        <v/>
      </c>
      <c r="J285" s="69" t="str">
        <f t="shared" si="59"/>
        <v/>
      </c>
      <c r="K285" s="69">
        <f t="shared" si="60"/>
        <v>0</v>
      </c>
      <c r="L285" s="92" t="str">
        <f t="shared" si="61"/>
        <v/>
      </c>
      <c r="M285" s="34"/>
    </row>
    <row r="286" spans="2:13" x14ac:dyDescent="0.2">
      <c r="B286" s="61" t="str">
        <f t="shared" si="55"/>
        <v/>
      </c>
      <c r="C286" s="49">
        <v>70</v>
      </c>
      <c r="D286" s="90"/>
      <c r="E286" s="66"/>
      <c r="F286" s="66"/>
      <c r="G286" s="4" t="str">
        <f t="shared" si="56"/>
        <v/>
      </c>
      <c r="H286" s="25" t="str">
        <f t="shared" si="57"/>
        <v/>
      </c>
      <c r="I286" s="25" t="str">
        <f t="shared" si="58"/>
        <v/>
      </c>
      <c r="J286" s="69" t="str">
        <f t="shared" si="59"/>
        <v/>
      </c>
      <c r="K286" s="69">
        <f t="shared" si="60"/>
        <v>0</v>
      </c>
      <c r="L286" s="92" t="str">
        <f t="shared" si="61"/>
        <v/>
      </c>
      <c r="M286" s="34"/>
    </row>
    <row r="287" spans="2:13" x14ac:dyDescent="0.2">
      <c r="B287" s="61" t="str">
        <f t="shared" si="55"/>
        <v/>
      </c>
      <c r="C287" s="49">
        <v>71</v>
      </c>
      <c r="D287" s="90"/>
      <c r="E287" s="66"/>
      <c r="F287" s="66"/>
      <c r="G287" s="4" t="str">
        <f t="shared" si="56"/>
        <v/>
      </c>
      <c r="H287" s="25" t="str">
        <f t="shared" si="57"/>
        <v/>
      </c>
      <c r="I287" s="25" t="str">
        <f t="shared" si="58"/>
        <v/>
      </c>
      <c r="J287" s="69" t="str">
        <f t="shared" si="59"/>
        <v/>
      </c>
      <c r="K287" s="69">
        <f t="shared" si="60"/>
        <v>0</v>
      </c>
      <c r="L287" s="92" t="str">
        <f t="shared" si="61"/>
        <v/>
      </c>
      <c r="M287" s="34"/>
    </row>
    <row r="288" spans="2:13" x14ac:dyDescent="0.2">
      <c r="B288" s="61" t="str">
        <f t="shared" si="55"/>
        <v/>
      </c>
      <c r="C288" s="49">
        <v>72</v>
      </c>
      <c r="D288" s="90"/>
      <c r="E288" s="66"/>
      <c r="F288" s="66"/>
      <c r="G288" s="4" t="str">
        <f t="shared" si="56"/>
        <v/>
      </c>
      <c r="H288" s="25" t="str">
        <f t="shared" si="57"/>
        <v/>
      </c>
      <c r="I288" s="25" t="str">
        <f t="shared" si="58"/>
        <v/>
      </c>
      <c r="J288" s="69" t="str">
        <f t="shared" si="59"/>
        <v/>
      </c>
      <c r="K288" s="69">
        <f t="shared" si="60"/>
        <v>0</v>
      </c>
      <c r="L288" s="92" t="str">
        <f t="shared" si="61"/>
        <v/>
      </c>
      <c r="M288" s="34"/>
    </row>
    <row r="289" spans="2:13" x14ac:dyDescent="0.2">
      <c r="B289" s="61" t="str">
        <f t="shared" si="55"/>
        <v/>
      </c>
      <c r="C289" s="49">
        <v>73</v>
      </c>
      <c r="D289" s="90"/>
      <c r="E289" s="66"/>
      <c r="F289" s="66"/>
      <c r="G289" s="4" t="str">
        <f t="shared" si="56"/>
        <v/>
      </c>
      <c r="H289" s="25" t="str">
        <f t="shared" si="57"/>
        <v/>
      </c>
      <c r="I289" s="25" t="str">
        <f t="shared" si="58"/>
        <v/>
      </c>
      <c r="J289" s="69" t="str">
        <f t="shared" si="59"/>
        <v/>
      </c>
      <c r="K289" s="69">
        <f t="shared" si="60"/>
        <v>0</v>
      </c>
      <c r="L289" s="92" t="str">
        <f t="shared" si="61"/>
        <v/>
      </c>
      <c r="M289" s="34"/>
    </row>
    <row r="290" spans="2:13" x14ac:dyDescent="0.2">
      <c r="B290" s="61" t="str">
        <f t="shared" si="55"/>
        <v/>
      </c>
      <c r="C290" s="49">
        <v>74</v>
      </c>
      <c r="D290" s="90"/>
      <c r="E290" s="66"/>
      <c r="F290" s="66"/>
      <c r="G290" s="4" t="str">
        <f t="shared" si="56"/>
        <v/>
      </c>
      <c r="H290" s="25" t="str">
        <f t="shared" si="57"/>
        <v/>
      </c>
      <c r="I290" s="25" t="str">
        <f t="shared" si="58"/>
        <v/>
      </c>
      <c r="J290" s="69" t="str">
        <f t="shared" si="59"/>
        <v/>
      </c>
      <c r="K290" s="69">
        <f t="shared" si="60"/>
        <v>0</v>
      </c>
      <c r="L290" s="92" t="str">
        <f t="shared" si="61"/>
        <v/>
      </c>
      <c r="M290" s="34"/>
    </row>
    <row r="291" spans="2:13" x14ac:dyDescent="0.2">
      <c r="B291" s="61" t="str">
        <f t="shared" si="55"/>
        <v/>
      </c>
      <c r="C291" s="49">
        <v>75</v>
      </c>
      <c r="D291" s="90"/>
      <c r="E291" s="66"/>
      <c r="F291" s="66"/>
      <c r="G291" s="4" t="str">
        <f t="shared" si="56"/>
        <v/>
      </c>
      <c r="H291" s="25" t="str">
        <f t="shared" si="57"/>
        <v/>
      </c>
      <c r="I291" s="25" t="str">
        <f t="shared" si="58"/>
        <v/>
      </c>
      <c r="J291" s="69" t="str">
        <f t="shared" si="59"/>
        <v/>
      </c>
      <c r="K291" s="69">
        <f t="shared" si="60"/>
        <v>0</v>
      </c>
      <c r="L291" s="92" t="str">
        <f t="shared" si="61"/>
        <v/>
      </c>
      <c r="M291" s="34"/>
    </row>
    <row r="292" spans="2:13" x14ac:dyDescent="0.2">
      <c r="B292" s="61" t="str">
        <f t="shared" si="55"/>
        <v/>
      </c>
      <c r="C292" s="49">
        <v>76</v>
      </c>
      <c r="D292" s="90"/>
      <c r="E292" s="66"/>
      <c r="F292" s="66"/>
      <c r="G292" s="4" t="str">
        <f t="shared" si="56"/>
        <v/>
      </c>
      <c r="H292" s="25" t="str">
        <f t="shared" si="57"/>
        <v/>
      </c>
      <c r="I292" s="25" t="str">
        <f t="shared" si="58"/>
        <v/>
      </c>
      <c r="J292" s="69" t="str">
        <f t="shared" si="59"/>
        <v/>
      </c>
      <c r="K292" s="69">
        <f t="shared" si="60"/>
        <v>0</v>
      </c>
      <c r="L292" s="92" t="str">
        <f t="shared" si="61"/>
        <v/>
      </c>
      <c r="M292" s="34"/>
    </row>
    <row r="293" spans="2:13" x14ac:dyDescent="0.2">
      <c r="B293" s="61" t="str">
        <f t="shared" si="55"/>
        <v/>
      </c>
      <c r="C293" s="49">
        <v>77</v>
      </c>
      <c r="D293" s="90"/>
      <c r="E293" s="66"/>
      <c r="F293" s="66"/>
      <c r="G293" s="4" t="str">
        <f t="shared" si="56"/>
        <v/>
      </c>
      <c r="H293" s="25" t="str">
        <f t="shared" si="57"/>
        <v/>
      </c>
      <c r="I293" s="25" t="str">
        <f t="shared" si="58"/>
        <v/>
      </c>
      <c r="J293" s="69" t="str">
        <f t="shared" si="59"/>
        <v/>
      </c>
      <c r="K293" s="69">
        <f t="shared" si="60"/>
        <v>0</v>
      </c>
      <c r="L293" s="92" t="str">
        <f t="shared" si="61"/>
        <v/>
      </c>
      <c r="M293" s="34"/>
    </row>
    <row r="294" spans="2:13" x14ac:dyDescent="0.2">
      <c r="B294" s="61" t="str">
        <f t="shared" si="55"/>
        <v/>
      </c>
      <c r="C294" s="49">
        <v>78</v>
      </c>
      <c r="D294" s="90"/>
      <c r="E294" s="66"/>
      <c r="F294" s="66"/>
      <c r="G294" s="4" t="str">
        <f t="shared" si="56"/>
        <v/>
      </c>
      <c r="H294" s="25" t="str">
        <f t="shared" si="57"/>
        <v/>
      </c>
      <c r="I294" s="25" t="str">
        <f t="shared" si="58"/>
        <v/>
      </c>
      <c r="J294" s="69" t="str">
        <f t="shared" si="59"/>
        <v/>
      </c>
      <c r="K294" s="69">
        <f t="shared" si="60"/>
        <v>0</v>
      </c>
      <c r="L294" s="92" t="str">
        <f t="shared" si="61"/>
        <v/>
      </c>
      <c r="M294" s="34"/>
    </row>
    <row r="295" spans="2:13" x14ac:dyDescent="0.2">
      <c r="B295" s="61" t="str">
        <f t="shared" si="55"/>
        <v/>
      </c>
      <c r="C295" s="49">
        <v>79</v>
      </c>
      <c r="D295" s="90"/>
      <c r="E295" s="66"/>
      <c r="F295" s="66"/>
      <c r="G295" s="4" t="str">
        <f t="shared" si="56"/>
        <v/>
      </c>
      <c r="H295" s="25" t="str">
        <f t="shared" si="57"/>
        <v/>
      </c>
      <c r="I295" s="25" t="str">
        <f t="shared" si="58"/>
        <v/>
      </c>
      <c r="J295" s="69" t="str">
        <f t="shared" si="59"/>
        <v/>
      </c>
      <c r="K295" s="69">
        <f t="shared" si="60"/>
        <v>0</v>
      </c>
      <c r="L295" s="92" t="str">
        <f t="shared" si="61"/>
        <v/>
      </c>
      <c r="M295" s="34"/>
    </row>
    <row r="296" spans="2:13" x14ac:dyDescent="0.2">
      <c r="B296" s="61" t="str">
        <f t="shared" si="55"/>
        <v/>
      </c>
      <c r="C296" s="49">
        <v>80</v>
      </c>
      <c r="D296" s="90"/>
      <c r="E296" s="66"/>
      <c r="F296" s="66"/>
      <c r="G296" s="4" t="str">
        <f t="shared" si="56"/>
        <v/>
      </c>
      <c r="H296" s="25" t="str">
        <f t="shared" si="57"/>
        <v/>
      </c>
      <c r="I296" s="25" t="str">
        <f t="shared" si="58"/>
        <v/>
      </c>
      <c r="J296" s="69" t="str">
        <f t="shared" si="59"/>
        <v/>
      </c>
      <c r="K296" s="69">
        <f t="shared" si="60"/>
        <v>0</v>
      </c>
      <c r="L296" s="92" t="str">
        <f t="shared" si="61"/>
        <v/>
      </c>
      <c r="M296" s="34"/>
    </row>
    <row r="297" spans="2:13" x14ac:dyDescent="0.2">
      <c r="B297" s="61" t="str">
        <f t="shared" si="55"/>
        <v/>
      </c>
      <c r="C297" s="49">
        <v>81</v>
      </c>
      <c r="D297" s="90"/>
      <c r="E297" s="66"/>
      <c r="F297" s="66"/>
      <c r="G297" s="4" t="str">
        <f t="shared" si="56"/>
        <v/>
      </c>
      <c r="H297" s="25" t="str">
        <f t="shared" si="57"/>
        <v/>
      </c>
      <c r="I297" s="25" t="str">
        <f t="shared" si="58"/>
        <v/>
      </c>
      <c r="J297" s="69" t="str">
        <f t="shared" si="59"/>
        <v/>
      </c>
      <c r="K297" s="69">
        <f t="shared" si="60"/>
        <v>0</v>
      </c>
      <c r="L297" s="92" t="str">
        <f t="shared" si="61"/>
        <v/>
      </c>
      <c r="M297" s="34"/>
    </row>
    <row r="298" spans="2:13" x14ac:dyDescent="0.2">
      <c r="B298" s="61" t="str">
        <f t="shared" si="55"/>
        <v/>
      </c>
      <c r="C298" s="49">
        <v>82</v>
      </c>
      <c r="D298" s="90"/>
      <c r="E298" s="66"/>
      <c r="F298" s="66"/>
      <c r="G298" s="4" t="str">
        <f t="shared" si="56"/>
        <v/>
      </c>
      <c r="H298" s="25" t="str">
        <f t="shared" si="57"/>
        <v/>
      </c>
      <c r="I298" s="25" t="str">
        <f t="shared" si="58"/>
        <v/>
      </c>
      <c r="J298" s="69" t="str">
        <f t="shared" si="59"/>
        <v/>
      </c>
      <c r="K298" s="69">
        <f t="shared" si="60"/>
        <v>0</v>
      </c>
      <c r="L298" s="92" t="str">
        <f t="shared" si="61"/>
        <v/>
      </c>
      <c r="M298" s="34"/>
    </row>
    <row r="299" spans="2:13" x14ac:dyDescent="0.2">
      <c r="B299" s="61" t="str">
        <f t="shared" si="55"/>
        <v/>
      </c>
      <c r="C299" s="49">
        <v>83</v>
      </c>
      <c r="D299" s="90"/>
      <c r="E299" s="66"/>
      <c r="F299" s="66"/>
      <c r="G299" s="4" t="str">
        <f t="shared" si="56"/>
        <v/>
      </c>
      <c r="H299" s="25" t="str">
        <f t="shared" si="57"/>
        <v/>
      </c>
      <c r="I299" s="25" t="str">
        <f t="shared" si="58"/>
        <v/>
      </c>
      <c r="J299" s="69" t="str">
        <f t="shared" si="59"/>
        <v/>
      </c>
      <c r="K299" s="69">
        <f t="shared" si="60"/>
        <v>0</v>
      </c>
      <c r="L299" s="92" t="str">
        <f t="shared" si="61"/>
        <v/>
      </c>
      <c r="M299" s="34"/>
    </row>
    <row r="300" spans="2:13" x14ac:dyDescent="0.2">
      <c r="B300" s="61" t="str">
        <f t="shared" si="55"/>
        <v/>
      </c>
      <c r="C300" s="49">
        <v>84</v>
      </c>
      <c r="D300" s="90"/>
      <c r="E300" s="66"/>
      <c r="F300" s="66"/>
      <c r="G300" s="4" t="str">
        <f t="shared" si="56"/>
        <v/>
      </c>
      <c r="H300" s="25" t="str">
        <f t="shared" si="57"/>
        <v/>
      </c>
      <c r="I300" s="25" t="str">
        <f t="shared" si="58"/>
        <v/>
      </c>
      <c r="J300" s="69" t="str">
        <f t="shared" si="59"/>
        <v/>
      </c>
      <c r="K300" s="69">
        <f t="shared" si="60"/>
        <v>0</v>
      </c>
      <c r="L300" s="92" t="str">
        <f t="shared" si="61"/>
        <v/>
      </c>
      <c r="M300" s="34"/>
    </row>
    <row r="301" spans="2:13" x14ac:dyDescent="0.2">
      <c r="B301" s="61" t="str">
        <f t="shared" si="55"/>
        <v/>
      </c>
      <c r="C301" s="49">
        <v>85</v>
      </c>
      <c r="D301" s="90"/>
      <c r="E301" s="66"/>
      <c r="F301" s="66"/>
      <c r="G301" s="4" t="str">
        <f t="shared" si="56"/>
        <v/>
      </c>
      <c r="H301" s="25" t="str">
        <f t="shared" si="57"/>
        <v/>
      </c>
      <c r="I301" s="25" t="str">
        <f t="shared" si="58"/>
        <v/>
      </c>
      <c r="J301" s="69" t="str">
        <f t="shared" si="59"/>
        <v/>
      </c>
      <c r="K301" s="69">
        <f t="shared" si="60"/>
        <v>0</v>
      </c>
      <c r="L301" s="92" t="str">
        <f t="shared" si="61"/>
        <v/>
      </c>
      <c r="M301" s="34"/>
    </row>
    <row r="302" spans="2:13" x14ac:dyDescent="0.2">
      <c r="B302" s="61" t="str">
        <f t="shared" si="55"/>
        <v/>
      </c>
      <c r="C302" s="49">
        <v>86</v>
      </c>
      <c r="D302" s="90"/>
      <c r="E302" s="66"/>
      <c r="F302" s="66"/>
      <c r="G302" s="4" t="str">
        <f t="shared" si="56"/>
        <v/>
      </c>
      <c r="H302" s="25" t="str">
        <f t="shared" si="57"/>
        <v/>
      </c>
      <c r="I302" s="25" t="str">
        <f t="shared" si="58"/>
        <v/>
      </c>
      <c r="J302" s="69" t="str">
        <f t="shared" si="59"/>
        <v/>
      </c>
      <c r="K302" s="69">
        <f t="shared" si="60"/>
        <v>0</v>
      </c>
      <c r="L302" s="92" t="str">
        <f t="shared" si="61"/>
        <v/>
      </c>
      <c r="M302" s="34"/>
    </row>
    <row r="303" spans="2:13" x14ac:dyDescent="0.2">
      <c r="B303" s="61" t="str">
        <f t="shared" si="55"/>
        <v/>
      </c>
      <c r="C303" s="49">
        <v>87</v>
      </c>
      <c r="D303" s="90"/>
      <c r="E303" s="66"/>
      <c r="F303" s="66"/>
      <c r="G303" s="4" t="str">
        <f t="shared" si="56"/>
        <v/>
      </c>
      <c r="H303" s="25" t="str">
        <f t="shared" si="57"/>
        <v/>
      </c>
      <c r="I303" s="25" t="str">
        <f t="shared" si="58"/>
        <v/>
      </c>
      <c r="J303" s="69" t="str">
        <f t="shared" si="59"/>
        <v/>
      </c>
      <c r="K303" s="69">
        <f t="shared" si="60"/>
        <v>0</v>
      </c>
      <c r="L303" s="92" t="str">
        <f t="shared" si="61"/>
        <v/>
      </c>
      <c r="M303" s="34"/>
    </row>
    <row r="304" spans="2:13" x14ac:dyDescent="0.2">
      <c r="B304" s="61" t="str">
        <f t="shared" si="55"/>
        <v/>
      </c>
      <c r="C304" s="49">
        <v>88</v>
      </c>
      <c r="D304" s="90"/>
      <c r="E304" s="66"/>
      <c r="F304" s="66"/>
      <c r="G304" s="4" t="str">
        <f t="shared" si="56"/>
        <v/>
      </c>
      <c r="H304" s="25" t="str">
        <f t="shared" si="57"/>
        <v/>
      </c>
      <c r="I304" s="25" t="str">
        <f t="shared" si="58"/>
        <v/>
      </c>
      <c r="J304" s="69" t="str">
        <f t="shared" si="59"/>
        <v/>
      </c>
      <c r="K304" s="69">
        <f t="shared" si="60"/>
        <v>0</v>
      </c>
      <c r="L304" s="92" t="str">
        <f t="shared" si="61"/>
        <v/>
      </c>
      <c r="M304" s="34"/>
    </row>
    <row r="305" spans="2:13" x14ac:dyDescent="0.2">
      <c r="B305" s="61" t="str">
        <f t="shared" si="55"/>
        <v/>
      </c>
      <c r="C305" s="49">
        <v>89</v>
      </c>
      <c r="D305" s="90"/>
      <c r="E305" s="66"/>
      <c r="F305" s="66"/>
      <c r="G305" s="4" t="str">
        <f t="shared" si="56"/>
        <v/>
      </c>
      <c r="H305" s="25" t="str">
        <f t="shared" si="57"/>
        <v/>
      </c>
      <c r="I305" s="25" t="str">
        <f t="shared" si="58"/>
        <v/>
      </c>
      <c r="J305" s="69" t="str">
        <f t="shared" si="59"/>
        <v/>
      </c>
      <c r="K305" s="69">
        <f t="shared" si="60"/>
        <v>0</v>
      </c>
      <c r="L305" s="92" t="str">
        <f t="shared" si="61"/>
        <v/>
      </c>
      <c r="M305" s="34"/>
    </row>
    <row r="306" spans="2:13" x14ac:dyDescent="0.2">
      <c r="B306" s="61" t="str">
        <f t="shared" si="55"/>
        <v/>
      </c>
      <c r="C306" s="49">
        <v>90</v>
      </c>
      <c r="D306" s="90"/>
      <c r="E306" s="66"/>
      <c r="F306" s="66"/>
      <c r="G306" s="4" t="str">
        <f t="shared" si="56"/>
        <v/>
      </c>
      <c r="H306" s="25" t="str">
        <f t="shared" si="57"/>
        <v/>
      </c>
      <c r="I306" s="25" t="str">
        <f t="shared" si="58"/>
        <v/>
      </c>
      <c r="J306" s="69" t="str">
        <f t="shared" si="59"/>
        <v/>
      </c>
      <c r="K306" s="69">
        <f t="shared" si="60"/>
        <v>0</v>
      </c>
      <c r="L306" s="92" t="str">
        <f t="shared" si="61"/>
        <v/>
      </c>
      <c r="M306" s="34"/>
    </row>
    <row r="307" spans="2:13" x14ac:dyDescent="0.2">
      <c r="B307" s="61" t="str">
        <f t="shared" si="55"/>
        <v/>
      </c>
      <c r="C307" s="49">
        <v>91</v>
      </c>
      <c r="D307" s="90"/>
      <c r="E307" s="66"/>
      <c r="F307" s="66"/>
      <c r="G307" s="4" t="str">
        <f t="shared" si="56"/>
        <v/>
      </c>
      <c r="H307" s="25" t="str">
        <f t="shared" si="57"/>
        <v/>
      </c>
      <c r="I307" s="25" t="str">
        <f t="shared" si="58"/>
        <v/>
      </c>
      <c r="J307" s="69" t="str">
        <f t="shared" si="59"/>
        <v/>
      </c>
      <c r="K307" s="69">
        <f t="shared" si="60"/>
        <v>0</v>
      </c>
      <c r="L307" s="92" t="str">
        <f t="shared" si="61"/>
        <v/>
      </c>
      <c r="M307" s="34"/>
    </row>
    <row r="308" spans="2:13" x14ac:dyDescent="0.2">
      <c r="B308" s="61" t="str">
        <f t="shared" si="55"/>
        <v/>
      </c>
      <c r="C308" s="49">
        <v>92</v>
      </c>
      <c r="D308" s="90"/>
      <c r="E308" s="66"/>
      <c r="F308" s="66"/>
      <c r="G308" s="4" t="str">
        <f t="shared" si="56"/>
        <v/>
      </c>
      <c r="H308" s="25" t="str">
        <f t="shared" si="57"/>
        <v/>
      </c>
      <c r="I308" s="25" t="str">
        <f t="shared" si="58"/>
        <v/>
      </c>
      <c r="J308" s="69" t="str">
        <f t="shared" si="59"/>
        <v/>
      </c>
      <c r="K308" s="69">
        <f t="shared" si="60"/>
        <v>0</v>
      </c>
      <c r="L308" s="92" t="str">
        <f t="shared" si="61"/>
        <v/>
      </c>
      <c r="M308" s="34"/>
    </row>
    <row r="309" spans="2:13" x14ac:dyDescent="0.2">
      <c r="B309" s="61" t="str">
        <f t="shared" si="55"/>
        <v/>
      </c>
      <c r="C309" s="49">
        <v>93</v>
      </c>
      <c r="D309" s="90"/>
      <c r="E309" s="66"/>
      <c r="F309" s="66"/>
      <c r="G309" s="4" t="str">
        <f t="shared" si="56"/>
        <v/>
      </c>
      <c r="H309" s="25" t="str">
        <f t="shared" si="57"/>
        <v/>
      </c>
      <c r="I309" s="25" t="str">
        <f t="shared" si="58"/>
        <v/>
      </c>
      <c r="J309" s="69" t="str">
        <f t="shared" si="59"/>
        <v/>
      </c>
      <c r="K309" s="69">
        <f t="shared" si="60"/>
        <v>0</v>
      </c>
      <c r="L309" s="92" t="str">
        <f t="shared" si="61"/>
        <v/>
      </c>
      <c r="M309" s="34"/>
    </row>
    <row r="310" spans="2:13" x14ac:dyDescent="0.2">
      <c r="B310" s="61" t="str">
        <f t="shared" si="55"/>
        <v/>
      </c>
      <c r="C310" s="49">
        <v>94</v>
      </c>
      <c r="D310" s="90"/>
      <c r="E310" s="66"/>
      <c r="F310" s="66"/>
      <c r="G310" s="4" t="str">
        <f t="shared" si="56"/>
        <v/>
      </c>
      <c r="H310" s="25" t="str">
        <f t="shared" si="57"/>
        <v/>
      </c>
      <c r="I310" s="25" t="str">
        <f t="shared" si="58"/>
        <v/>
      </c>
      <c r="J310" s="69" t="str">
        <f t="shared" si="59"/>
        <v/>
      </c>
      <c r="K310" s="69">
        <f t="shared" si="60"/>
        <v>0</v>
      </c>
      <c r="L310" s="92" t="str">
        <f t="shared" si="61"/>
        <v/>
      </c>
      <c r="M310" s="34"/>
    </row>
    <row r="311" spans="2:13" x14ac:dyDescent="0.2">
      <c r="B311" s="61" t="str">
        <f t="shared" si="55"/>
        <v/>
      </c>
      <c r="C311" s="49">
        <v>95</v>
      </c>
      <c r="D311" s="90"/>
      <c r="E311" s="66"/>
      <c r="F311" s="66"/>
      <c r="G311" s="4" t="str">
        <f t="shared" si="56"/>
        <v/>
      </c>
      <c r="H311" s="25" t="str">
        <f t="shared" si="57"/>
        <v/>
      </c>
      <c r="I311" s="25" t="str">
        <f t="shared" si="58"/>
        <v/>
      </c>
      <c r="J311" s="69" t="str">
        <f t="shared" si="59"/>
        <v/>
      </c>
      <c r="K311" s="69">
        <f t="shared" si="60"/>
        <v>0</v>
      </c>
      <c r="L311" s="92" t="str">
        <f t="shared" si="61"/>
        <v/>
      </c>
      <c r="M311" s="34"/>
    </row>
    <row r="312" spans="2:13" x14ac:dyDescent="0.2">
      <c r="B312" s="61" t="str">
        <f t="shared" si="55"/>
        <v/>
      </c>
      <c r="C312" s="49">
        <v>96</v>
      </c>
      <c r="D312" s="90"/>
      <c r="E312" s="66"/>
      <c r="F312" s="66"/>
      <c r="G312" s="4" t="str">
        <f t="shared" si="56"/>
        <v/>
      </c>
      <c r="H312" s="25" t="str">
        <f t="shared" si="57"/>
        <v/>
      </c>
      <c r="I312" s="25" t="str">
        <f t="shared" si="58"/>
        <v/>
      </c>
      <c r="J312" s="69" t="str">
        <f t="shared" si="59"/>
        <v/>
      </c>
      <c r="K312" s="69">
        <f t="shared" si="60"/>
        <v>0</v>
      </c>
      <c r="L312" s="92" t="str">
        <f t="shared" si="61"/>
        <v/>
      </c>
      <c r="M312" s="34"/>
    </row>
    <row r="313" spans="2:13" x14ac:dyDescent="0.2">
      <c r="B313" s="61" t="str">
        <f t="shared" si="55"/>
        <v/>
      </c>
      <c r="C313" s="49">
        <v>97</v>
      </c>
      <c r="D313" s="90"/>
      <c r="E313" s="66"/>
      <c r="F313" s="66"/>
      <c r="G313" s="4" t="str">
        <f t="shared" si="56"/>
        <v/>
      </c>
      <c r="H313" s="25" t="str">
        <f t="shared" si="57"/>
        <v/>
      </c>
      <c r="I313" s="25" t="str">
        <f t="shared" si="58"/>
        <v/>
      </c>
      <c r="J313" s="69" t="str">
        <f t="shared" si="59"/>
        <v/>
      </c>
      <c r="K313" s="69">
        <f t="shared" si="60"/>
        <v>0</v>
      </c>
      <c r="L313" s="92" t="str">
        <f t="shared" si="61"/>
        <v/>
      </c>
      <c r="M313" s="34"/>
    </row>
    <row r="314" spans="2:13" x14ac:dyDescent="0.2">
      <c r="B314" s="61" t="str">
        <f t="shared" si="55"/>
        <v/>
      </c>
      <c r="C314" s="49">
        <v>98</v>
      </c>
      <c r="D314" s="90"/>
      <c r="E314" s="66"/>
      <c r="F314" s="66"/>
      <c r="G314" s="4" t="str">
        <f t="shared" si="56"/>
        <v/>
      </c>
      <c r="H314" s="25" t="str">
        <f t="shared" si="57"/>
        <v/>
      </c>
      <c r="I314" s="25" t="str">
        <f t="shared" si="58"/>
        <v/>
      </c>
      <c r="J314" s="69" t="str">
        <f t="shared" si="59"/>
        <v/>
      </c>
      <c r="K314" s="69">
        <f t="shared" si="60"/>
        <v>0</v>
      </c>
      <c r="L314" s="92" t="str">
        <f t="shared" si="61"/>
        <v/>
      </c>
      <c r="M314" s="34"/>
    </row>
    <row r="315" spans="2:13" x14ac:dyDescent="0.2">
      <c r="B315" s="61" t="str">
        <f t="shared" si="55"/>
        <v/>
      </c>
      <c r="C315" s="49">
        <v>99</v>
      </c>
      <c r="D315" s="90"/>
      <c r="E315" s="66"/>
      <c r="F315" s="66"/>
      <c r="G315" s="4" t="str">
        <f t="shared" si="56"/>
        <v/>
      </c>
      <c r="H315" s="25" t="str">
        <f t="shared" si="57"/>
        <v/>
      </c>
      <c r="I315" s="25" t="str">
        <f t="shared" si="58"/>
        <v/>
      </c>
      <c r="J315" s="69" t="str">
        <f t="shared" si="59"/>
        <v/>
      </c>
      <c r="K315" s="69">
        <f t="shared" si="60"/>
        <v>0</v>
      </c>
      <c r="L315" s="92" t="str">
        <f t="shared" si="61"/>
        <v/>
      </c>
      <c r="M315" s="34"/>
    </row>
    <row r="316" spans="2:13" ht="13.5" thickBot="1" x14ac:dyDescent="0.25">
      <c r="B316" s="75" t="str">
        <f t="shared" si="55"/>
        <v/>
      </c>
      <c r="C316" s="30">
        <v>100</v>
      </c>
      <c r="D316" s="93"/>
      <c r="E316" s="78"/>
      <c r="F316" s="78"/>
      <c r="G316" s="4" t="str">
        <f t="shared" si="56"/>
        <v/>
      </c>
      <c r="H316" s="25" t="str">
        <f t="shared" si="57"/>
        <v/>
      </c>
      <c r="I316" s="25" t="str">
        <f t="shared" si="58"/>
        <v/>
      </c>
      <c r="J316" s="69" t="str">
        <f t="shared" si="59"/>
        <v/>
      </c>
      <c r="K316" s="69">
        <f t="shared" si="60"/>
        <v>0</v>
      </c>
      <c r="L316" s="95" t="str">
        <f t="shared" si="61"/>
        <v/>
      </c>
      <c r="M316" s="35"/>
    </row>
    <row r="317" spans="2:13" x14ac:dyDescent="0.2">
      <c r="C317" s="83"/>
      <c r="D317" s="83"/>
      <c r="E317" s="83"/>
      <c r="F317" s="83"/>
      <c r="G317" s="83"/>
      <c r="H317" s="84"/>
      <c r="I317" s="83"/>
      <c r="J317" s="83"/>
      <c r="K317" s="96"/>
      <c r="L317" s="97"/>
      <c r="M317" s="83"/>
    </row>
    <row r="318" spans="2:13" ht="13.5" thickBot="1" x14ac:dyDescent="0.25">
      <c r="E318" s="226"/>
    </row>
    <row r="319" spans="2:13" ht="13.5" thickBot="1" x14ac:dyDescent="0.25">
      <c r="D319" s="224"/>
      <c r="E319" s="225" t="s">
        <v>10</v>
      </c>
      <c r="F319" s="227" t="s">
        <v>8</v>
      </c>
    </row>
    <row r="320" spans="2:13" ht="12.75" customHeight="1" x14ac:dyDescent="0.2">
      <c r="D320" s="229"/>
      <c r="E320" s="230" t="s">
        <v>325</v>
      </c>
      <c r="F320" s="216">
        <f>DSUM($J$7:$L$316,$J$7,$E$319:E320)</f>
        <v>0</v>
      </c>
    </row>
    <row r="321" spans="4:8" ht="12.75" customHeight="1" x14ac:dyDescent="0.2">
      <c r="D321" s="214"/>
      <c r="E321" s="215" t="s">
        <v>326</v>
      </c>
      <c r="F321" s="216">
        <f>DSUM($J$7:$L$316,$J$7,$E$319:E321)-SUM($F$319:F320)</f>
        <v>0</v>
      </c>
      <c r="G321" s="228"/>
    </row>
    <row r="322" spans="4:8" ht="12.75" customHeight="1" x14ac:dyDescent="0.2">
      <c r="D322" s="217"/>
      <c r="E322" s="215" t="s">
        <v>327</v>
      </c>
      <c r="F322" s="216">
        <f>DSUM($J$7:$L$316,$J$7,$E$319:E322)-SUM($F$319:F321)</f>
        <v>0</v>
      </c>
      <c r="H322" s="55"/>
    </row>
    <row r="323" spans="4:8" ht="13.5" customHeight="1" x14ac:dyDescent="0.2">
      <c r="D323" s="217"/>
      <c r="E323" s="215" t="s">
        <v>328</v>
      </c>
      <c r="F323" s="216">
        <f>DSUM($J$7:$L$316,$J$7,$E$319:E323)-SUM($F$319:F322)</f>
        <v>0</v>
      </c>
      <c r="H323" s="55"/>
    </row>
    <row r="324" spans="4:8" ht="12.75" customHeight="1" x14ac:dyDescent="0.2">
      <c r="D324" s="217"/>
      <c r="E324" s="215" t="s">
        <v>329</v>
      </c>
      <c r="F324" s="216">
        <f>DSUM($J$7:$L$316,$J$7,$E$319:E324)-SUM($F$319:F323)</f>
        <v>0</v>
      </c>
      <c r="H324" s="55"/>
    </row>
    <row r="325" spans="4:8" ht="13.5" customHeight="1" x14ac:dyDescent="0.2">
      <c r="D325" s="217"/>
      <c r="E325" s="215" t="s">
        <v>330</v>
      </c>
      <c r="F325" s="216">
        <f>DSUM($J$7:$L$316,$J$7,$E$319:E325)-SUM($F$319:F324)</f>
        <v>0</v>
      </c>
      <c r="H325" s="55"/>
    </row>
    <row r="326" spans="4:8" x14ac:dyDescent="0.2">
      <c r="D326" s="219"/>
      <c r="E326" s="220" t="s">
        <v>331</v>
      </c>
      <c r="F326" s="216">
        <f>DSUM($J$7:$L$316,$J$7,$E$319:E326)-SUM($F$319:F325)</f>
        <v>0</v>
      </c>
      <c r="H326" s="55"/>
    </row>
    <row r="327" spans="4:8" x14ac:dyDescent="0.2">
      <c r="D327" s="219"/>
      <c r="E327" s="220" t="s">
        <v>332</v>
      </c>
      <c r="F327" s="216">
        <f>DSUM($J$7:$L$316,$J$7,$E$319:E327)-SUM($F$319:F326)</f>
        <v>0</v>
      </c>
      <c r="H327" s="55"/>
    </row>
    <row r="328" spans="4:8" x14ac:dyDescent="0.2">
      <c r="D328" s="219"/>
      <c r="E328" s="220" t="s">
        <v>333</v>
      </c>
      <c r="F328" s="216">
        <f>DSUM($J$7:$L$316,$J$7,$E$319:E328)-SUM($F$319:F327)</f>
        <v>0</v>
      </c>
      <c r="H328" s="55"/>
    </row>
    <row r="329" spans="4:8" x14ac:dyDescent="0.2">
      <c r="D329" s="219"/>
      <c r="E329" s="220" t="s">
        <v>334</v>
      </c>
      <c r="F329" s="216">
        <f>DSUM($J$7:$L$316,$J$7,$E$319:E329)-SUM($F$319:F328)</f>
        <v>0</v>
      </c>
    </row>
    <row r="330" spans="4:8" x14ac:dyDescent="0.2">
      <c r="D330" s="219"/>
      <c r="E330" s="220" t="s">
        <v>335</v>
      </c>
      <c r="F330" s="216">
        <f>DSUM($J$7:$L$316,$J$7,$E$319:E330)-SUM($F$319:F329)</f>
        <v>0</v>
      </c>
    </row>
    <row r="331" spans="4:8" x14ac:dyDescent="0.2">
      <c r="D331" s="219"/>
      <c r="E331" s="220" t="s">
        <v>336</v>
      </c>
      <c r="F331" s="216">
        <f>DSUM($J$7:$L$316,$J$7,$E$319:E331)-SUM($F$319:F330)</f>
        <v>0</v>
      </c>
    </row>
    <row r="332" spans="4:8" x14ac:dyDescent="0.2">
      <c r="D332" s="214"/>
      <c r="E332" s="215" t="s">
        <v>337</v>
      </c>
      <c r="F332" s="216">
        <f>DSUM($J$7:$L$316,$J$7,$E$319:E332)-SUM($F$319:F331)</f>
        <v>0</v>
      </c>
    </row>
    <row r="333" spans="4:8" x14ac:dyDescent="0.2">
      <c r="D333" s="214"/>
      <c r="E333" s="215" t="s">
        <v>338</v>
      </c>
      <c r="F333" s="216">
        <f>DSUM($J$7:$L$316,$J$7,$E$319:E333)-SUM($F$319:F332)</f>
        <v>0</v>
      </c>
    </row>
    <row r="334" spans="4:8" x14ac:dyDescent="0.2">
      <c r="D334" s="217"/>
      <c r="E334" s="215" t="s">
        <v>339</v>
      </c>
      <c r="F334" s="216">
        <f>DSUM($J$7:$L$316,$J$7,$E$319:E334)-SUM($F$319:F333)</f>
        <v>0</v>
      </c>
    </row>
    <row r="335" spans="4:8" x14ac:dyDescent="0.2">
      <c r="D335" s="217"/>
      <c r="E335" s="215" t="s">
        <v>340</v>
      </c>
      <c r="F335" s="216">
        <f>DSUM($J$7:$L$316,$J$7,$E$319:E335)-SUM($F$319:F334)</f>
        <v>0</v>
      </c>
    </row>
    <row r="336" spans="4:8" x14ac:dyDescent="0.2">
      <c r="D336" s="217"/>
      <c r="E336" s="215" t="s">
        <v>341</v>
      </c>
      <c r="F336" s="216">
        <f>DSUM($J$7:$L$316,$J$7,$E$319:E336)-SUM($F$319:F335)</f>
        <v>0</v>
      </c>
    </row>
    <row r="337" spans="4:6" x14ac:dyDescent="0.2">
      <c r="D337" s="217"/>
      <c r="E337" s="215" t="s">
        <v>342</v>
      </c>
      <c r="F337" s="216">
        <f>DSUM($J$7:$L$316,$J$7,$E$319:E337)-SUM($F$319:F336)</f>
        <v>0</v>
      </c>
    </row>
    <row r="338" spans="4:6" x14ac:dyDescent="0.2">
      <c r="D338" s="219"/>
      <c r="E338" s="220" t="s">
        <v>343</v>
      </c>
      <c r="F338" s="216">
        <f>DSUM($J$7:$L$316,$J$7,$E$319:E338)-SUM($F$319:F337)</f>
        <v>0</v>
      </c>
    </row>
    <row r="339" spans="4:6" x14ac:dyDescent="0.2">
      <c r="D339" s="219"/>
      <c r="E339" s="220" t="s">
        <v>344</v>
      </c>
      <c r="F339" s="216">
        <f>DSUM($J$7:$L$316,$J$7,$E$319:E339)-SUM($F$319:F338)</f>
        <v>0</v>
      </c>
    </row>
    <row r="340" spans="4:6" x14ac:dyDescent="0.2">
      <c r="D340" s="219"/>
      <c r="E340" s="220" t="s">
        <v>345</v>
      </c>
      <c r="F340" s="216">
        <f>DSUM($J$7:$L$316,$J$7,$E$319:E340)-SUM($F$319:F339)</f>
        <v>0</v>
      </c>
    </row>
    <row r="341" spans="4:6" x14ac:dyDescent="0.2">
      <c r="D341" s="219"/>
      <c r="E341" s="220" t="s">
        <v>346</v>
      </c>
      <c r="F341" s="216">
        <f>DSUM($J$7:$L$316,$J$7,$E$319:E341)-SUM($F$319:F340)</f>
        <v>0</v>
      </c>
    </row>
    <row r="342" spans="4:6" x14ac:dyDescent="0.2">
      <c r="D342" s="219"/>
      <c r="E342" s="220" t="s">
        <v>347</v>
      </c>
      <c r="F342" s="216">
        <f>DSUM($J$7:$L$316,$J$7,$E$319:E342)-SUM($F$319:F341)</f>
        <v>0</v>
      </c>
    </row>
    <row r="343" spans="4:6" x14ac:dyDescent="0.2">
      <c r="D343" s="219"/>
      <c r="E343" s="220" t="s">
        <v>348</v>
      </c>
      <c r="F343" s="216">
        <f>DSUM($J$7:$L$316,$J$7,$E$319:E343)-SUM($F$319:F342)</f>
        <v>0</v>
      </c>
    </row>
    <row r="344" spans="4:6" x14ac:dyDescent="0.2">
      <c r="D344" s="214"/>
      <c r="E344" s="215" t="s">
        <v>349</v>
      </c>
      <c r="F344" s="216">
        <f>DSUM($J$7:$L$316,$J$7,$E$319:E344)-SUM($F$319:F343)</f>
        <v>0</v>
      </c>
    </row>
    <row r="345" spans="4:6" x14ac:dyDescent="0.2">
      <c r="D345" s="214"/>
      <c r="E345" s="215" t="s">
        <v>350</v>
      </c>
      <c r="F345" s="216">
        <f>DSUM($J$7:$L$316,$J$7,$E$319:E345)-SUM($F$319:F344)</f>
        <v>0</v>
      </c>
    </row>
    <row r="346" spans="4:6" x14ac:dyDescent="0.2">
      <c r="D346" s="217"/>
      <c r="E346" s="215" t="s">
        <v>351</v>
      </c>
      <c r="F346" s="216">
        <f>DSUM($J$7:$L$316,$J$7,$E$319:E346)-SUM($F$319:F345)</f>
        <v>0</v>
      </c>
    </row>
    <row r="347" spans="4:6" x14ac:dyDescent="0.2">
      <c r="D347" s="217"/>
      <c r="E347" s="215" t="s">
        <v>352</v>
      </c>
      <c r="F347" s="216">
        <f>DSUM($J$7:$L$316,$J$7,$E$319:E347)-SUM($F$319:F346)</f>
        <v>0</v>
      </c>
    </row>
    <row r="348" spans="4:6" x14ac:dyDescent="0.2">
      <c r="D348" s="217"/>
      <c r="E348" s="215" t="s">
        <v>353</v>
      </c>
      <c r="F348" s="216">
        <f>DSUM($J$7:$L$316,$J$7,$E$319:E348)-SUM($F$319:F347)</f>
        <v>0</v>
      </c>
    </row>
    <row r="349" spans="4:6" x14ac:dyDescent="0.2">
      <c r="D349" s="217"/>
      <c r="E349" s="215" t="s">
        <v>354</v>
      </c>
      <c r="F349" s="216">
        <f>DSUM($J$7:$L$316,$J$7,$E$319:E349)-SUM($F$319:F348)</f>
        <v>0</v>
      </c>
    </row>
    <row r="350" spans="4:6" x14ac:dyDescent="0.2">
      <c r="D350" s="219"/>
      <c r="E350" s="220" t="s">
        <v>355</v>
      </c>
      <c r="F350" s="216">
        <f>DSUM($J$7:$L$316,$J$7,$E$319:E350)-SUM($F$319:F349)</f>
        <v>0</v>
      </c>
    </row>
    <row r="351" spans="4:6" x14ac:dyDescent="0.2">
      <c r="D351" s="219"/>
      <c r="E351" s="220" t="s">
        <v>356</v>
      </c>
      <c r="F351" s="216">
        <f>DSUM($J$7:$L$316,$J$7,$E$319:E351)-SUM($F$319:F350)</f>
        <v>0</v>
      </c>
    </row>
    <row r="352" spans="4:6" x14ac:dyDescent="0.2">
      <c r="D352" s="219"/>
      <c r="E352" s="220" t="s">
        <v>357</v>
      </c>
      <c r="F352" s="216">
        <f>DSUM($J$7:$L$316,$J$7,$E$319:E352)-SUM($F$319:F351)</f>
        <v>0</v>
      </c>
    </row>
    <row r="353" spans="4:6" x14ac:dyDescent="0.2">
      <c r="D353" s="219"/>
      <c r="E353" s="220" t="s">
        <v>358</v>
      </c>
      <c r="F353" s="216">
        <f>DSUM($J$7:$L$316,$J$7,$E$319:E353)-SUM($F$319:F352)</f>
        <v>0</v>
      </c>
    </row>
    <row r="354" spans="4:6" x14ac:dyDescent="0.2">
      <c r="D354" s="219"/>
      <c r="E354" s="220" t="s">
        <v>359</v>
      </c>
      <c r="F354" s="216">
        <f>DSUM($J$7:$L$316,$J$7,$E$319:E354)-SUM($F$319:F353)</f>
        <v>0</v>
      </c>
    </row>
    <row r="355" spans="4:6" x14ac:dyDescent="0.2">
      <c r="D355" s="219"/>
      <c r="E355" s="220" t="s">
        <v>360</v>
      </c>
      <c r="F355" s="216">
        <f>DSUM($J$7:$L$316,$J$7,$E$319:E355)-SUM($F$319:F354)</f>
        <v>0</v>
      </c>
    </row>
    <row r="356" spans="4:6" x14ac:dyDescent="0.2">
      <c r="D356" s="214"/>
      <c r="E356" s="215" t="s">
        <v>361</v>
      </c>
      <c r="F356" s="216">
        <f>DSUM($J$7:$L$316,$J$7,$E$319:E356)-SUM($F$319:F355)</f>
        <v>0</v>
      </c>
    </row>
    <row r="357" spans="4:6" x14ac:dyDescent="0.2">
      <c r="D357" s="214"/>
      <c r="E357" s="215" t="s">
        <v>362</v>
      </c>
      <c r="F357" s="216">
        <f>DSUM($J$7:$L$316,$J$7,$E$319:E357)-SUM($F$319:F356)</f>
        <v>0</v>
      </c>
    </row>
    <row r="358" spans="4:6" x14ac:dyDescent="0.2">
      <c r="D358" s="217"/>
      <c r="E358" s="218" t="s">
        <v>363</v>
      </c>
      <c r="F358" s="216">
        <f>DSUM($J$7:$L$316,$J$7,$E$319:E358)-SUM($F$319:F357)</f>
        <v>0</v>
      </c>
    </row>
    <row r="359" spans="4:6" x14ac:dyDescent="0.2">
      <c r="D359" s="217"/>
      <c r="E359" s="218" t="s">
        <v>364</v>
      </c>
      <c r="F359" s="216">
        <f>DSUM($J$7:$L$316,$J$7,$E$319:E359)-SUM($F$319:F358)</f>
        <v>0</v>
      </c>
    </row>
    <row r="360" spans="4:6" x14ac:dyDescent="0.2">
      <c r="D360" s="217"/>
      <c r="E360" s="218" t="s">
        <v>365</v>
      </c>
      <c r="F360" s="216">
        <f>DSUM($J$7:$L$316,$J$7,$E$319:E360)-SUM($F$319:F359)</f>
        <v>0</v>
      </c>
    </row>
    <row r="361" spans="4:6" x14ac:dyDescent="0.2">
      <c r="D361" s="217"/>
      <c r="E361" s="218" t="s">
        <v>366</v>
      </c>
      <c r="F361" s="216">
        <f>DSUM($J$7:$L$316,$J$7,$E$319:E361)-SUM($F$319:F360)</f>
        <v>0</v>
      </c>
    </row>
    <row r="362" spans="4:6" x14ac:dyDescent="0.2">
      <c r="D362" s="219"/>
      <c r="E362" s="220" t="s">
        <v>367</v>
      </c>
      <c r="F362" s="216">
        <f>DSUM($J$7:$L$316,$J$7,$E$319:E362)-SUM($F$319:F361)</f>
        <v>0</v>
      </c>
    </row>
    <row r="363" spans="4:6" x14ac:dyDescent="0.2">
      <c r="D363" s="219"/>
      <c r="E363" s="220" t="s">
        <v>368</v>
      </c>
      <c r="F363" s="216">
        <f>DSUM($J$7:$L$316,$J$7,$E$319:E363)-SUM($F$319:F362)</f>
        <v>0</v>
      </c>
    </row>
    <row r="364" spans="4:6" x14ac:dyDescent="0.2">
      <c r="D364" s="219"/>
      <c r="E364" s="220" t="s">
        <v>369</v>
      </c>
      <c r="F364" s="216">
        <f>DSUM($J$7:$L$316,$J$7,$E$319:E364)-SUM($F$319:F363)</f>
        <v>0</v>
      </c>
    </row>
    <row r="365" spans="4:6" x14ac:dyDescent="0.2">
      <c r="D365" s="219"/>
      <c r="E365" s="220" t="s">
        <v>370</v>
      </c>
      <c r="F365" s="216">
        <f>DSUM($J$7:$L$316,$J$7,$E$319:E365)-SUM($F$319:F364)</f>
        <v>0</v>
      </c>
    </row>
    <row r="366" spans="4:6" x14ac:dyDescent="0.2">
      <c r="D366" s="219"/>
      <c r="E366" s="220" t="s">
        <v>371</v>
      </c>
      <c r="F366" s="216">
        <f>DSUM($J$7:$L$316,$J$7,$E$319:E366)-SUM($F$319:F365)</f>
        <v>0</v>
      </c>
    </row>
    <row r="367" spans="4:6" x14ac:dyDescent="0.2">
      <c r="D367" s="219"/>
      <c r="E367" s="220" t="s">
        <v>372</v>
      </c>
      <c r="F367" s="216">
        <f>DSUM($J$7:$L$316,$J$7,$E$319:E367)-SUM($F$319:F366)</f>
        <v>0</v>
      </c>
    </row>
    <row r="368" spans="4:6" x14ac:dyDescent="0.2">
      <c r="D368" s="214"/>
      <c r="E368" s="215" t="s">
        <v>373</v>
      </c>
      <c r="F368" s="216">
        <f>DSUM($J$7:$L$316,$J$7,$E$319:E368)-SUM($F$319:F367)</f>
        <v>0</v>
      </c>
    </row>
    <row r="369" spans="4:6" x14ac:dyDescent="0.2">
      <c r="D369" s="214"/>
      <c r="E369" s="215" t="s">
        <v>374</v>
      </c>
      <c r="F369" s="216">
        <f>DSUM($J$7:$L$316,$J$7,$E$319:E369)-SUM($F$319:F368)</f>
        <v>0</v>
      </c>
    </row>
    <row r="370" spans="4:6" x14ac:dyDescent="0.2">
      <c r="D370" s="217"/>
      <c r="E370" s="218" t="s">
        <v>375</v>
      </c>
      <c r="F370" s="216">
        <f>DSUM($J$7:$L$316,$J$7,$E$319:E370)-SUM($F$319:F369)</f>
        <v>0</v>
      </c>
    </row>
    <row r="371" spans="4:6" x14ac:dyDescent="0.2">
      <c r="D371" s="217"/>
      <c r="E371" s="218" t="s">
        <v>376</v>
      </c>
      <c r="F371" s="216">
        <f>DSUM($J$7:$L$316,$J$7,$E$319:E371)-SUM($F$319:F370)</f>
        <v>0</v>
      </c>
    </row>
    <row r="372" spans="4:6" x14ac:dyDescent="0.2">
      <c r="D372" s="217"/>
      <c r="E372" s="218" t="s">
        <v>377</v>
      </c>
      <c r="F372" s="216">
        <f>DSUM($J$7:$L$316,$J$7,$E$319:E372)-SUM($F$319:F371)</f>
        <v>0</v>
      </c>
    </row>
    <row r="373" spans="4:6" x14ac:dyDescent="0.2">
      <c r="D373" s="217"/>
      <c r="E373" s="218" t="s">
        <v>378</v>
      </c>
      <c r="F373" s="216">
        <f>DSUM($J$7:$L$316,$J$7,$E$319:E373)-SUM($F$319:F372)</f>
        <v>0</v>
      </c>
    </row>
    <row r="374" spans="4:6" x14ac:dyDescent="0.2">
      <c r="D374" s="219"/>
      <c r="E374" s="220" t="s">
        <v>379</v>
      </c>
      <c r="F374" s="216">
        <f>DSUM($J$7:$L$316,$J$7,$E$319:E374)-SUM($F$319:F373)</f>
        <v>0</v>
      </c>
    </row>
    <row r="375" spans="4:6" x14ac:dyDescent="0.2">
      <c r="D375" s="219"/>
      <c r="E375" s="220" t="s">
        <v>380</v>
      </c>
      <c r="F375" s="216">
        <f>DSUM($J$7:$L$316,$J$7,$E$319:E375)-SUM($F$319:F374)</f>
        <v>0</v>
      </c>
    </row>
    <row r="376" spans="4:6" x14ac:dyDescent="0.2">
      <c r="D376" s="219"/>
      <c r="E376" s="220" t="s">
        <v>381</v>
      </c>
      <c r="F376" s="216">
        <f>DSUM($J$7:$L$316,$J$7,$E$319:E376)-SUM($F$319:F375)</f>
        <v>0</v>
      </c>
    </row>
    <row r="377" spans="4:6" x14ac:dyDescent="0.2">
      <c r="D377" s="219"/>
      <c r="E377" s="220" t="s">
        <v>382</v>
      </c>
      <c r="F377" s="216">
        <f>DSUM($J$7:$L$316,$J$7,$E$319:E377)-SUM($F$319:F376)</f>
        <v>0</v>
      </c>
    </row>
    <row r="378" spans="4:6" x14ac:dyDescent="0.2">
      <c r="D378" s="219"/>
      <c r="E378" s="220" t="s">
        <v>383</v>
      </c>
      <c r="F378" s="216">
        <f>DSUM($J$7:$L$316,$J$7,$E$319:E378)-SUM($F$319:F377)</f>
        <v>0</v>
      </c>
    </row>
    <row r="379" spans="4:6" x14ac:dyDescent="0.2">
      <c r="D379" s="219"/>
      <c r="E379" s="220" t="s">
        <v>384</v>
      </c>
      <c r="F379" s="216">
        <f>DSUM($J$7:$L$316,$J$7,$E$319:E379)-SUM($F$319:F378)</f>
        <v>0</v>
      </c>
    </row>
    <row r="380" spans="4:6" x14ac:dyDescent="0.2">
      <c r="D380" s="214"/>
      <c r="E380" s="215" t="s">
        <v>385</v>
      </c>
      <c r="F380" s="216">
        <f>DSUM($J$7:$L$316,$J$7,$E$319:E380)-SUM($F$319:F379)</f>
        <v>0</v>
      </c>
    </row>
    <row r="381" spans="4:6" x14ac:dyDescent="0.2">
      <c r="D381" s="214"/>
      <c r="E381" s="215" t="s">
        <v>386</v>
      </c>
      <c r="F381" s="216">
        <f>DSUM($J$7:$L$316,$J$7,$E$319:E381)-SUM($F$319:F380)</f>
        <v>0</v>
      </c>
    </row>
    <row r="382" spans="4:6" x14ac:dyDescent="0.2">
      <c r="D382" s="217"/>
      <c r="E382" s="218" t="s">
        <v>387</v>
      </c>
      <c r="F382" s="216">
        <f>DSUM($J$7:$L$316,$J$7,$E$319:E382)-SUM($F$319:F381)</f>
        <v>0</v>
      </c>
    </row>
    <row r="383" spans="4:6" x14ac:dyDescent="0.2">
      <c r="D383" s="217"/>
      <c r="E383" s="218" t="s">
        <v>388</v>
      </c>
      <c r="F383" s="216">
        <f>DSUM($J$7:$L$316,$J$7,$E$319:E383)-SUM($F$319:F382)</f>
        <v>0</v>
      </c>
    </row>
    <row r="384" spans="4:6" x14ac:dyDescent="0.2">
      <c r="D384" s="217"/>
      <c r="E384" s="218" t="s">
        <v>389</v>
      </c>
      <c r="F384" s="216">
        <f>DSUM($J$7:$L$316,$J$7,$E$319:E384)-SUM($F$319:F383)</f>
        <v>0</v>
      </c>
    </row>
    <row r="385" spans="4:6" x14ac:dyDescent="0.2">
      <c r="D385" s="217"/>
      <c r="E385" s="218" t="s">
        <v>390</v>
      </c>
      <c r="F385" s="216">
        <f>DSUM($J$7:$L$316,$J$7,$E$319:E385)-SUM($F$319:F384)</f>
        <v>0</v>
      </c>
    </row>
    <row r="386" spans="4:6" x14ac:dyDescent="0.2">
      <c r="D386" s="219"/>
      <c r="E386" s="220" t="s">
        <v>391</v>
      </c>
      <c r="F386" s="216">
        <f>DSUM($J$7:$L$316,$J$7,$E$319:E386)-SUM($F$319:F385)</f>
        <v>0</v>
      </c>
    </row>
    <row r="387" spans="4:6" x14ac:dyDescent="0.2">
      <c r="D387" s="219"/>
      <c r="E387" s="220" t="s">
        <v>392</v>
      </c>
      <c r="F387" s="216">
        <f>DSUM($J$7:$L$316,$J$7,$E$319:E387)-SUM($F$319:F386)</f>
        <v>0</v>
      </c>
    </row>
    <row r="388" spans="4:6" x14ac:dyDescent="0.2">
      <c r="D388" s="219"/>
      <c r="E388" s="220" t="s">
        <v>393</v>
      </c>
      <c r="F388" s="216">
        <f>DSUM($J$7:$L$316,$J$7,$E$319:E388)-SUM($F$319:F387)</f>
        <v>0</v>
      </c>
    </row>
    <row r="389" spans="4:6" x14ac:dyDescent="0.2">
      <c r="D389" s="219"/>
      <c r="E389" s="220" t="s">
        <v>394</v>
      </c>
      <c r="F389" s="216">
        <f>DSUM($J$7:$L$316,$J$7,$E$319:E389)-SUM($F$319:F388)</f>
        <v>0</v>
      </c>
    </row>
    <row r="390" spans="4:6" x14ac:dyDescent="0.2">
      <c r="D390" s="219"/>
      <c r="E390" s="220" t="s">
        <v>395</v>
      </c>
      <c r="F390" s="216">
        <f>DSUM($J$7:$L$316,$J$7,$E$319:E390)-SUM($F$319:F389)</f>
        <v>0</v>
      </c>
    </row>
    <row r="391" spans="4:6" x14ac:dyDescent="0.2">
      <c r="D391" s="219"/>
      <c r="E391" s="220" t="s">
        <v>396</v>
      </c>
      <c r="F391" s="216">
        <f>DSUM($J$7:$L$316,$J$7,$E$319:E391)-SUM($F$319:F390)</f>
        <v>0</v>
      </c>
    </row>
    <row r="392" spans="4:6" x14ac:dyDescent="0.2">
      <c r="D392" s="214"/>
      <c r="E392" s="215" t="s">
        <v>397</v>
      </c>
      <c r="F392" s="216">
        <f>DSUM($J$7:$L$316,$J$7,$E$319:E392)-SUM($F$319:F391)</f>
        <v>0</v>
      </c>
    </row>
    <row r="393" spans="4:6" x14ac:dyDescent="0.2">
      <c r="D393" s="214"/>
      <c r="E393" s="215" t="s">
        <v>398</v>
      </c>
      <c r="F393" s="216">
        <f>DSUM($J$7:$L$316,$J$7,$E$319:E393)-SUM($F$319:F392)</f>
        <v>0</v>
      </c>
    </row>
    <row r="394" spans="4:6" x14ac:dyDescent="0.2">
      <c r="D394" s="217"/>
      <c r="E394" s="218" t="s">
        <v>399</v>
      </c>
      <c r="F394" s="216">
        <f>DSUM($J$7:$L$316,$J$7,$E$319:E394)-SUM($F$319:F393)</f>
        <v>0</v>
      </c>
    </row>
    <row r="395" spans="4:6" x14ac:dyDescent="0.2">
      <c r="D395" s="217"/>
      <c r="E395" s="218" t="s">
        <v>400</v>
      </c>
      <c r="F395" s="216">
        <f>DSUM($J$7:$L$316,$J$7,$E$319:E395)-SUM($F$319:F394)</f>
        <v>0</v>
      </c>
    </row>
    <row r="396" spans="4:6" x14ac:dyDescent="0.2">
      <c r="D396" s="217"/>
      <c r="E396" s="218" t="s">
        <v>401</v>
      </c>
      <c r="F396" s="216">
        <f>DSUM($J$7:$L$316,$J$7,$E$319:E396)-SUM($F$319:F395)</f>
        <v>0</v>
      </c>
    </row>
    <row r="397" spans="4:6" x14ac:dyDescent="0.2">
      <c r="D397" s="217"/>
      <c r="E397" s="218" t="s">
        <v>402</v>
      </c>
      <c r="F397" s="216">
        <f>DSUM($J$7:$L$316,$J$7,$E$319:E397)-SUM($F$319:F396)</f>
        <v>0</v>
      </c>
    </row>
    <row r="398" spans="4:6" x14ac:dyDescent="0.2">
      <c r="D398" s="219"/>
      <c r="E398" s="220" t="s">
        <v>403</v>
      </c>
      <c r="F398" s="216">
        <f>DSUM($J$7:$L$316,$J$7,$E$319:E398)-SUM($F$319:F397)</f>
        <v>0</v>
      </c>
    </row>
    <row r="399" spans="4:6" x14ac:dyDescent="0.2">
      <c r="D399" s="219"/>
      <c r="E399" s="220" t="s">
        <v>404</v>
      </c>
      <c r="F399" s="216">
        <f>DSUM($J$7:$L$316,$J$7,$E$319:E399)-SUM($F$319:F398)</f>
        <v>0</v>
      </c>
    </row>
    <row r="400" spans="4:6" x14ac:dyDescent="0.2">
      <c r="D400" s="219"/>
      <c r="E400" s="220" t="s">
        <v>405</v>
      </c>
      <c r="F400" s="216">
        <f>DSUM($J$7:$L$316,$J$7,$E$319:E400)-SUM($F$319:F399)</f>
        <v>0</v>
      </c>
    </row>
    <row r="401" spans="4:6" x14ac:dyDescent="0.2">
      <c r="D401" s="219"/>
      <c r="E401" s="220" t="s">
        <v>406</v>
      </c>
      <c r="F401" s="216">
        <f>DSUM($J$7:$L$316,$J$7,$E$319:E401)-SUM($F$319:F400)</f>
        <v>0</v>
      </c>
    </row>
    <row r="402" spans="4:6" x14ac:dyDescent="0.2">
      <c r="D402" s="219"/>
      <c r="E402" s="220" t="s">
        <v>407</v>
      </c>
      <c r="F402" s="216">
        <f>DSUM($J$7:$L$316,$J$7,$E$319:E402)-SUM($F$319:F401)</f>
        <v>0</v>
      </c>
    </row>
    <row r="403" spans="4:6" ht="13.5" thickBot="1" x14ac:dyDescent="0.25">
      <c r="D403" s="231"/>
      <c r="E403" s="232" t="s">
        <v>408</v>
      </c>
      <c r="F403" s="216">
        <f>DSUM($J$7:$L$316,$J$7,$E$319:E403)-SUM($F$319:F402)</f>
        <v>0</v>
      </c>
    </row>
    <row r="404" spans="4:6" ht="13.5" thickBot="1" x14ac:dyDescent="0.25">
      <c r="D404" s="221"/>
      <c r="E404" s="222" t="s">
        <v>498</v>
      </c>
      <c r="F404" s="223">
        <f>SUM(F320:F403)</f>
        <v>0</v>
      </c>
    </row>
  </sheetData>
  <autoFilter ref="B6:B316" xr:uid="{00000000-0009-0000-0000-000002000000}"/>
  <mergeCells count="26">
    <mergeCell ref="L3:L4"/>
    <mergeCell ref="C6:P6"/>
    <mergeCell ref="J7:J9"/>
    <mergeCell ref="L7:L9"/>
    <mergeCell ref="M7:M9"/>
    <mergeCell ref="N7:N9"/>
    <mergeCell ref="O7:O9"/>
    <mergeCell ref="P7:P9"/>
    <mergeCell ref="K7:K9"/>
    <mergeCell ref="D7:D9"/>
    <mergeCell ref="D2:G2"/>
    <mergeCell ref="D3:G3"/>
    <mergeCell ref="D4:G4"/>
    <mergeCell ref="M214:M216"/>
    <mergeCell ref="K214:K216"/>
    <mergeCell ref="L214:L216"/>
    <mergeCell ref="C213:L213"/>
    <mergeCell ref="E214:E216"/>
    <mergeCell ref="G214:G215"/>
    <mergeCell ref="F214:F216"/>
    <mergeCell ref="F7:F9"/>
    <mergeCell ref="C7:C9"/>
    <mergeCell ref="J214:J216"/>
    <mergeCell ref="C214:C216"/>
    <mergeCell ref="D214:D216"/>
    <mergeCell ref="E7:E9"/>
  </mergeCells>
  <phoneticPr fontId="0" type="noConversion"/>
  <conditionalFormatting sqref="L3:L4">
    <cfRule type="cellIs" dxfId="6" priority="1" operator="equal">
      <formula>"OK"</formula>
    </cfRule>
  </conditionalFormatting>
  <dataValidations count="2">
    <dataValidation type="list" allowBlank="1" showInputMessage="1" showErrorMessage="1" sqref="H9:I209 H216:I316" xr:uid="{00000000-0002-0000-0200-000000000000}">
      <formula1>"INOX,K100,ZINC,PVC"</formula1>
    </dataValidation>
    <dataValidation type="list" allowBlank="1" showInputMessage="1" showErrorMessage="1" sqref="G9:G208 G216:G316" xr:uid="{00000000-0002-0000-0200-000001000000}">
      <formula1>"EPS,PIR,PUR"</formula1>
    </dataValidation>
  </dataValidations>
  <pageMargins left="0.19685039370078741" right="0.19685039370078741" top="0.98425196850393704" bottom="0.98425196850393704" header="0.51181102362204722" footer="0.51181102362204722"/>
  <pageSetup paperSize="9" scale="6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trar_Linhas">
                <anchor moveWithCells="1" sizeWithCells="1">
                  <from>
                    <xdr:col>9</xdr:col>
                    <xdr:colOff>152400</xdr:colOff>
                    <xdr:row>2</xdr:row>
                    <xdr:rowOff>0</xdr:rowOff>
                  </from>
                  <to>
                    <xdr:col>10</xdr:col>
                    <xdr:colOff>723900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>
    <pageSetUpPr fitToPage="1"/>
  </sheetPr>
  <dimension ref="A1:Q129"/>
  <sheetViews>
    <sheetView showGridLines="0" showZeros="0" zoomScale="80" workbookViewId="0">
      <pane ySplit="8" topLeftCell="A9" activePane="bottomLeft" state="frozen"/>
      <selection pane="bottomLeft"/>
    </sheetView>
  </sheetViews>
  <sheetFormatPr defaultColWidth="9.140625" defaultRowHeight="12.75" x14ac:dyDescent="0.2"/>
  <cols>
    <col min="1" max="1" width="2.42578125" style="14" customWidth="1"/>
    <col min="2" max="2" width="8" style="14" hidden="1" customWidth="1"/>
    <col min="3" max="3" width="10.7109375" style="19" bestFit="1" customWidth="1"/>
    <col min="4" max="4" width="12.7109375" style="19" customWidth="1"/>
    <col min="5" max="5" width="15.85546875" style="19" bestFit="1" customWidth="1"/>
    <col min="6" max="6" width="12.7109375" style="19" customWidth="1"/>
    <col min="7" max="7" width="16" style="19" customWidth="1"/>
    <col min="8" max="11" width="8.140625" style="19" bestFit="1" customWidth="1"/>
    <col min="12" max="12" width="11" style="19" bestFit="1" customWidth="1"/>
    <col min="13" max="13" width="28.42578125" style="19" bestFit="1" customWidth="1"/>
    <col min="14" max="14" width="22.140625" style="21" bestFit="1" customWidth="1"/>
    <col min="15" max="15" width="24.85546875" style="19" customWidth="1"/>
    <col min="16" max="16" width="0" style="19" hidden="1" customWidth="1"/>
    <col min="17" max="16384" width="9.140625" style="19"/>
  </cols>
  <sheetData>
    <row r="1" spans="1:17" s="21" customFormat="1" x14ac:dyDescent="0.2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9"/>
      <c r="P1" s="19"/>
      <c r="Q1" s="19"/>
    </row>
    <row r="2" spans="1:17" x14ac:dyDescent="0.2">
      <c r="A2" s="55"/>
      <c r="B2" s="55"/>
      <c r="C2" s="56" t="s">
        <v>217</v>
      </c>
      <c r="D2" s="312">
        <f>'PAREDE-TETO'!D2</f>
        <v>0</v>
      </c>
      <c r="E2" s="312"/>
      <c r="F2" s="312"/>
      <c r="G2" s="312"/>
      <c r="H2" s="56" t="s">
        <v>198</v>
      </c>
      <c r="I2" s="349">
        <f>'PAREDE-TETO'!I2</f>
        <v>0</v>
      </c>
      <c r="J2" s="311"/>
      <c r="K2" s="14"/>
      <c r="L2" s="14"/>
      <c r="M2" s="42" t="s">
        <v>14</v>
      </c>
    </row>
    <row r="3" spans="1:17" x14ac:dyDescent="0.2">
      <c r="A3" s="55"/>
      <c r="B3" s="55"/>
      <c r="C3" s="56" t="s">
        <v>216</v>
      </c>
      <c r="D3" s="312">
        <f>'PAREDE-TETO'!D3</f>
        <v>0</v>
      </c>
      <c r="E3" s="312"/>
      <c r="F3" s="312"/>
      <c r="G3" s="312"/>
      <c r="H3" s="56" t="s">
        <v>215</v>
      </c>
      <c r="I3" s="309">
        <f>'PAREDE-TETO'!I3</f>
        <v>0</v>
      </c>
      <c r="J3" s="311"/>
      <c r="K3" s="14"/>
      <c r="L3" s="14"/>
      <c r="M3" s="337" t="str">
        <f>IF(SUM(L9:M108)=SUM(F112:G129),"OK","ERRO NA CONFIGURAÇÃO DO PISO")</f>
        <v>OK</v>
      </c>
    </row>
    <row r="4" spans="1:17" x14ac:dyDescent="0.2">
      <c r="A4" s="55"/>
      <c r="B4" s="55"/>
      <c r="C4" s="56" t="s">
        <v>214</v>
      </c>
      <c r="D4" s="312">
        <f>'PAREDE-TETO'!D4</f>
        <v>0</v>
      </c>
      <c r="E4" s="312"/>
      <c r="F4" s="312"/>
      <c r="G4" s="312"/>
      <c r="H4" s="67"/>
      <c r="I4" s="55"/>
      <c r="J4" s="55"/>
      <c r="K4" s="55"/>
      <c r="L4" s="55"/>
      <c r="M4" s="337"/>
    </row>
    <row r="5" spans="1:17" s="14" customFormat="1" ht="13.5" thickBot="1" x14ac:dyDescent="0.25"/>
    <row r="6" spans="1:17" ht="13.5" thickBot="1" x14ac:dyDescent="0.25">
      <c r="B6" s="31" t="s">
        <v>323</v>
      </c>
      <c r="C6" s="328" t="s">
        <v>15</v>
      </c>
      <c r="D6" s="329"/>
      <c r="E6" s="329"/>
      <c r="F6" s="329"/>
      <c r="G6" s="329"/>
      <c r="H6" s="329"/>
      <c r="I6" s="329"/>
      <c r="J6" s="329"/>
      <c r="K6" s="329"/>
      <c r="L6" s="329"/>
      <c r="M6" s="329"/>
      <c r="N6" s="329"/>
      <c r="O6" s="330"/>
    </row>
    <row r="7" spans="1:17" x14ac:dyDescent="0.2">
      <c r="B7" s="58">
        <v>1</v>
      </c>
      <c r="C7" s="350" t="s">
        <v>16</v>
      </c>
      <c r="D7" s="352" t="s">
        <v>2</v>
      </c>
      <c r="E7" s="346" t="s">
        <v>12</v>
      </c>
      <c r="F7" s="346" t="s">
        <v>4</v>
      </c>
      <c r="G7" s="53" t="s">
        <v>5</v>
      </c>
      <c r="H7" s="354" t="s">
        <v>17</v>
      </c>
      <c r="I7" s="354"/>
      <c r="J7" s="354"/>
      <c r="K7" s="354"/>
      <c r="L7" s="6"/>
      <c r="M7" s="6"/>
      <c r="N7" s="59"/>
      <c r="O7" s="340" t="s">
        <v>209</v>
      </c>
    </row>
    <row r="8" spans="1:17" ht="16.5" customHeight="1" x14ac:dyDescent="0.2">
      <c r="B8" s="61">
        <v>1</v>
      </c>
      <c r="C8" s="351"/>
      <c r="D8" s="353"/>
      <c r="E8" s="347"/>
      <c r="F8" s="347"/>
      <c r="G8" s="274" t="s">
        <v>511</v>
      </c>
      <c r="H8" s="273" t="s">
        <v>18</v>
      </c>
      <c r="I8" s="273" t="s">
        <v>19</v>
      </c>
      <c r="J8" s="273" t="s">
        <v>20</v>
      </c>
      <c r="K8" s="273" t="s">
        <v>21</v>
      </c>
      <c r="L8" s="273" t="s">
        <v>13</v>
      </c>
      <c r="M8" s="273" t="s">
        <v>459</v>
      </c>
      <c r="N8" s="276" t="s">
        <v>22</v>
      </c>
      <c r="O8" s="341"/>
      <c r="P8" s="146"/>
    </row>
    <row r="9" spans="1:17" x14ac:dyDescent="0.2">
      <c r="B9" s="61" t="str">
        <f t="shared" ref="B9:B72" si="0">IF(D9&lt;&gt;0,1,"")</f>
        <v/>
      </c>
      <c r="C9" s="10">
        <v>1</v>
      </c>
      <c r="D9" s="40">
        <f>'PAREDE-TETO'!D217</f>
        <v>0</v>
      </c>
      <c r="E9" s="42">
        <f>'PAREDE-TETO'!E217</f>
        <v>0</v>
      </c>
      <c r="F9" s="41"/>
      <c r="G9" s="1" t="str">
        <f t="shared" ref="G9:G72" si="1">IF($G$8="EPS","EPS",IF($G$8="PIR","PIR",IF($G$8="PUR","PUR","Selecionar tipo")))</f>
        <v>PIR</v>
      </c>
      <c r="H9" s="41"/>
      <c r="I9" s="41"/>
      <c r="J9" s="41"/>
      <c r="K9" s="41"/>
      <c r="L9" s="91" t="str">
        <f>IF(OR(F9="",F9=0),"",(((D9/100)+(F9/1000))*((E9/100)+(F9/1000))))</f>
        <v/>
      </c>
      <c r="M9" s="91">
        <f>SUM(H9:K9)/4</f>
        <v>0</v>
      </c>
      <c r="N9" s="92" t="str">
        <f>IF(SUM(D9:E9)&lt;&gt;0,G9&amp;" - "&amp;F9&amp;"mm","")</f>
        <v/>
      </c>
      <c r="O9" s="5">
        <f>'PAREDE-TETO'!M217</f>
        <v>0</v>
      </c>
      <c r="P9" s="19" t="str">
        <f>IF(AND(O9&lt;&gt;"",O9&lt;&gt;0),O9&amp;",","")</f>
        <v/>
      </c>
    </row>
    <row r="10" spans="1:17" x14ac:dyDescent="0.2">
      <c r="B10" s="61" t="str">
        <f t="shared" si="0"/>
        <v/>
      </c>
      <c r="C10" s="10">
        <v>2</v>
      </c>
      <c r="D10" s="40">
        <f>'PAREDE-TETO'!D218</f>
        <v>0</v>
      </c>
      <c r="E10" s="42">
        <f>'PAREDE-TETO'!E218</f>
        <v>0</v>
      </c>
      <c r="F10" s="41"/>
      <c r="G10" s="1" t="str">
        <f t="shared" si="1"/>
        <v>PIR</v>
      </c>
      <c r="H10" s="41"/>
      <c r="I10" s="41"/>
      <c r="J10" s="41"/>
      <c r="K10" s="41"/>
      <c r="L10" s="91" t="str">
        <f t="shared" ref="L10:L103" si="2">IF(OR(F10="",F10=0),"",(((D10/100)+(F10/1000))*((E10/100)+(F10/1000))))</f>
        <v/>
      </c>
      <c r="M10" s="91">
        <f t="shared" ref="M10:M103" si="3">SUM(H10:K10)/4</f>
        <v>0</v>
      </c>
      <c r="N10" s="98" t="str">
        <f t="shared" ref="N10:N73" si="4">IF(SUM(D10:E10)&lt;&gt;0,G10&amp;" - "&amp;F10&amp;"mm","")</f>
        <v/>
      </c>
      <c r="O10" s="5">
        <f>'PAREDE-TETO'!M218</f>
        <v>0</v>
      </c>
      <c r="P10" s="19" t="str">
        <f t="shared" ref="P10:P73" si="5">IF(AND(O10&lt;&gt;"",O10&lt;&gt;0),O10&amp;",","")</f>
        <v/>
      </c>
    </row>
    <row r="11" spans="1:17" x14ac:dyDescent="0.2">
      <c r="B11" s="61" t="str">
        <f t="shared" si="0"/>
        <v/>
      </c>
      <c r="C11" s="10">
        <v>3</v>
      </c>
      <c r="D11" s="40">
        <f>'PAREDE-TETO'!D219</f>
        <v>0</v>
      </c>
      <c r="E11" s="42">
        <f>'PAREDE-TETO'!E219</f>
        <v>0</v>
      </c>
      <c r="F11" s="41"/>
      <c r="G11" s="1" t="str">
        <f t="shared" si="1"/>
        <v>PIR</v>
      </c>
      <c r="H11" s="41"/>
      <c r="I11" s="41"/>
      <c r="J11" s="41"/>
      <c r="K11" s="41"/>
      <c r="L11" s="91" t="str">
        <f t="shared" si="2"/>
        <v/>
      </c>
      <c r="M11" s="91">
        <f t="shared" si="3"/>
        <v>0</v>
      </c>
      <c r="N11" s="98" t="str">
        <f t="shared" si="4"/>
        <v/>
      </c>
      <c r="O11" s="5">
        <f>'PAREDE-TETO'!M219</f>
        <v>0</v>
      </c>
      <c r="P11" s="19" t="str">
        <f t="shared" si="5"/>
        <v/>
      </c>
    </row>
    <row r="12" spans="1:17" x14ac:dyDescent="0.2">
      <c r="B12" s="61" t="str">
        <f t="shared" si="0"/>
        <v/>
      </c>
      <c r="C12" s="10">
        <v>4</v>
      </c>
      <c r="D12" s="40">
        <f>'PAREDE-TETO'!D220</f>
        <v>0</v>
      </c>
      <c r="E12" s="42">
        <f>'PAREDE-TETO'!E220</f>
        <v>0</v>
      </c>
      <c r="F12" s="41"/>
      <c r="G12" s="1" t="str">
        <f t="shared" si="1"/>
        <v>PIR</v>
      </c>
      <c r="H12" s="41"/>
      <c r="I12" s="41"/>
      <c r="J12" s="41"/>
      <c r="K12" s="41"/>
      <c r="L12" s="91" t="str">
        <f t="shared" si="2"/>
        <v/>
      </c>
      <c r="M12" s="91">
        <f t="shared" si="3"/>
        <v>0</v>
      </c>
      <c r="N12" s="98" t="str">
        <f t="shared" si="4"/>
        <v/>
      </c>
      <c r="O12" s="5">
        <f>'PAREDE-TETO'!M220</f>
        <v>0</v>
      </c>
      <c r="P12" s="19" t="str">
        <f t="shared" si="5"/>
        <v/>
      </c>
    </row>
    <row r="13" spans="1:17" x14ac:dyDescent="0.2">
      <c r="B13" s="61" t="str">
        <f t="shared" si="0"/>
        <v/>
      </c>
      <c r="C13" s="10">
        <v>5</v>
      </c>
      <c r="D13" s="40">
        <f>'PAREDE-TETO'!D221</f>
        <v>0</v>
      </c>
      <c r="E13" s="42">
        <f>'PAREDE-TETO'!E221</f>
        <v>0</v>
      </c>
      <c r="F13" s="41"/>
      <c r="G13" s="1" t="str">
        <f t="shared" si="1"/>
        <v>PIR</v>
      </c>
      <c r="H13" s="41"/>
      <c r="I13" s="41"/>
      <c r="J13" s="41"/>
      <c r="K13" s="41"/>
      <c r="L13" s="91" t="str">
        <f t="shared" si="2"/>
        <v/>
      </c>
      <c r="M13" s="91">
        <f t="shared" si="3"/>
        <v>0</v>
      </c>
      <c r="N13" s="98" t="str">
        <f t="shared" si="4"/>
        <v/>
      </c>
      <c r="O13" s="5">
        <f>'PAREDE-TETO'!M221</f>
        <v>0</v>
      </c>
      <c r="P13" s="19" t="str">
        <f t="shared" si="5"/>
        <v/>
      </c>
    </row>
    <row r="14" spans="1:17" x14ac:dyDescent="0.2">
      <c r="B14" s="61" t="str">
        <f t="shared" si="0"/>
        <v/>
      </c>
      <c r="C14" s="10">
        <v>6</v>
      </c>
      <c r="D14" s="40">
        <f>'PAREDE-TETO'!D222</f>
        <v>0</v>
      </c>
      <c r="E14" s="42">
        <f>'PAREDE-TETO'!E222</f>
        <v>0</v>
      </c>
      <c r="F14" s="41"/>
      <c r="G14" s="1" t="str">
        <f t="shared" si="1"/>
        <v>PIR</v>
      </c>
      <c r="H14" s="41"/>
      <c r="I14" s="41"/>
      <c r="J14" s="41"/>
      <c r="K14" s="41"/>
      <c r="L14" s="91" t="str">
        <f t="shared" si="2"/>
        <v/>
      </c>
      <c r="M14" s="91">
        <f t="shared" si="3"/>
        <v>0</v>
      </c>
      <c r="N14" s="98" t="str">
        <f t="shared" si="4"/>
        <v/>
      </c>
      <c r="O14" s="5">
        <f>'PAREDE-TETO'!M222</f>
        <v>0</v>
      </c>
      <c r="P14" s="19" t="str">
        <f t="shared" si="5"/>
        <v/>
      </c>
    </row>
    <row r="15" spans="1:17" x14ac:dyDescent="0.2">
      <c r="B15" s="61" t="str">
        <f t="shared" si="0"/>
        <v/>
      </c>
      <c r="C15" s="10">
        <v>7</v>
      </c>
      <c r="D15" s="40">
        <f>'PAREDE-TETO'!D223</f>
        <v>0</v>
      </c>
      <c r="E15" s="42">
        <f>'PAREDE-TETO'!E223</f>
        <v>0</v>
      </c>
      <c r="F15" s="41"/>
      <c r="G15" s="1" t="str">
        <f t="shared" si="1"/>
        <v>PIR</v>
      </c>
      <c r="H15" s="41"/>
      <c r="I15" s="41"/>
      <c r="J15" s="41"/>
      <c r="K15" s="41"/>
      <c r="L15" s="91" t="str">
        <f t="shared" si="2"/>
        <v/>
      </c>
      <c r="M15" s="91">
        <f t="shared" si="3"/>
        <v>0</v>
      </c>
      <c r="N15" s="98" t="str">
        <f t="shared" si="4"/>
        <v/>
      </c>
      <c r="O15" s="5">
        <f>'PAREDE-TETO'!M223</f>
        <v>0</v>
      </c>
      <c r="P15" s="19" t="str">
        <f t="shared" si="5"/>
        <v/>
      </c>
    </row>
    <row r="16" spans="1:17" x14ac:dyDescent="0.2">
      <c r="B16" s="61" t="str">
        <f t="shared" si="0"/>
        <v/>
      </c>
      <c r="C16" s="10">
        <v>8</v>
      </c>
      <c r="D16" s="40">
        <f>'PAREDE-TETO'!D224</f>
        <v>0</v>
      </c>
      <c r="E16" s="42">
        <f>'PAREDE-TETO'!E224</f>
        <v>0</v>
      </c>
      <c r="F16" s="41"/>
      <c r="G16" s="1" t="str">
        <f t="shared" si="1"/>
        <v>PIR</v>
      </c>
      <c r="H16" s="41"/>
      <c r="I16" s="41"/>
      <c r="J16" s="41"/>
      <c r="K16" s="41"/>
      <c r="L16" s="91" t="str">
        <f t="shared" si="2"/>
        <v/>
      </c>
      <c r="M16" s="91">
        <f t="shared" si="3"/>
        <v>0</v>
      </c>
      <c r="N16" s="98" t="str">
        <f t="shared" si="4"/>
        <v/>
      </c>
      <c r="O16" s="5">
        <f>'PAREDE-TETO'!M224</f>
        <v>0</v>
      </c>
      <c r="P16" s="19" t="str">
        <f t="shared" si="5"/>
        <v/>
      </c>
    </row>
    <row r="17" spans="2:16" x14ac:dyDescent="0.2">
      <c r="B17" s="61" t="str">
        <f t="shared" si="0"/>
        <v/>
      </c>
      <c r="C17" s="10">
        <v>9</v>
      </c>
      <c r="D17" s="40">
        <f>'PAREDE-TETO'!D225</f>
        <v>0</v>
      </c>
      <c r="E17" s="42">
        <f>'PAREDE-TETO'!E225</f>
        <v>0</v>
      </c>
      <c r="F17" s="41"/>
      <c r="G17" s="1" t="str">
        <f t="shared" si="1"/>
        <v>PIR</v>
      </c>
      <c r="H17" s="41"/>
      <c r="I17" s="41"/>
      <c r="J17" s="41"/>
      <c r="K17" s="41"/>
      <c r="L17" s="91" t="str">
        <f t="shared" si="2"/>
        <v/>
      </c>
      <c r="M17" s="91">
        <f t="shared" si="3"/>
        <v>0</v>
      </c>
      <c r="N17" s="98" t="str">
        <f t="shared" si="4"/>
        <v/>
      </c>
      <c r="O17" s="5">
        <f>'PAREDE-TETO'!M225</f>
        <v>0</v>
      </c>
      <c r="P17" s="19" t="str">
        <f t="shared" si="5"/>
        <v/>
      </c>
    </row>
    <row r="18" spans="2:16" x14ac:dyDescent="0.2">
      <c r="B18" s="61" t="str">
        <f t="shared" si="0"/>
        <v/>
      </c>
      <c r="C18" s="10">
        <v>10</v>
      </c>
      <c r="D18" s="40">
        <f>'PAREDE-TETO'!D226</f>
        <v>0</v>
      </c>
      <c r="E18" s="42">
        <f>'PAREDE-TETO'!E226</f>
        <v>0</v>
      </c>
      <c r="F18" s="41"/>
      <c r="G18" s="1" t="str">
        <f t="shared" si="1"/>
        <v>PIR</v>
      </c>
      <c r="H18" s="41"/>
      <c r="I18" s="41"/>
      <c r="J18" s="41"/>
      <c r="K18" s="41"/>
      <c r="L18" s="91" t="str">
        <f t="shared" si="2"/>
        <v/>
      </c>
      <c r="M18" s="91">
        <f t="shared" si="3"/>
        <v>0</v>
      </c>
      <c r="N18" s="98" t="str">
        <f t="shared" si="4"/>
        <v/>
      </c>
      <c r="O18" s="5">
        <f>'PAREDE-TETO'!M226</f>
        <v>0</v>
      </c>
      <c r="P18" s="19" t="str">
        <f t="shared" si="5"/>
        <v/>
      </c>
    </row>
    <row r="19" spans="2:16" x14ac:dyDescent="0.2">
      <c r="B19" s="61" t="str">
        <f t="shared" si="0"/>
        <v/>
      </c>
      <c r="C19" s="10">
        <v>11</v>
      </c>
      <c r="D19" s="40">
        <f>'PAREDE-TETO'!D227</f>
        <v>0</v>
      </c>
      <c r="E19" s="42">
        <f>'PAREDE-TETO'!E227</f>
        <v>0</v>
      </c>
      <c r="F19" s="41"/>
      <c r="G19" s="1" t="str">
        <f t="shared" si="1"/>
        <v>PIR</v>
      </c>
      <c r="H19" s="41"/>
      <c r="I19" s="41"/>
      <c r="J19" s="41"/>
      <c r="K19" s="41"/>
      <c r="L19" s="91" t="str">
        <f t="shared" si="2"/>
        <v/>
      </c>
      <c r="M19" s="91">
        <f t="shared" si="3"/>
        <v>0</v>
      </c>
      <c r="N19" s="98" t="str">
        <f t="shared" si="4"/>
        <v/>
      </c>
      <c r="O19" s="5">
        <f>'PAREDE-TETO'!M227</f>
        <v>0</v>
      </c>
      <c r="P19" s="19" t="str">
        <f t="shared" si="5"/>
        <v/>
      </c>
    </row>
    <row r="20" spans="2:16" x14ac:dyDescent="0.2">
      <c r="B20" s="61" t="str">
        <f t="shared" si="0"/>
        <v/>
      </c>
      <c r="C20" s="10">
        <v>12</v>
      </c>
      <c r="D20" s="40">
        <f>'PAREDE-TETO'!D228</f>
        <v>0</v>
      </c>
      <c r="E20" s="42">
        <f>'PAREDE-TETO'!E228</f>
        <v>0</v>
      </c>
      <c r="F20" s="41"/>
      <c r="G20" s="1" t="str">
        <f t="shared" si="1"/>
        <v>PIR</v>
      </c>
      <c r="H20" s="41"/>
      <c r="I20" s="41"/>
      <c r="J20" s="41"/>
      <c r="K20" s="41"/>
      <c r="L20" s="91" t="str">
        <f t="shared" si="2"/>
        <v/>
      </c>
      <c r="M20" s="91">
        <f t="shared" si="3"/>
        <v>0</v>
      </c>
      <c r="N20" s="98" t="str">
        <f t="shared" si="4"/>
        <v/>
      </c>
      <c r="O20" s="5">
        <f>'PAREDE-TETO'!M228</f>
        <v>0</v>
      </c>
      <c r="P20" s="19" t="str">
        <f t="shared" si="5"/>
        <v/>
      </c>
    </row>
    <row r="21" spans="2:16" x14ac:dyDescent="0.2">
      <c r="B21" s="61" t="str">
        <f t="shared" si="0"/>
        <v/>
      </c>
      <c r="C21" s="10">
        <v>13</v>
      </c>
      <c r="D21" s="40">
        <f>'PAREDE-TETO'!D229</f>
        <v>0</v>
      </c>
      <c r="E21" s="42">
        <f>'PAREDE-TETO'!E229</f>
        <v>0</v>
      </c>
      <c r="F21" s="41"/>
      <c r="G21" s="1" t="str">
        <f t="shared" si="1"/>
        <v>PIR</v>
      </c>
      <c r="H21" s="41"/>
      <c r="I21" s="41"/>
      <c r="J21" s="41"/>
      <c r="K21" s="41"/>
      <c r="L21" s="91" t="str">
        <f t="shared" si="2"/>
        <v/>
      </c>
      <c r="M21" s="91">
        <f t="shared" si="3"/>
        <v>0</v>
      </c>
      <c r="N21" s="98" t="str">
        <f t="shared" si="4"/>
        <v/>
      </c>
      <c r="O21" s="5">
        <f>'PAREDE-TETO'!M229</f>
        <v>0</v>
      </c>
      <c r="P21" s="19" t="str">
        <f t="shared" si="5"/>
        <v/>
      </c>
    </row>
    <row r="22" spans="2:16" x14ac:dyDescent="0.2">
      <c r="B22" s="61" t="str">
        <f t="shared" si="0"/>
        <v/>
      </c>
      <c r="C22" s="10">
        <v>14</v>
      </c>
      <c r="D22" s="40">
        <f>'PAREDE-TETO'!D230</f>
        <v>0</v>
      </c>
      <c r="E22" s="42">
        <f>'PAREDE-TETO'!E230</f>
        <v>0</v>
      </c>
      <c r="F22" s="41"/>
      <c r="G22" s="1" t="str">
        <f t="shared" si="1"/>
        <v>PIR</v>
      </c>
      <c r="H22" s="41"/>
      <c r="I22" s="41"/>
      <c r="J22" s="41"/>
      <c r="K22" s="41"/>
      <c r="L22" s="91" t="str">
        <f t="shared" si="2"/>
        <v/>
      </c>
      <c r="M22" s="91">
        <f t="shared" si="3"/>
        <v>0</v>
      </c>
      <c r="N22" s="98" t="str">
        <f t="shared" si="4"/>
        <v/>
      </c>
      <c r="O22" s="5">
        <f>'PAREDE-TETO'!M230</f>
        <v>0</v>
      </c>
      <c r="P22" s="19" t="str">
        <f t="shared" si="5"/>
        <v/>
      </c>
    </row>
    <row r="23" spans="2:16" x14ac:dyDescent="0.2">
      <c r="B23" s="61" t="str">
        <f t="shared" si="0"/>
        <v/>
      </c>
      <c r="C23" s="10">
        <v>15</v>
      </c>
      <c r="D23" s="40">
        <f>'PAREDE-TETO'!D231</f>
        <v>0</v>
      </c>
      <c r="E23" s="42">
        <f>'PAREDE-TETO'!E231</f>
        <v>0</v>
      </c>
      <c r="F23" s="41"/>
      <c r="G23" s="1" t="str">
        <f t="shared" si="1"/>
        <v>PIR</v>
      </c>
      <c r="H23" s="41"/>
      <c r="I23" s="41"/>
      <c r="J23" s="41"/>
      <c r="K23" s="41"/>
      <c r="L23" s="91" t="str">
        <f t="shared" si="2"/>
        <v/>
      </c>
      <c r="M23" s="91">
        <f t="shared" si="3"/>
        <v>0</v>
      </c>
      <c r="N23" s="98" t="str">
        <f t="shared" si="4"/>
        <v/>
      </c>
      <c r="O23" s="5">
        <f>'PAREDE-TETO'!M231</f>
        <v>0</v>
      </c>
      <c r="P23" s="19" t="str">
        <f t="shared" si="5"/>
        <v/>
      </c>
    </row>
    <row r="24" spans="2:16" x14ac:dyDescent="0.2">
      <c r="B24" s="61" t="str">
        <f t="shared" si="0"/>
        <v/>
      </c>
      <c r="C24" s="10">
        <v>16</v>
      </c>
      <c r="D24" s="40">
        <f>'PAREDE-TETO'!D232</f>
        <v>0</v>
      </c>
      <c r="E24" s="42">
        <f>'PAREDE-TETO'!E232</f>
        <v>0</v>
      </c>
      <c r="F24" s="41"/>
      <c r="G24" s="1" t="str">
        <f t="shared" si="1"/>
        <v>PIR</v>
      </c>
      <c r="H24" s="41"/>
      <c r="I24" s="41"/>
      <c r="J24" s="41"/>
      <c r="K24" s="41"/>
      <c r="L24" s="91" t="str">
        <f t="shared" si="2"/>
        <v/>
      </c>
      <c r="M24" s="91">
        <f t="shared" si="3"/>
        <v>0</v>
      </c>
      <c r="N24" s="98" t="str">
        <f t="shared" si="4"/>
        <v/>
      </c>
      <c r="O24" s="5">
        <f>'PAREDE-TETO'!M232</f>
        <v>0</v>
      </c>
      <c r="P24" s="19" t="str">
        <f t="shared" si="5"/>
        <v/>
      </c>
    </row>
    <row r="25" spans="2:16" x14ac:dyDescent="0.2">
      <c r="B25" s="61" t="str">
        <f t="shared" si="0"/>
        <v/>
      </c>
      <c r="C25" s="10">
        <v>17</v>
      </c>
      <c r="D25" s="40">
        <f>'PAREDE-TETO'!D233</f>
        <v>0</v>
      </c>
      <c r="E25" s="42">
        <f>'PAREDE-TETO'!E233</f>
        <v>0</v>
      </c>
      <c r="F25" s="41"/>
      <c r="G25" s="1" t="str">
        <f t="shared" si="1"/>
        <v>PIR</v>
      </c>
      <c r="H25" s="41"/>
      <c r="I25" s="41"/>
      <c r="J25" s="41"/>
      <c r="K25" s="41"/>
      <c r="L25" s="91" t="str">
        <f t="shared" si="2"/>
        <v/>
      </c>
      <c r="M25" s="91">
        <f t="shared" si="3"/>
        <v>0</v>
      </c>
      <c r="N25" s="98" t="str">
        <f t="shared" si="4"/>
        <v/>
      </c>
      <c r="O25" s="5">
        <f>'PAREDE-TETO'!M233</f>
        <v>0</v>
      </c>
      <c r="P25" s="19" t="str">
        <f t="shared" si="5"/>
        <v/>
      </c>
    </row>
    <row r="26" spans="2:16" x14ac:dyDescent="0.2">
      <c r="B26" s="61" t="str">
        <f t="shared" si="0"/>
        <v/>
      </c>
      <c r="C26" s="10">
        <v>18</v>
      </c>
      <c r="D26" s="40">
        <f>'PAREDE-TETO'!D234</f>
        <v>0</v>
      </c>
      <c r="E26" s="42">
        <f>'PAREDE-TETO'!E234</f>
        <v>0</v>
      </c>
      <c r="F26" s="41"/>
      <c r="G26" s="1" t="str">
        <f t="shared" si="1"/>
        <v>PIR</v>
      </c>
      <c r="H26" s="41"/>
      <c r="I26" s="41"/>
      <c r="J26" s="41"/>
      <c r="K26" s="41"/>
      <c r="L26" s="91" t="str">
        <f t="shared" si="2"/>
        <v/>
      </c>
      <c r="M26" s="91">
        <f t="shared" si="3"/>
        <v>0</v>
      </c>
      <c r="N26" s="98" t="str">
        <f t="shared" si="4"/>
        <v/>
      </c>
      <c r="O26" s="5">
        <f>'PAREDE-TETO'!M234</f>
        <v>0</v>
      </c>
      <c r="P26" s="19" t="str">
        <f t="shared" si="5"/>
        <v/>
      </c>
    </row>
    <row r="27" spans="2:16" x14ac:dyDescent="0.2">
      <c r="B27" s="61" t="str">
        <f t="shared" si="0"/>
        <v/>
      </c>
      <c r="C27" s="10">
        <v>19</v>
      </c>
      <c r="D27" s="40">
        <f>'PAREDE-TETO'!D235</f>
        <v>0</v>
      </c>
      <c r="E27" s="42">
        <f>'PAREDE-TETO'!E235</f>
        <v>0</v>
      </c>
      <c r="F27" s="41"/>
      <c r="G27" s="1" t="str">
        <f t="shared" si="1"/>
        <v>PIR</v>
      </c>
      <c r="H27" s="41"/>
      <c r="I27" s="41"/>
      <c r="J27" s="41"/>
      <c r="K27" s="41"/>
      <c r="L27" s="91" t="str">
        <f>IF(OR(F27="",F27=0),"",(((D27/100)+(F27/1000))*((E27/100)+(F27/1000))))</f>
        <v/>
      </c>
      <c r="M27" s="91">
        <f t="shared" si="3"/>
        <v>0</v>
      </c>
      <c r="N27" s="98" t="str">
        <f t="shared" si="4"/>
        <v/>
      </c>
      <c r="O27" s="5">
        <f>'PAREDE-TETO'!M235</f>
        <v>0</v>
      </c>
      <c r="P27" s="19" t="str">
        <f t="shared" si="5"/>
        <v/>
      </c>
    </row>
    <row r="28" spans="2:16" x14ac:dyDescent="0.2">
      <c r="B28" s="61" t="str">
        <f t="shared" si="0"/>
        <v/>
      </c>
      <c r="C28" s="10">
        <v>20</v>
      </c>
      <c r="D28" s="40">
        <f>'PAREDE-TETO'!D236</f>
        <v>0</v>
      </c>
      <c r="E28" s="42">
        <f>'PAREDE-TETO'!E236</f>
        <v>0</v>
      </c>
      <c r="F28" s="41"/>
      <c r="G28" s="1" t="str">
        <f t="shared" si="1"/>
        <v>PIR</v>
      </c>
      <c r="H28" s="41"/>
      <c r="I28" s="41"/>
      <c r="J28" s="41"/>
      <c r="K28" s="41"/>
      <c r="L28" s="91" t="str">
        <f t="shared" si="2"/>
        <v/>
      </c>
      <c r="M28" s="91">
        <f t="shared" si="3"/>
        <v>0</v>
      </c>
      <c r="N28" s="98" t="str">
        <f t="shared" si="4"/>
        <v/>
      </c>
      <c r="O28" s="5">
        <f>'PAREDE-TETO'!M236</f>
        <v>0</v>
      </c>
      <c r="P28" s="19" t="str">
        <f t="shared" si="5"/>
        <v/>
      </c>
    </row>
    <row r="29" spans="2:16" x14ac:dyDescent="0.2">
      <c r="B29" s="61" t="str">
        <f t="shared" si="0"/>
        <v/>
      </c>
      <c r="C29" s="10">
        <v>21</v>
      </c>
      <c r="D29" s="40">
        <f>'PAREDE-TETO'!D237</f>
        <v>0</v>
      </c>
      <c r="E29" s="42">
        <f>'PAREDE-TETO'!E237</f>
        <v>0</v>
      </c>
      <c r="F29" s="41"/>
      <c r="G29" s="1" t="str">
        <f t="shared" si="1"/>
        <v>PIR</v>
      </c>
      <c r="H29" s="41"/>
      <c r="I29" s="41"/>
      <c r="J29" s="41"/>
      <c r="K29" s="41"/>
      <c r="L29" s="91" t="str">
        <f t="shared" si="2"/>
        <v/>
      </c>
      <c r="M29" s="91">
        <f t="shared" si="3"/>
        <v>0</v>
      </c>
      <c r="N29" s="98" t="str">
        <f t="shared" si="4"/>
        <v/>
      </c>
      <c r="O29" s="5">
        <f>'PAREDE-TETO'!M237</f>
        <v>0</v>
      </c>
      <c r="P29" s="19" t="str">
        <f t="shared" si="5"/>
        <v/>
      </c>
    </row>
    <row r="30" spans="2:16" x14ac:dyDescent="0.2">
      <c r="B30" s="61" t="str">
        <f t="shared" si="0"/>
        <v/>
      </c>
      <c r="C30" s="10">
        <v>22</v>
      </c>
      <c r="D30" s="40">
        <f>'PAREDE-TETO'!D238</f>
        <v>0</v>
      </c>
      <c r="E30" s="42">
        <f>'PAREDE-TETO'!E238</f>
        <v>0</v>
      </c>
      <c r="F30" s="41"/>
      <c r="G30" s="1" t="str">
        <f t="shared" si="1"/>
        <v>PIR</v>
      </c>
      <c r="H30" s="41"/>
      <c r="I30" s="41"/>
      <c r="J30" s="41"/>
      <c r="K30" s="41"/>
      <c r="L30" s="91" t="str">
        <f t="shared" si="2"/>
        <v/>
      </c>
      <c r="M30" s="91">
        <f t="shared" si="3"/>
        <v>0</v>
      </c>
      <c r="N30" s="98" t="str">
        <f t="shared" si="4"/>
        <v/>
      </c>
      <c r="O30" s="5">
        <f>'PAREDE-TETO'!M238</f>
        <v>0</v>
      </c>
      <c r="P30" s="19" t="str">
        <f t="shared" si="5"/>
        <v/>
      </c>
    </row>
    <row r="31" spans="2:16" x14ac:dyDescent="0.2">
      <c r="B31" s="61" t="str">
        <f t="shared" si="0"/>
        <v/>
      </c>
      <c r="C31" s="10">
        <v>23</v>
      </c>
      <c r="D31" s="40">
        <f>'PAREDE-TETO'!D239</f>
        <v>0</v>
      </c>
      <c r="E31" s="42">
        <f>'PAREDE-TETO'!E239</f>
        <v>0</v>
      </c>
      <c r="F31" s="41"/>
      <c r="G31" s="1" t="str">
        <f t="shared" si="1"/>
        <v>PIR</v>
      </c>
      <c r="H31" s="41"/>
      <c r="I31" s="41"/>
      <c r="J31" s="41"/>
      <c r="K31" s="41"/>
      <c r="L31" s="91" t="str">
        <f t="shared" si="2"/>
        <v/>
      </c>
      <c r="M31" s="91">
        <f t="shared" si="3"/>
        <v>0</v>
      </c>
      <c r="N31" s="98" t="str">
        <f t="shared" si="4"/>
        <v/>
      </c>
      <c r="O31" s="5">
        <f>'PAREDE-TETO'!M239</f>
        <v>0</v>
      </c>
      <c r="P31" s="19" t="str">
        <f t="shared" si="5"/>
        <v/>
      </c>
    </row>
    <row r="32" spans="2:16" x14ac:dyDescent="0.2">
      <c r="B32" s="61" t="str">
        <f t="shared" si="0"/>
        <v/>
      </c>
      <c r="C32" s="10">
        <v>24</v>
      </c>
      <c r="D32" s="40">
        <f>'PAREDE-TETO'!D240</f>
        <v>0</v>
      </c>
      <c r="E32" s="42">
        <f>'PAREDE-TETO'!E240</f>
        <v>0</v>
      </c>
      <c r="F32" s="41"/>
      <c r="G32" s="1" t="str">
        <f t="shared" si="1"/>
        <v>PIR</v>
      </c>
      <c r="H32" s="41"/>
      <c r="I32" s="41"/>
      <c r="J32" s="41"/>
      <c r="K32" s="41"/>
      <c r="L32" s="91" t="str">
        <f t="shared" si="2"/>
        <v/>
      </c>
      <c r="M32" s="91">
        <f t="shared" si="3"/>
        <v>0</v>
      </c>
      <c r="N32" s="98" t="str">
        <f t="shared" si="4"/>
        <v/>
      </c>
      <c r="O32" s="5">
        <f>'PAREDE-TETO'!M240</f>
        <v>0</v>
      </c>
      <c r="P32" s="19" t="str">
        <f t="shared" si="5"/>
        <v/>
      </c>
    </row>
    <row r="33" spans="2:16" x14ac:dyDescent="0.2">
      <c r="B33" s="61" t="str">
        <f t="shared" si="0"/>
        <v/>
      </c>
      <c r="C33" s="10">
        <v>25</v>
      </c>
      <c r="D33" s="40">
        <f>'PAREDE-TETO'!D241</f>
        <v>0</v>
      </c>
      <c r="E33" s="42">
        <f>'PAREDE-TETO'!E241</f>
        <v>0</v>
      </c>
      <c r="F33" s="41"/>
      <c r="G33" s="1" t="str">
        <f t="shared" si="1"/>
        <v>PIR</v>
      </c>
      <c r="H33" s="41"/>
      <c r="I33" s="41"/>
      <c r="J33" s="41"/>
      <c r="K33" s="41"/>
      <c r="L33" s="91" t="str">
        <f t="shared" si="2"/>
        <v/>
      </c>
      <c r="M33" s="91">
        <f t="shared" si="3"/>
        <v>0</v>
      </c>
      <c r="N33" s="98" t="str">
        <f t="shared" si="4"/>
        <v/>
      </c>
      <c r="O33" s="5">
        <f>'PAREDE-TETO'!M241</f>
        <v>0</v>
      </c>
      <c r="P33" s="19" t="str">
        <f t="shared" si="5"/>
        <v/>
      </c>
    </row>
    <row r="34" spans="2:16" x14ac:dyDescent="0.2">
      <c r="B34" s="61" t="str">
        <f t="shared" si="0"/>
        <v/>
      </c>
      <c r="C34" s="10">
        <v>26</v>
      </c>
      <c r="D34" s="40">
        <f>'PAREDE-TETO'!D242</f>
        <v>0</v>
      </c>
      <c r="E34" s="42">
        <f>'PAREDE-TETO'!E242</f>
        <v>0</v>
      </c>
      <c r="F34" s="41"/>
      <c r="G34" s="1" t="str">
        <f t="shared" si="1"/>
        <v>PIR</v>
      </c>
      <c r="H34" s="41"/>
      <c r="I34" s="41"/>
      <c r="J34" s="41"/>
      <c r="K34" s="41"/>
      <c r="L34" s="91" t="str">
        <f t="shared" si="2"/>
        <v/>
      </c>
      <c r="M34" s="91">
        <f t="shared" si="3"/>
        <v>0</v>
      </c>
      <c r="N34" s="98" t="str">
        <f t="shared" si="4"/>
        <v/>
      </c>
      <c r="O34" s="5">
        <f>'PAREDE-TETO'!M242</f>
        <v>0</v>
      </c>
      <c r="P34" s="19" t="str">
        <f t="shared" si="5"/>
        <v/>
      </c>
    </row>
    <row r="35" spans="2:16" x14ac:dyDescent="0.2">
      <c r="B35" s="61" t="str">
        <f t="shared" si="0"/>
        <v/>
      </c>
      <c r="C35" s="10">
        <v>27</v>
      </c>
      <c r="D35" s="40">
        <f>'PAREDE-TETO'!D243</f>
        <v>0</v>
      </c>
      <c r="E35" s="42">
        <f>'PAREDE-TETO'!E243</f>
        <v>0</v>
      </c>
      <c r="F35" s="41"/>
      <c r="G35" s="1" t="str">
        <f t="shared" si="1"/>
        <v>PIR</v>
      </c>
      <c r="H35" s="41"/>
      <c r="I35" s="41"/>
      <c r="J35" s="41"/>
      <c r="K35" s="41"/>
      <c r="L35" s="91" t="str">
        <f t="shared" si="2"/>
        <v/>
      </c>
      <c r="M35" s="91">
        <f t="shared" si="3"/>
        <v>0</v>
      </c>
      <c r="N35" s="98" t="str">
        <f t="shared" si="4"/>
        <v/>
      </c>
      <c r="O35" s="5">
        <f>'PAREDE-TETO'!M243</f>
        <v>0</v>
      </c>
      <c r="P35" s="19" t="str">
        <f t="shared" si="5"/>
        <v/>
      </c>
    </row>
    <row r="36" spans="2:16" x14ac:dyDescent="0.2">
      <c r="B36" s="61" t="str">
        <f t="shared" si="0"/>
        <v/>
      </c>
      <c r="C36" s="10">
        <v>28</v>
      </c>
      <c r="D36" s="40">
        <f>'PAREDE-TETO'!D244</f>
        <v>0</v>
      </c>
      <c r="E36" s="42">
        <f>'PAREDE-TETO'!E244</f>
        <v>0</v>
      </c>
      <c r="F36" s="41"/>
      <c r="G36" s="1" t="str">
        <f t="shared" si="1"/>
        <v>PIR</v>
      </c>
      <c r="H36" s="41"/>
      <c r="I36" s="41"/>
      <c r="J36" s="41"/>
      <c r="K36" s="41"/>
      <c r="L36" s="91" t="str">
        <f t="shared" si="2"/>
        <v/>
      </c>
      <c r="M36" s="91">
        <f t="shared" si="3"/>
        <v>0</v>
      </c>
      <c r="N36" s="98" t="str">
        <f t="shared" si="4"/>
        <v/>
      </c>
      <c r="O36" s="5">
        <f>'PAREDE-TETO'!M244</f>
        <v>0</v>
      </c>
      <c r="P36" s="19" t="str">
        <f t="shared" si="5"/>
        <v/>
      </c>
    </row>
    <row r="37" spans="2:16" x14ac:dyDescent="0.2">
      <c r="B37" s="61" t="str">
        <f t="shared" si="0"/>
        <v/>
      </c>
      <c r="C37" s="10">
        <v>29</v>
      </c>
      <c r="D37" s="40">
        <f>'PAREDE-TETO'!D245</f>
        <v>0</v>
      </c>
      <c r="E37" s="42">
        <f>'PAREDE-TETO'!E245</f>
        <v>0</v>
      </c>
      <c r="F37" s="41"/>
      <c r="G37" s="1" t="str">
        <f t="shared" si="1"/>
        <v>PIR</v>
      </c>
      <c r="H37" s="41"/>
      <c r="I37" s="41"/>
      <c r="J37" s="41"/>
      <c r="K37" s="41"/>
      <c r="L37" s="91" t="str">
        <f t="shared" si="2"/>
        <v/>
      </c>
      <c r="M37" s="91">
        <f t="shared" si="3"/>
        <v>0</v>
      </c>
      <c r="N37" s="98" t="str">
        <f t="shared" si="4"/>
        <v/>
      </c>
      <c r="O37" s="5">
        <f>'PAREDE-TETO'!M245</f>
        <v>0</v>
      </c>
      <c r="P37" s="19" t="str">
        <f t="shared" si="5"/>
        <v/>
      </c>
    </row>
    <row r="38" spans="2:16" x14ac:dyDescent="0.2">
      <c r="B38" s="61" t="str">
        <f t="shared" si="0"/>
        <v/>
      </c>
      <c r="C38" s="10">
        <v>30</v>
      </c>
      <c r="D38" s="40">
        <f>'PAREDE-TETO'!D246</f>
        <v>0</v>
      </c>
      <c r="E38" s="42">
        <f>'PAREDE-TETO'!E246</f>
        <v>0</v>
      </c>
      <c r="F38" s="41"/>
      <c r="G38" s="1" t="str">
        <f t="shared" si="1"/>
        <v>PIR</v>
      </c>
      <c r="H38" s="41"/>
      <c r="I38" s="41"/>
      <c r="J38" s="41"/>
      <c r="K38" s="41"/>
      <c r="L38" s="91" t="str">
        <f>IF(OR(F38="",F38=0),"",(((D38/100)+(F38/1000))*((E38/100)+(F38/1000))))</f>
        <v/>
      </c>
      <c r="M38" s="91">
        <f t="shared" si="3"/>
        <v>0</v>
      </c>
      <c r="N38" s="98" t="str">
        <f t="shared" si="4"/>
        <v/>
      </c>
      <c r="O38" s="5">
        <f>'PAREDE-TETO'!M246</f>
        <v>0</v>
      </c>
      <c r="P38" s="19" t="str">
        <f t="shared" si="5"/>
        <v/>
      </c>
    </row>
    <row r="39" spans="2:16" x14ac:dyDescent="0.2">
      <c r="B39" s="61" t="str">
        <f t="shared" si="0"/>
        <v/>
      </c>
      <c r="C39" s="10">
        <v>31</v>
      </c>
      <c r="D39" s="40">
        <f>'PAREDE-TETO'!D247</f>
        <v>0</v>
      </c>
      <c r="E39" s="42">
        <f>'PAREDE-TETO'!E247</f>
        <v>0</v>
      </c>
      <c r="F39" s="41"/>
      <c r="G39" s="1" t="str">
        <f t="shared" si="1"/>
        <v>PIR</v>
      </c>
      <c r="H39" s="41"/>
      <c r="I39" s="41"/>
      <c r="J39" s="41"/>
      <c r="K39" s="41"/>
      <c r="L39" s="91" t="str">
        <f t="shared" si="2"/>
        <v/>
      </c>
      <c r="M39" s="91">
        <f t="shared" si="3"/>
        <v>0</v>
      </c>
      <c r="N39" s="98" t="str">
        <f t="shared" si="4"/>
        <v/>
      </c>
      <c r="O39" s="5">
        <f>'PAREDE-TETO'!M247</f>
        <v>0</v>
      </c>
      <c r="P39" s="19" t="str">
        <f t="shared" si="5"/>
        <v/>
      </c>
    </row>
    <row r="40" spans="2:16" x14ac:dyDescent="0.2">
      <c r="B40" s="61" t="str">
        <f t="shared" si="0"/>
        <v/>
      </c>
      <c r="C40" s="10">
        <v>32</v>
      </c>
      <c r="D40" s="40">
        <f>'PAREDE-TETO'!D248</f>
        <v>0</v>
      </c>
      <c r="E40" s="42">
        <f>'PAREDE-TETO'!E248</f>
        <v>0</v>
      </c>
      <c r="F40" s="41"/>
      <c r="G40" s="1" t="str">
        <f t="shared" si="1"/>
        <v>PIR</v>
      </c>
      <c r="H40" s="41"/>
      <c r="I40" s="41"/>
      <c r="J40" s="41"/>
      <c r="K40" s="41"/>
      <c r="L40" s="91" t="str">
        <f t="shared" si="2"/>
        <v/>
      </c>
      <c r="M40" s="91">
        <f t="shared" si="3"/>
        <v>0</v>
      </c>
      <c r="N40" s="98" t="str">
        <f t="shared" si="4"/>
        <v/>
      </c>
      <c r="O40" s="5">
        <f>'PAREDE-TETO'!M248</f>
        <v>0</v>
      </c>
      <c r="P40" s="19" t="str">
        <f t="shared" si="5"/>
        <v/>
      </c>
    </row>
    <row r="41" spans="2:16" x14ac:dyDescent="0.2">
      <c r="B41" s="61" t="str">
        <f t="shared" si="0"/>
        <v/>
      </c>
      <c r="C41" s="10">
        <v>33</v>
      </c>
      <c r="D41" s="40">
        <f>'PAREDE-TETO'!D249</f>
        <v>0</v>
      </c>
      <c r="E41" s="42">
        <f>'PAREDE-TETO'!E249</f>
        <v>0</v>
      </c>
      <c r="F41" s="41"/>
      <c r="G41" s="1" t="str">
        <f t="shared" si="1"/>
        <v>PIR</v>
      </c>
      <c r="H41" s="41"/>
      <c r="I41" s="41"/>
      <c r="J41" s="41"/>
      <c r="K41" s="41"/>
      <c r="L41" s="91" t="str">
        <f t="shared" si="2"/>
        <v/>
      </c>
      <c r="M41" s="91">
        <f t="shared" si="3"/>
        <v>0</v>
      </c>
      <c r="N41" s="98" t="str">
        <f t="shared" si="4"/>
        <v/>
      </c>
      <c r="O41" s="5">
        <f>'PAREDE-TETO'!M249</f>
        <v>0</v>
      </c>
      <c r="P41" s="19" t="str">
        <f t="shared" si="5"/>
        <v/>
      </c>
    </row>
    <row r="42" spans="2:16" x14ac:dyDescent="0.2">
      <c r="B42" s="61" t="str">
        <f t="shared" si="0"/>
        <v/>
      </c>
      <c r="C42" s="10">
        <v>34</v>
      </c>
      <c r="D42" s="40">
        <f>'PAREDE-TETO'!D250</f>
        <v>0</v>
      </c>
      <c r="E42" s="42">
        <f>'PAREDE-TETO'!E250</f>
        <v>0</v>
      </c>
      <c r="F42" s="41"/>
      <c r="G42" s="1" t="str">
        <f t="shared" si="1"/>
        <v>PIR</v>
      </c>
      <c r="H42" s="41"/>
      <c r="I42" s="41"/>
      <c r="J42" s="41"/>
      <c r="K42" s="41"/>
      <c r="L42" s="91" t="str">
        <f t="shared" si="2"/>
        <v/>
      </c>
      <c r="M42" s="91">
        <f t="shared" si="3"/>
        <v>0</v>
      </c>
      <c r="N42" s="98" t="str">
        <f t="shared" si="4"/>
        <v/>
      </c>
      <c r="O42" s="5">
        <f>'PAREDE-TETO'!M250</f>
        <v>0</v>
      </c>
      <c r="P42" s="19" t="str">
        <f t="shared" si="5"/>
        <v/>
      </c>
    </row>
    <row r="43" spans="2:16" x14ac:dyDescent="0.2">
      <c r="B43" s="61" t="str">
        <f t="shared" si="0"/>
        <v/>
      </c>
      <c r="C43" s="10">
        <v>35</v>
      </c>
      <c r="D43" s="40">
        <f>'PAREDE-TETO'!D251</f>
        <v>0</v>
      </c>
      <c r="E43" s="42">
        <f>'PAREDE-TETO'!E251</f>
        <v>0</v>
      </c>
      <c r="F43" s="41"/>
      <c r="G43" s="1" t="str">
        <f t="shared" si="1"/>
        <v>PIR</v>
      </c>
      <c r="H43" s="41"/>
      <c r="I43" s="41"/>
      <c r="J43" s="41"/>
      <c r="K43" s="41"/>
      <c r="L43" s="91" t="str">
        <f t="shared" si="2"/>
        <v/>
      </c>
      <c r="M43" s="91">
        <f t="shared" si="3"/>
        <v>0</v>
      </c>
      <c r="N43" s="98" t="str">
        <f t="shared" si="4"/>
        <v/>
      </c>
      <c r="O43" s="5">
        <f>'PAREDE-TETO'!M251</f>
        <v>0</v>
      </c>
      <c r="P43" s="19" t="str">
        <f t="shared" si="5"/>
        <v/>
      </c>
    </row>
    <row r="44" spans="2:16" x14ac:dyDescent="0.2">
      <c r="B44" s="61" t="str">
        <f t="shared" si="0"/>
        <v/>
      </c>
      <c r="C44" s="10">
        <v>36</v>
      </c>
      <c r="D44" s="40">
        <f>'PAREDE-TETO'!D252</f>
        <v>0</v>
      </c>
      <c r="E44" s="42">
        <f>'PAREDE-TETO'!E252</f>
        <v>0</v>
      </c>
      <c r="F44" s="41"/>
      <c r="G44" s="1" t="str">
        <f t="shared" si="1"/>
        <v>PIR</v>
      </c>
      <c r="H44" s="41"/>
      <c r="I44" s="41"/>
      <c r="J44" s="41"/>
      <c r="K44" s="41"/>
      <c r="L44" s="91" t="str">
        <f t="shared" si="2"/>
        <v/>
      </c>
      <c r="M44" s="91">
        <f t="shared" si="3"/>
        <v>0</v>
      </c>
      <c r="N44" s="98" t="str">
        <f t="shared" si="4"/>
        <v/>
      </c>
      <c r="O44" s="5">
        <f>'PAREDE-TETO'!M252</f>
        <v>0</v>
      </c>
      <c r="P44" s="19" t="str">
        <f t="shared" si="5"/>
        <v/>
      </c>
    </row>
    <row r="45" spans="2:16" x14ac:dyDescent="0.2">
      <c r="B45" s="61" t="str">
        <f t="shared" si="0"/>
        <v/>
      </c>
      <c r="C45" s="10">
        <v>37</v>
      </c>
      <c r="D45" s="40">
        <f>'PAREDE-TETO'!D253</f>
        <v>0</v>
      </c>
      <c r="E45" s="42">
        <f>'PAREDE-TETO'!E253</f>
        <v>0</v>
      </c>
      <c r="F45" s="41"/>
      <c r="G45" s="1" t="str">
        <f t="shared" si="1"/>
        <v>PIR</v>
      </c>
      <c r="H45" s="41"/>
      <c r="I45" s="41"/>
      <c r="J45" s="41"/>
      <c r="K45" s="41"/>
      <c r="L45" s="91" t="str">
        <f t="shared" si="2"/>
        <v/>
      </c>
      <c r="M45" s="91">
        <f t="shared" si="3"/>
        <v>0</v>
      </c>
      <c r="N45" s="98" t="str">
        <f t="shared" si="4"/>
        <v/>
      </c>
      <c r="O45" s="5">
        <f>'PAREDE-TETO'!M253</f>
        <v>0</v>
      </c>
      <c r="P45" s="19" t="str">
        <f t="shared" si="5"/>
        <v/>
      </c>
    </row>
    <row r="46" spans="2:16" x14ac:dyDescent="0.2">
      <c r="B46" s="61" t="str">
        <f t="shared" si="0"/>
        <v/>
      </c>
      <c r="C46" s="10">
        <v>38</v>
      </c>
      <c r="D46" s="40">
        <f>'PAREDE-TETO'!D254</f>
        <v>0</v>
      </c>
      <c r="E46" s="42">
        <f>'PAREDE-TETO'!E254</f>
        <v>0</v>
      </c>
      <c r="F46" s="41"/>
      <c r="G46" s="1" t="str">
        <f t="shared" si="1"/>
        <v>PIR</v>
      </c>
      <c r="H46" s="41"/>
      <c r="I46" s="41"/>
      <c r="J46" s="41"/>
      <c r="K46" s="41"/>
      <c r="L46" s="91" t="str">
        <f t="shared" si="2"/>
        <v/>
      </c>
      <c r="M46" s="91">
        <f t="shared" si="3"/>
        <v>0</v>
      </c>
      <c r="N46" s="98" t="str">
        <f t="shared" si="4"/>
        <v/>
      </c>
      <c r="O46" s="5">
        <f>'PAREDE-TETO'!M254</f>
        <v>0</v>
      </c>
      <c r="P46" s="19" t="str">
        <f t="shared" si="5"/>
        <v/>
      </c>
    </row>
    <row r="47" spans="2:16" x14ac:dyDescent="0.2">
      <c r="B47" s="61" t="str">
        <f t="shared" si="0"/>
        <v/>
      </c>
      <c r="C47" s="10">
        <v>39</v>
      </c>
      <c r="D47" s="40">
        <f>'PAREDE-TETO'!D255</f>
        <v>0</v>
      </c>
      <c r="E47" s="42">
        <f>'PAREDE-TETO'!E255</f>
        <v>0</v>
      </c>
      <c r="F47" s="41"/>
      <c r="G47" s="1" t="str">
        <f t="shared" si="1"/>
        <v>PIR</v>
      </c>
      <c r="H47" s="41"/>
      <c r="I47" s="41"/>
      <c r="J47" s="41"/>
      <c r="K47" s="41"/>
      <c r="L47" s="91" t="str">
        <f t="shared" si="2"/>
        <v/>
      </c>
      <c r="M47" s="91">
        <f t="shared" si="3"/>
        <v>0</v>
      </c>
      <c r="N47" s="98" t="str">
        <f t="shared" si="4"/>
        <v/>
      </c>
      <c r="O47" s="5">
        <f>'PAREDE-TETO'!M255</f>
        <v>0</v>
      </c>
      <c r="P47" s="19" t="str">
        <f t="shared" si="5"/>
        <v/>
      </c>
    </row>
    <row r="48" spans="2:16" x14ac:dyDescent="0.2">
      <c r="B48" s="61" t="str">
        <f t="shared" si="0"/>
        <v/>
      </c>
      <c r="C48" s="10">
        <v>40</v>
      </c>
      <c r="D48" s="40">
        <f>'PAREDE-TETO'!D256</f>
        <v>0</v>
      </c>
      <c r="E48" s="42">
        <f>'PAREDE-TETO'!E256</f>
        <v>0</v>
      </c>
      <c r="F48" s="41"/>
      <c r="G48" s="1" t="str">
        <f t="shared" si="1"/>
        <v>PIR</v>
      </c>
      <c r="H48" s="41"/>
      <c r="I48" s="41"/>
      <c r="J48" s="41"/>
      <c r="K48" s="41"/>
      <c r="L48" s="91" t="str">
        <f t="shared" si="2"/>
        <v/>
      </c>
      <c r="M48" s="91">
        <f t="shared" si="3"/>
        <v>0</v>
      </c>
      <c r="N48" s="98" t="str">
        <f t="shared" si="4"/>
        <v/>
      </c>
      <c r="O48" s="5">
        <f>'PAREDE-TETO'!M256</f>
        <v>0</v>
      </c>
      <c r="P48" s="19" t="str">
        <f t="shared" si="5"/>
        <v/>
      </c>
    </row>
    <row r="49" spans="2:16" x14ac:dyDescent="0.2">
      <c r="B49" s="61" t="str">
        <f t="shared" si="0"/>
        <v/>
      </c>
      <c r="C49" s="10">
        <v>41</v>
      </c>
      <c r="D49" s="40">
        <f>'PAREDE-TETO'!D257</f>
        <v>0</v>
      </c>
      <c r="E49" s="42">
        <f>'PAREDE-TETO'!E257</f>
        <v>0</v>
      </c>
      <c r="F49" s="41"/>
      <c r="G49" s="1" t="str">
        <f t="shared" si="1"/>
        <v>PIR</v>
      </c>
      <c r="H49" s="41"/>
      <c r="I49" s="41"/>
      <c r="J49" s="41"/>
      <c r="K49" s="41"/>
      <c r="L49" s="91" t="str">
        <f t="shared" si="2"/>
        <v/>
      </c>
      <c r="M49" s="91">
        <f t="shared" si="3"/>
        <v>0</v>
      </c>
      <c r="N49" s="98" t="str">
        <f t="shared" si="4"/>
        <v/>
      </c>
      <c r="O49" s="5">
        <f>'PAREDE-TETO'!M257</f>
        <v>0</v>
      </c>
      <c r="P49" s="19" t="str">
        <f t="shared" si="5"/>
        <v/>
      </c>
    </row>
    <row r="50" spans="2:16" x14ac:dyDescent="0.2">
      <c r="B50" s="61" t="str">
        <f t="shared" si="0"/>
        <v/>
      </c>
      <c r="C50" s="10">
        <v>42</v>
      </c>
      <c r="D50" s="40">
        <f>'PAREDE-TETO'!D258</f>
        <v>0</v>
      </c>
      <c r="E50" s="42">
        <f>'PAREDE-TETO'!E258</f>
        <v>0</v>
      </c>
      <c r="F50" s="41"/>
      <c r="G50" s="1" t="str">
        <f t="shared" si="1"/>
        <v>PIR</v>
      </c>
      <c r="H50" s="41"/>
      <c r="I50" s="41"/>
      <c r="J50" s="41"/>
      <c r="K50" s="41"/>
      <c r="L50" s="91" t="str">
        <f>IF(OR(F50="",F50=0),"",(((D50/100)+(F50/1000))*((E50/100)+(F50/1000))))</f>
        <v/>
      </c>
      <c r="M50" s="91">
        <f t="shared" si="3"/>
        <v>0</v>
      </c>
      <c r="N50" s="98" t="str">
        <f t="shared" si="4"/>
        <v/>
      </c>
      <c r="O50" s="5">
        <f>'PAREDE-TETO'!M258</f>
        <v>0</v>
      </c>
      <c r="P50" s="19" t="str">
        <f t="shared" si="5"/>
        <v/>
      </c>
    </row>
    <row r="51" spans="2:16" x14ac:dyDescent="0.2">
      <c r="B51" s="61" t="str">
        <f t="shared" si="0"/>
        <v/>
      </c>
      <c r="C51" s="10">
        <v>43</v>
      </c>
      <c r="D51" s="40">
        <f>'PAREDE-TETO'!D259</f>
        <v>0</v>
      </c>
      <c r="E51" s="42">
        <f>'PAREDE-TETO'!E259</f>
        <v>0</v>
      </c>
      <c r="F51" s="41"/>
      <c r="G51" s="1" t="str">
        <f t="shared" si="1"/>
        <v>PIR</v>
      </c>
      <c r="H51" s="41"/>
      <c r="I51" s="41"/>
      <c r="J51" s="41"/>
      <c r="K51" s="41"/>
      <c r="L51" s="91" t="str">
        <f t="shared" si="2"/>
        <v/>
      </c>
      <c r="M51" s="91">
        <f t="shared" si="3"/>
        <v>0</v>
      </c>
      <c r="N51" s="98" t="str">
        <f t="shared" si="4"/>
        <v/>
      </c>
      <c r="O51" s="5">
        <f>'PAREDE-TETO'!M259</f>
        <v>0</v>
      </c>
      <c r="P51" s="19" t="str">
        <f t="shared" si="5"/>
        <v/>
      </c>
    </row>
    <row r="52" spans="2:16" x14ac:dyDescent="0.2">
      <c r="B52" s="61" t="str">
        <f t="shared" si="0"/>
        <v/>
      </c>
      <c r="C52" s="10">
        <v>44</v>
      </c>
      <c r="D52" s="40">
        <f>'PAREDE-TETO'!D260</f>
        <v>0</v>
      </c>
      <c r="E52" s="42">
        <f>'PAREDE-TETO'!E260</f>
        <v>0</v>
      </c>
      <c r="F52" s="41"/>
      <c r="G52" s="1" t="str">
        <f t="shared" si="1"/>
        <v>PIR</v>
      </c>
      <c r="H52" s="41"/>
      <c r="I52" s="41"/>
      <c r="J52" s="41"/>
      <c r="K52" s="41"/>
      <c r="L52" s="91" t="str">
        <f t="shared" si="2"/>
        <v/>
      </c>
      <c r="M52" s="91">
        <f t="shared" si="3"/>
        <v>0</v>
      </c>
      <c r="N52" s="98" t="str">
        <f t="shared" si="4"/>
        <v/>
      </c>
      <c r="O52" s="5">
        <f>'PAREDE-TETO'!M260</f>
        <v>0</v>
      </c>
      <c r="P52" s="19" t="str">
        <f t="shared" si="5"/>
        <v/>
      </c>
    </row>
    <row r="53" spans="2:16" x14ac:dyDescent="0.2">
      <c r="B53" s="61" t="str">
        <f t="shared" si="0"/>
        <v/>
      </c>
      <c r="C53" s="10">
        <v>45</v>
      </c>
      <c r="D53" s="40">
        <f>'PAREDE-TETO'!D261</f>
        <v>0</v>
      </c>
      <c r="E53" s="42">
        <f>'PAREDE-TETO'!E261</f>
        <v>0</v>
      </c>
      <c r="F53" s="41"/>
      <c r="G53" s="1" t="str">
        <f t="shared" si="1"/>
        <v>PIR</v>
      </c>
      <c r="H53" s="41"/>
      <c r="I53" s="41"/>
      <c r="J53" s="41"/>
      <c r="K53" s="41"/>
      <c r="L53" s="91" t="str">
        <f t="shared" si="2"/>
        <v/>
      </c>
      <c r="M53" s="91">
        <f t="shared" si="3"/>
        <v>0</v>
      </c>
      <c r="N53" s="98" t="str">
        <f t="shared" si="4"/>
        <v/>
      </c>
      <c r="O53" s="5">
        <f>'PAREDE-TETO'!M261</f>
        <v>0</v>
      </c>
      <c r="P53" s="19" t="str">
        <f t="shared" si="5"/>
        <v/>
      </c>
    </row>
    <row r="54" spans="2:16" x14ac:dyDescent="0.2">
      <c r="B54" s="61" t="str">
        <f t="shared" si="0"/>
        <v/>
      </c>
      <c r="C54" s="10">
        <v>46</v>
      </c>
      <c r="D54" s="40">
        <f>'PAREDE-TETO'!D262</f>
        <v>0</v>
      </c>
      <c r="E54" s="42">
        <f>'PAREDE-TETO'!E262</f>
        <v>0</v>
      </c>
      <c r="F54" s="41"/>
      <c r="G54" s="1" t="str">
        <f t="shared" si="1"/>
        <v>PIR</v>
      </c>
      <c r="H54" s="41"/>
      <c r="I54" s="41"/>
      <c r="J54" s="41"/>
      <c r="K54" s="41"/>
      <c r="L54" s="91" t="str">
        <f t="shared" si="2"/>
        <v/>
      </c>
      <c r="M54" s="91">
        <f t="shared" si="3"/>
        <v>0</v>
      </c>
      <c r="N54" s="98" t="str">
        <f t="shared" si="4"/>
        <v/>
      </c>
      <c r="O54" s="5">
        <f>'PAREDE-TETO'!M262</f>
        <v>0</v>
      </c>
      <c r="P54" s="19" t="str">
        <f t="shared" si="5"/>
        <v/>
      </c>
    </row>
    <row r="55" spans="2:16" x14ac:dyDescent="0.2">
      <c r="B55" s="61" t="str">
        <f t="shared" si="0"/>
        <v/>
      </c>
      <c r="C55" s="10">
        <v>47</v>
      </c>
      <c r="D55" s="40">
        <f>'PAREDE-TETO'!D263</f>
        <v>0</v>
      </c>
      <c r="E55" s="42">
        <f>'PAREDE-TETO'!E263</f>
        <v>0</v>
      </c>
      <c r="F55" s="41"/>
      <c r="G55" s="1" t="str">
        <f t="shared" si="1"/>
        <v>PIR</v>
      </c>
      <c r="H55" s="41"/>
      <c r="I55" s="41"/>
      <c r="J55" s="41"/>
      <c r="K55" s="41"/>
      <c r="L55" s="91" t="str">
        <f t="shared" si="2"/>
        <v/>
      </c>
      <c r="M55" s="91">
        <f t="shared" si="3"/>
        <v>0</v>
      </c>
      <c r="N55" s="98" t="str">
        <f t="shared" si="4"/>
        <v/>
      </c>
      <c r="O55" s="5">
        <f>'PAREDE-TETO'!M263</f>
        <v>0</v>
      </c>
      <c r="P55" s="19" t="str">
        <f t="shared" si="5"/>
        <v/>
      </c>
    </row>
    <row r="56" spans="2:16" x14ac:dyDescent="0.2">
      <c r="B56" s="61" t="str">
        <f t="shared" si="0"/>
        <v/>
      </c>
      <c r="C56" s="10">
        <v>48</v>
      </c>
      <c r="D56" s="40">
        <f>'PAREDE-TETO'!D264</f>
        <v>0</v>
      </c>
      <c r="E56" s="42">
        <f>'PAREDE-TETO'!E264</f>
        <v>0</v>
      </c>
      <c r="F56" s="41"/>
      <c r="G56" s="1" t="str">
        <f t="shared" si="1"/>
        <v>PIR</v>
      </c>
      <c r="H56" s="41"/>
      <c r="I56" s="41"/>
      <c r="J56" s="41"/>
      <c r="K56" s="41"/>
      <c r="L56" s="91" t="str">
        <f t="shared" si="2"/>
        <v/>
      </c>
      <c r="M56" s="91">
        <f t="shared" si="3"/>
        <v>0</v>
      </c>
      <c r="N56" s="98" t="str">
        <f t="shared" si="4"/>
        <v/>
      </c>
      <c r="O56" s="5">
        <f>'PAREDE-TETO'!M264</f>
        <v>0</v>
      </c>
      <c r="P56" s="19" t="str">
        <f t="shared" si="5"/>
        <v/>
      </c>
    </row>
    <row r="57" spans="2:16" x14ac:dyDescent="0.2">
      <c r="B57" s="61" t="str">
        <f t="shared" si="0"/>
        <v/>
      </c>
      <c r="C57" s="10">
        <v>49</v>
      </c>
      <c r="D57" s="40">
        <f>'PAREDE-TETO'!D265</f>
        <v>0</v>
      </c>
      <c r="E57" s="42">
        <f>'PAREDE-TETO'!E265</f>
        <v>0</v>
      </c>
      <c r="F57" s="41"/>
      <c r="G57" s="1" t="str">
        <f t="shared" si="1"/>
        <v>PIR</v>
      </c>
      <c r="H57" s="41"/>
      <c r="I57" s="41"/>
      <c r="J57" s="41"/>
      <c r="K57" s="41"/>
      <c r="L57" s="91" t="str">
        <f t="shared" si="2"/>
        <v/>
      </c>
      <c r="M57" s="91">
        <f t="shared" si="3"/>
        <v>0</v>
      </c>
      <c r="N57" s="98" t="str">
        <f t="shared" si="4"/>
        <v/>
      </c>
      <c r="O57" s="5">
        <f>'PAREDE-TETO'!M265</f>
        <v>0</v>
      </c>
      <c r="P57" s="19" t="str">
        <f t="shared" si="5"/>
        <v/>
      </c>
    </row>
    <row r="58" spans="2:16" x14ac:dyDescent="0.2">
      <c r="B58" s="61" t="str">
        <f t="shared" si="0"/>
        <v/>
      </c>
      <c r="C58" s="10">
        <v>50</v>
      </c>
      <c r="D58" s="40">
        <f>'PAREDE-TETO'!D266</f>
        <v>0</v>
      </c>
      <c r="E58" s="42">
        <f>'PAREDE-TETO'!E266</f>
        <v>0</v>
      </c>
      <c r="F58" s="41"/>
      <c r="G58" s="1" t="str">
        <f t="shared" si="1"/>
        <v>PIR</v>
      </c>
      <c r="H58" s="41"/>
      <c r="I58" s="41"/>
      <c r="J58" s="41"/>
      <c r="K58" s="41"/>
      <c r="L58" s="91" t="str">
        <f t="shared" si="2"/>
        <v/>
      </c>
      <c r="M58" s="91">
        <f t="shared" si="3"/>
        <v>0</v>
      </c>
      <c r="N58" s="98" t="str">
        <f t="shared" si="4"/>
        <v/>
      </c>
      <c r="O58" s="5">
        <f>'PAREDE-TETO'!M266</f>
        <v>0</v>
      </c>
      <c r="P58" s="19" t="str">
        <f t="shared" si="5"/>
        <v/>
      </c>
    </row>
    <row r="59" spans="2:16" x14ac:dyDescent="0.2">
      <c r="B59" s="61" t="str">
        <f t="shared" si="0"/>
        <v/>
      </c>
      <c r="C59" s="10">
        <v>51</v>
      </c>
      <c r="D59" s="40">
        <f>'PAREDE-TETO'!D267</f>
        <v>0</v>
      </c>
      <c r="E59" s="42">
        <f>'PAREDE-TETO'!E267</f>
        <v>0</v>
      </c>
      <c r="F59" s="41"/>
      <c r="G59" s="1" t="str">
        <f t="shared" si="1"/>
        <v>PIR</v>
      </c>
      <c r="H59" s="41"/>
      <c r="I59" s="41"/>
      <c r="J59" s="41"/>
      <c r="K59" s="41"/>
      <c r="L59" s="91" t="str">
        <f t="shared" si="2"/>
        <v/>
      </c>
      <c r="M59" s="91">
        <f t="shared" si="3"/>
        <v>0</v>
      </c>
      <c r="N59" s="98" t="str">
        <f t="shared" si="4"/>
        <v/>
      </c>
      <c r="O59" s="5">
        <f>'PAREDE-TETO'!M267</f>
        <v>0</v>
      </c>
      <c r="P59" s="19" t="str">
        <f t="shared" si="5"/>
        <v/>
      </c>
    </row>
    <row r="60" spans="2:16" x14ac:dyDescent="0.2">
      <c r="B60" s="61" t="str">
        <f t="shared" si="0"/>
        <v/>
      </c>
      <c r="C60" s="10">
        <v>52</v>
      </c>
      <c r="D60" s="40">
        <f>'PAREDE-TETO'!D268</f>
        <v>0</v>
      </c>
      <c r="E60" s="42">
        <f>'PAREDE-TETO'!E268</f>
        <v>0</v>
      </c>
      <c r="F60" s="41"/>
      <c r="G60" s="1" t="str">
        <f t="shared" si="1"/>
        <v>PIR</v>
      </c>
      <c r="H60" s="41"/>
      <c r="I60" s="41"/>
      <c r="J60" s="41"/>
      <c r="K60" s="41"/>
      <c r="L60" s="91" t="str">
        <f t="shared" si="2"/>
        <v/>
      </c>
      <c r="M60" s="91">
        <f t="shared" si="3"/>
        <v>0</v>
      </c>
      <c r="N60" s="98" t="str">
        <f t="shared" si="4"/>
        <v/>
      </c>
      <c r="O60" s="5">
        <f>'PAREDE-TETO'!M268</f>
        <v>0</v>
      </c>
      <c r="P60" s="19" t="str">
        <f t="shared" si="5"/>
        <v/>
      </c>
    </row>
    <row r="61" spans="2:16" x14ac:dyDescent="0.2">
      <c r="B61" s="61" t="str">
        <f t="shared" si="0"/>
        <v/>
      </c>
      <c r="C61" s="10">
        <v>53</v>
      </c>
      <c r="D61" s="40">
        <f>'PAREDE-TETO'!D269</f>
        <v>0</v>
      </c>
      <c r="E61" s="42">
        <f>'PAREDE-TETO'!E269</f>
        <v>0</v>
      </c>
      <c r="F61" s="41"/>
      <c r="G61" s="1" t="str">
        <f t="shared" si="1"/>
        <v>PIR</v>
      </c>
      <c r="H61" s="41"/>
      <c r="I61" s="41"/>
      <c r="J61" s="41"/>
      <c r="K61" s="41"/>
      <c r="L61" s="91" t="str">
        <f t="shared" si="2"/>
        <v/>
      </c>
      <c r="M61" s="91">
        <f t="shared" si="3"/>
        <v>0</v>
      </c>
      <c r="N61" s="98" t="str">
        <f t="shared" si="4"/>
        <v/>
      </c>
      <c r="O61" s="5">
        <f>'PAREDE-TETO'!M269</f>
        <v>0</v>
      </c>
      <c r="P61" s="19" t="str">
        <f t="shared" si="5"/>
        <v/>
      </c>
    </row>
    <row r="62" spans="2:16" x14ac:dyDescent="0.2">
      <c r="B62" s="61" t="str">
        <f t="shared" si="0"/>
        <v/>
      </c>
      <c r="C62" s="10">
        <v>54</v>
      </c>
      <c r="D62" s="40">
        <f>'PAREDE-TETO'!D270</f>
        <v>0</v>
      </c>
      <c r="E62" s="42">
        <f>'PAREDE-TETO'!E270</f>
        <v>0</v>
      </c>
      <c r="F62" s="41"/>
      <c r="G62" s="1" t="str">
        <f t="shared" si="1"/>
        <v>PIR</v>
      </c>
      <c r="H62" s="41"/>
      <c r="I62" s="41"/>
      <c r="J62" s="41"/>
      <c r="K62" s="41"/>
      <c r="L62" s="91" t="str">
        <f t="shared" si="2"/>
        <v/>
      </c>
      <c r="M62" s="91">
        <f t="shared" si="3"/>
        <v>0</v>
      </c>
      <c r="N62" s="98" t="str">
        <f t="shared" si="4"/>
        <v/>
      </c>
      <c r="O62" s="5">
        <f>'PAREDE-TETO'!M270</f>
        <v>0</v>
      </c>
      <c r="P62" s="19" t="str">
        <f t="shared" si="5"/>
        <v/>
      </c>
    </row>
    <row r="63" spans="2:16" x14ac:dyDescent="0.2">
      <c r="B63" s="61" t="str">
        <f t="shared" si="0"/>
        <v/>
      </c>
      <c r="C63" s="10">
        <v>55</v>
      </c>
      <c r="D63" s="40">
        <f>'PAREDE-TETO'!D271</f>
        <v>0</v>
      </c>
      <c r="E63" s="42">
        <f>'PAREDE-TETO'!E271</f>
        <v>0</v>
      </c>
      <c r="F63" s="41"/>
      <c r="G63" s="1" t="str">
        <f t="shared" si="1"/>
        <v>PIR</v>
      </c>
      <c r="H63" s="41"/>
      <c r="I63" s="41"/>
      <c r="J63" s="41"/>
      <c r="K63" s="41"/>
      <c r="L63" s="91" t="str">
        <f t="shared" si="2"/>
        <v/>
      </c>
      <c r="M63" s="91">
        <f t="shared" si="3"/>
        <v>0</v>
      </c>
      <c r="N63" s="98" t="str">
        <f t="shared" si="4"/>
        <v/>
      </c>
      <c r="O63" s="5">
        <f>'PAREDE-TETO'!M271</f>
        <v>0</v>
      </c>
      <c r="P63" s="19" t="str">
        <f t="shared" si="5"/>
        <v/>
      </c>
    </row>
    <row r="64" spans="2:16" x14ac:dyDescent="0.2">
      <c r="B64" s="61" t="str">
        <f t="shared" si="0"/>
        <v/>
      </c>
      <c r="C64" s="10">
        <v>56</v>
      </c>
      <c r="D64" s="40">
        <f>'PAREDE-TETO'!D272</f>
        <v>0</v>
      </c>
      <c r="E64" s="42">
        <f>'PAREDE-TETO'!E272</f>
        <v>0</v>
      </c>
      <c r="F64" s="41"/>
      <c r="G64" s="1" t="str">
        <f t="shared" si="1"/>
        <v>PIR</v>
      </c>
      <c r="H64" s="41"/>
      <c r="I64" s="41"/>
      <c r="J64" s="41"/>
      <c r="K64" s="41"/>
      <c r="L64" s="91" t="str">
        <f t="shared" si="2"/>
        <v/>
      </c>
      <c r="M64" s="91">
        <f t="shared" si="3"/>
        <v>0</v>
      </c>
      <c r="N64" s="98" t="str">
        <f t="shared" si="4"/>
        <v/>
      </c>
      <c r="O64" s="5">
        <f>'PAREDE-TETO'!M272</f>
        <v>0</v>
      </c>
      <c r="P64" s="19" t="str">
        <f t="shared" si="5"/>
        <v/>
      </c>
    </row>
    <row r="65" spans="2:16" x14ac:dyDescent="0.2">
      <c r="B65" s="61" t="str">
        <f t="shared" si="0"/>
        <v/>
      </c>
      <c r="C65" s="10">
        <v>57</v>
      </c>
      <c r="D65" s="40">
        <f>'PAREDE-TETO'!D273</f>
        <v>0</v>
      </c>
      <c r="E65" s="42">
        <f>'PAREDE-TETO'!E273</f>
        <v>0</v>
      </c>
      <c r="F65" s="41"/>
      <c r="G65" s="1" t="str">
        <f t="shared" si="1"/>
        <v>PIR</v>
      </c>
      <c r="H65" s="41"/>
      <c r="I65" s="41"/>
      <c r="J65" s="41"/>
      <c r="K65" s="41"/>
      <c r="L65" s="91" t="str">
        <f t="shared" si="2"/>
        <v/>
      </c>
      <c r="M65" s="91">
        <f t="shared" si="3"/>
        <v>0</v>
      </c>
      <c r="N65" s="98" t="str">
        <f t="shared" si="4"/>
        <v/>
      </c>
      <c r="O65" s="5">
        <f>'PAREDE-TETO'!M273</f>
        <v>0</v>
      </c>
      <c r="P65" s="19" t="str">
        <f t="shared" si="5"/>
        <v/>
      </c>
    </row>
    <row r="66" spans="2:16" x14ac:dyDescent="0.2">
      <c r="B66" s="61" t="str">
        <f t="shared" si="0"/>
        <v/>
      </c>
      <c r="C66" s="10">
        <v>58</v>
      </c>
      <c r="D66" s="40">
        <f>'PAREDE-TETO'!D274</f>
        <v>0</v>
      </c>
      <c r="E66" s="42">
        <f>'PAREDE-TETO'!E274</f>
        <v>0</v>
      </c>
      <c r="F66" s="41"/>
      <c r="G66" s="1" t="str">
        <f t="shared" si="1"/>
        <v>PIR</v>
      </c>
      <c r="H66" s="41"/>
      <c r="I66" s="41"/>
      <c r="J66" s="41"/>
      <c r="K66" s="41"/>
      <c r="L66" s="91" t="str">
        <f t="shared" si="2"/>
        <v/>
      </c>
      <c r="M66" s="91">
        <f t="shared" si="3"/>
        <v>0</v>
      </c>
      <c r="N66" s="98" t="str">
        <f t="shared" si="4"/>
        <v/>
      </c>
      <c r="O66" s="5">
        <f>'PAREDE-TETO'!M274</f>
        <v>0</v>
      </c>
      <c r="P66" s="19" t="str">
        <f t="shared" si="5"/>
        <v/>
      </c>
    </row>
    <row r="67" spans="2:16" x14ac:dyDescent="0.2">
      <c r="B67" s="61" t="str">
        <f t="shared" si="0"/>
        <v/>
      </c>
      <c r="C67" s="10">
        <v>59</v>
      </c>
      <c r="D67" s="40">
        <f>'PAREDE-TETO'!D275</f>
        <v>0</v>
      </c>
      <c r="E67" s="42">
        <f>'PAREDE-TETO'!E275</f>
        <v>0</v>
      </c>
      <c r="F67" s="41"/>
      <c r="G67" s="1" t="str">
        <f t="shared" si="1"/>
        <v>PIR</v>
      </c>
      <c r="H67" s="41"/>
      <c r="I67" s="41"/>
      <c r="J67" s="41"/>
      <c r="K67" s="41"/>
      <c r="L67" s="91" t="str">
        <f t="shared" ref="L67:L80" si="6">IF(OR(F67="",F67=0),"",(((D67/100)+(F67/1000))*((E67/100)+(F67/1000))))</f>
        <v/>
      </c>
      <c r="M67" s="91">
        <f t="shared" si="3"/>
        <v>0</v>
      </c>
      <c r="N67" s="98" t="str">
        <f t="shared" si="4"/>
        <v/>
      </c>
      <c r="O67" s="5">
        <f>'PAREDE-TETO'!M275</f>
        <v>0</v>
      </c>
      <c r="P67" s="19" t="str">
        <f t="shared" si="5"/>
        <v/>
      </c>
    </row>
    <row r="68" spans="2:16" x14ac:dyDescent="0.2">
      <c r="B68" s="61" t="str">
        <f t="shared" si="0"/>
        <v/>
      </c>
      <c r="C68" s="10">
        <v>60</v>
      </c>
      <c r="D68" s="40">
        <f>'PAREDE-TETO'!D276</f>
        <v>0</v>
      </c>
      <c r="E68" s="42">
        <f>'PAREDE-TETO'!E276</f>
        <v>0</v>
      </c>
      <c r="F68" s="41"/>
      <c r="G68" s="1" t="str">
        <f t="shared" si="1"/>
        <v>PIR</v>
      </c>
      <c r="H68" s="41"/>
      <c r="I68" s="41"/>
      <c r="J68" s="41"/>
      <c r="K68" s="41"/>
      <c r="L68" s="91" t="str">
        <f t="shared" si="6"/>
        <v/>
      </c>
      <c r="M68" s="91">
        <f t="shared" ref="M68:M97" si="7">SUM(H68:K68)/4</f>
        <v>0</v>
      </c>
      <c r="N68" s="98" t="str">
        <f t="shared" si="4"/>
        <v/>
      </c>
      <c r="O68" s="5">
        <f>'PAREDE-TETO'!M276</f>
        <v>0</v>
      </c>
      <c r="P68" s="19" t="str">
        <f t="shared" si="5"/>
        <v/>
      </c>
    </row>
    <row r="69" spans="2:16" x14ac:dyDescent="0.2">
      <c r="B69" s="61" t="str">
        <f t="shared" si="0"/>
        <v/>
      </c>
      <c r="C69" s="10">
        <v>61</v>
      </c>
      <c r="D69" s="40">
        <f>'PAREDE-TETO'!D277</f>
        <v>0</v>
      </c>
      <c r="E69" s="42">
        <f>'PAREDE-TETO'!E277</f>
        <v>0</v>
      </c>
      <c r="F69" s="41"/>
      <c r="G69" s="1" t="str">
        <f t="shared" si="1"/>
        <v>PIR</v>
      </c>
      <c r="H69" s="41"/>
      <c r="I69" s="41"/>
      <c r="J69" s="41"/>
      <c r="K69" s="41"/>
      <c r="L69" s="91" t="str">
        <f t="shared" si="6"/>
        <v/>
      </c>
      <c r="M69" s="91">
        <f t="shared" si="7"/>
        <v>0</v>
      </c>
      <c r="N69" s="98" t="str">
        <f t="shared" si="4"/>
        <v/>
      </c>
      <c r="O69" s="5">
        <f>'PAREDE-TETO'!M277</f>
        <v>0</v>
      </c>
      <c r="P69" s="19" t="str">
        <f t="shared" si="5"/>
        <v/>
      </c>
    </row>
    <row r="70" spans="2:16" x14ac:dyDescent="0.2">
      <c r="B70" s="61" t="str">
        <f t="shared" si="0"/>
        <v/>
      </c>
      <c r="C70" s="10">
        <v>62</v>
      </c>
      <c r="D70" s="40">
        <f>'PAREDE-TETO'!D278</f>
        <v>0</v>
      </c>
      <c r="E70" s="42">
        <f>'PAREDE-TETO'!E278</f>
        <v>0</v>
      </c>
      <c r="F70" s="41"/>
      <c r="G70" s="1" t="str">
        <f t="shared" si="1"/>
        <v>PIR</v>
      </c>
      <c r="H70" s="41"/>
      <c r="I70" s="41"/>
      <c r="J70" s="41"/>
      <c r="K70" s="41"/>
      <c r="L70" s="91" t="str">
        <f t="shared" si="6"/>
        <v/>
      </c>
      <c r="M70" s="91">
        <f t="shared" si="7"/>
        <v>0</v>
      </c>
      <c r="N70" s="98" t="str">
        <f t="shared" si="4"/>
        <v/>
      </c>
      <c r="O70" s="5">
        <f>'PAREDE-TETO'!M278</f>
        <v>0</v>
      </c>
      <c r="P70" s="19" t="str">
        <f t="shared" si="5"/>
        <v/>
      </c>
    </row>
    <row r="71" spans="2:16" x14ac:dyDescent="0.2">
      <c r="B71" s="61" t="str">
        <f t="shared" si="0"/>
        <v/>
      </c>
      <c r="C71" s="10">
        <v>63</v>
      </c>
      <c r="D71" s="40">
        <f>'PAREDE-TETO'!D279</f>
        <v>0</v>
      </c>
      <c r="E71" s="42">
        <f>'PAREDE-TETO'!E279</f>
        <v>0</v>
      </c>
      <c r="F71" s="41"/>
      <c r="G71" s="1" t="str">
        <f t="shared" si="1"/>
        <v>PIR</v>
      </c>
      <c r="H71" s="41"/>
      <c r="I71" s="41"/>
      <c r="J71" s="41"/>
      <c r="K71" s="41"/>
      <c r="L71" s="91" t="str">
        <f t="shared" si="6"/>
        <v/>
      </c>
      <c r="M71" s="91">
        <f t="shared" si="7"/>
        <v>0</v>
      </c>
      <c r="N71" s="98" t="str">
        <f t="shared" si="4"/>
        <v/>
      </c>
      <c r="O71" s="5">
        <f>'PAREDE-TETO'!M279</f>
        <v>0</v>
      </c>
      <c r="P71" s="19" t="str">
        <f t="shared" si="5"/>
        <v/>
      </c>
    </row>
    <row r="72" spans="2:16" x14ac:dyDescent="0.2">
      <c r="B72" s="61" t="str">
        <f t="shared" si="0"/>
        <v/>
      </c>
      <c r="C72" s="10">
        <v>64</v>
      </c>
      <c r="D72" s="40">
        <f>'PAREDE-TETO'!D280</f>
        <v>0</v>
      </c>
      <c r="E72" s="42">
        <f>'PAREDE-TETO'!E280</f>
        <v>0</v>
      </c>
      <c r="F72" s="41"/>
      <c r="G72" s="1" t="str">
        <f t="shared" si="1"/>
        <v>PIR</v>
      </c>
      <c r="H72" s="41"/>
      <c r="I72" s="41"/>
      <c r="J72" s="41"/>
      <c r="K72" s="41"/>
      <c r="L72" s="91" t="str">
        <f t="shared" si="6"/>
        <v/>
      </c>
      <c r="M72" s="91">
        <f t="shared" si="7"/>
        <v>0</v>
      </c>
      <c r="N72" s="98" t="str">
        <f t="shared" si="4"/>
        <v/>
      </c>
      <c r="O72" s="5">
        <f>'PAREDE-TETO'!M280</f>
        <v>0</v>
      </c>
      <c r="P72" s="19" t="str">
        <f t="shared" si="5"/>
        <v/>
      </c>
    </row>
    <row r="73" spans="2:16" x14ac:dyDescent="0.2">
      <c r="B73" s="61" t="str">
        <f t="shared" ref="B73:B108" si="8">IF(D73&lt;&gt;0,1,"")</f>
        <v/>
      </c>
      <c r="C73" s="10">
        <v>65</v>
      </c>
      <c r="D73" s="40">
        <f>'PAREDE-TETO'!D281</f>
        <v>0</v>
      </c>
      <c r="E73" s="42">
        <f>'PAREDE-TETO'!E281</f>
        <v>0</v>
      </c>
      <c r="F73" s="41"/>
      <c r="G73" s="1" t="str">
        <f t="shared" ref="G73:G108" si="9">IF($G$8="EPS","EPS",IF($G$8="PIR","PIR",IF($G$8="PUR","PUR","Selecionar tipo")))</f>
        <v>PIR</v>
      </c>
      <c r="H73" s="41"/>
      <c r="I73" s="41"/>
      <c r="J73" s="41"/>
      <c r="K73" s="41"/>
      <c r="L73" s="91" t="str">
        <f t="shared" si="6"/>
        <v/>
      </c>
      <c r="M73" s="91">
        <f t="shared" si="7"/>
        <v>0</v>
      </c>
      <c r="N73" s="98" t="str">
        <f t="shared" si="4"/>
        <v/>
      </c>
      <c r="O73" s="5">
        <f>'PAREDE-TETO'!M281</f>
        <v>0</v>
      </c>
      <c r="P73" s="19" t="str">
        <f t="shared" si="5"/>
        <v/>
      </c>
    </row>
    <row r="74" spans="2:16" x14ac:dyDescent="0.2">
      <c r="B74" s="61" t="str">
        <f t="shared" si="8"/>
        <v/>
      </c>
      <c r="C74" s="10">
        <v>66</v>
      </c>
      <c r="D74" s="40">
        <f>'PAREDE-TETO'!D282</f>
        <v>0</v>
      </c>
      <c r="E74" s="42">
        <f>'PAREDE-TETO'!E282</f>
        <v>0</v>
      </c>
      <c r="F74" s="41"/>
      <c r="G74" s="1" t="str">
        <f t="shared" si="9"/>
        <v>PIR</v>
      </c>
      <c r="H74" s="41"/>
      <c r="I74" s="41"/>
      <c r="J74" s="41"/>
      <c r="K74" s="41"/>
      <c r="L74" s="91" t="str">
        <f t="shared" si="6"/>
        <v/>
      </c>
      <c r="M74" s="91">
        <f t="shared" si="7"/>
        <v>0</v>
      </c>
      <c r="N74" s="98" t="str">
        <f t="shared" ref="N74:N108" si="10">IF(SUM(D74:E74)&lt;&gt;0,G74&amp;" - "&amp;F74&amp;"mm","")</f>
        <v/>
      </c>
      <c r="O74" s="5">
        <f>'PAREDE-TETO'!M282</f>
        <v>0</v>
      </c>
      <c r="P74" s="19" t="str">
        <f t="shared" ref="P74:P108" si="11">IF(AND(O74&lt;&gt;"",O74&lt;&gt;0),O74&amp;",","")</f>
        <v/>
      </c>
    </row>
    <row r="75" spans="2:16" x14ac:dyDescent="0.2">
      <c r="B75" s="61" t="str">
        <f t="shared" si="8"/>
        <v/>
      </c>
      <c r="C75" s="10">
        <v>67</v>
      </c>
      <c r="D75" s="40">
        <f>'PAREDE-TETO'!D283</f>
        <v>0</v>
      </c>
      <c r="E75" s="42">
        <f>'PAREDE-TETO'!E283</f>
        <v>0</v>
      </c>
      <c r="F75" s="41"/>
      <c r="G75" s="1" t="str">
        <f t="shared" si="9"/>
        <v>PIR</v>
      </c>
      <c r="H75" s="41"/>
      <c r="I75" s="41"/>
      <c r="J75" s="41"/>
      <c r="K75" s="41"/>
      <c r="L75" s="91" t="str">
        <f t="shared" si="6"/>
        <v/>
      </c>
      <c r="M75" s="91">
        <f t="shared" si="7"/>
        <v>0</v>
      </c>
      <c r="N75" s="98" t="str">
        <f t="shared" si="10"/>
        <v/>
      </c>
      <c r="O75" s="5">
        <f>'PAREDE-TETO'!M283</f>
        <v>0</v>
      </c>
      <c r="P75" s="19" t="str">
        <f t="shared" si="11"/>
        <v/>
      </c>
    </row>
    <row r="76" spans="2:16" x14ac:dyDescent="0.2">
      <c r="B76" s="61" t="str">
        <f t="shared" si="8"/>
        <v/>
      </c>
      <c r="C76" s="10">
        <v>68</v>
      </c>
      <c r="D76" s="40">
        <f>'PAREDE-TETO'!D284</f>
        <v>0</v>
      </c>
      <c r="E76" s="42">
        <f>'PAREDE-TETO'!E284</f>
        <v>0</v>
      </c>
      <c r="F76" s="41"/>
      <c r="G76" s="1" t="str">
        <f t="shared" si="9"/>
        <v>PIR</v>
      </c>
      <c r="H76" s="41"/>
      <c r="I76" s="41"/>
      <c r="J76" s="41"/>
      <c r="K76" s="41"/>
      <c r="L76" s="91" t="str">
        <f t="shared" si="6"/>
        <v/>
      </c>
      <c r="M76" s="91">
        <f t="shared" si="7"/>
        <v>0</v>
      </c>
      <c r="N76" s="98" t="str">
        <f t="shared" si="10"/>
        <v/>
      </c>
      <c r="O76" s="5">
        <f>'PAREDE-TETO'!M284</f>
        <v>0</v>
      </c>
      <c r="P76" s="19" t="str">
        <f t="shared" si="11"/>
        <v/>
      </c>
    </row>
    <row r="77" spans="2:16" x14ac:dyDescent="0.2">
      <c r="B77" s="61" t="str">
        <f t="shared" si="8"/>
        <v/>
      </c>
      <c r="C77" s="10">
        <v>69</v>
      </c>
      <c r="D77" s="40">
        <f>'PAREDE-TETO'!D285</f>
        <v>0</v>
      </c>
      <c r="E77" s="42">
        <f>'PAREDE-TETO'!E285</f>
        <v>0</v>
      </c>
      <c r="F77" s="41"/>
      <c r="G77" s="1" t="str">
        <f t="shared" si="9"/>
        <v>PIR</v>
      </c>
      <c r="H77" s="41"/>
      <c r="I77" s="41"/>
      <c r="J77" s="41"/>
      <c r="K77" s="41"/>
      <c r="L77" s="91" t="str">
        <f t="shared" si="6"/>
        <v/>
      </c>
      <c r="M77" s="91">
        <f t="shared" si="7"/>
        <v>0</v>
      </c>
      <c r="N77" s="98" t="str">
        <f t="shared" si="10"/>
        <v/>
      </c>
      <c r="O77" s="5">
        <f>'PAREDE-TETO'!M285</f>
        <v>0</v>
      </c>
      <c r="P77" s="19" t="str">
        <f t="shared" si="11"/>
        <v/>
      </c>
    </row>
    <row r="78" spans="2:16" x14ac:dyDescent="0.2">
      <c r="B78" s="61" t="str">
        <f t="shared" si="8"/>
        <v/>
      </c>
      <c r="C78" s="10">
        <v>70</v>
      </c>
      <c r="D78" s="40">
        <f>'PAREDE-TETO'!D286</f>
        <v>0</v>
      </c>
      <c r="E78" s="42">
        <f>'PAREDE-TETO'!E286</f>
        <v>0</v>
      </c>
      <c r="F78" s="41"/>
      <c r="G78" s="1" t="str">
        <f t="shared" si="9"/>
        <v>PIR</v>
      </c>
      <c r="H78" s="41"/>
      <c r="I78" s="41"/>
      <c r="J78" s="41"/>
      <c r="K78" s="41"/>
      <c r="L78" s="91" t="str">
        <f t="shared" si="6"/>
        <v/>
      </c>
      <c r="M78" s="91">
        <f t="shared" si="7"/>
        <v>0</v>
      </c>
      <c r="N78" s="98" t="str">
        <f t="shared" si="10"/>
        <v/>
      </c>
      <c r="O78" s="5">
        <f>'PAREDE-TETO'!M286</f>
        <v>0</v>
      </c>
      <c r="P78" s="19" t="str">
        <f t="shared" si="11"/>
        <v/>
      </c>
    </row>
    <row r="79" spans="2:16" x14ac:dyDescent="0.2">
      <c r="B79" s="61" t="str">
        <f t="shared" si="8"/>
        <v/>
      </c>
      <c r="C79" s="10">
        <v>71</v>
      </c>
      <c r="D79" s="40">
        <f>'PAREDE-TETO'!D287</f>
        <v>0</v>
      </c>
      <c r="E79" s="42">
        <f>'PAREDE-TETO'!E287</f>
        <v>0</v>
      </c>
      <c r="F79" s="41"/>
      <c r="G79" s="1" t="str">
        <f t="shared" si="9"/>
        <v>PIR</v>
      </c>
      <c r="H79" s="41"/>
      <c r="I79" s="41"/>
      <c r="J79" s="41"/>
      <c r="K79" s="41"/>
      <c r="L79" s="91" t="str">
        <f t="shared" si="6"/>
        <v/>
      </c>
      <c r="M79" s="91">
        <f t="shared" si="7"/>
        <v>0</v>
      </c>
      <c r="N79" s="98" t="str">
        <f t="shared" si="10"/>
        <v/>
      </c>
      <c r="O79" s="5">
        <f>'PAREDE-TETO'!M287</f>
        <v>0</v>
      </c>
      <c r="P79" s="19" t="str">
        <f t="shared" si="11"/>
        <v/>
      </c>
    </row>
    <row r="80" spans="2:16" x14ac:dyDescent="0.2">
      <c r="B80" s="61" t="str">
        <f t="shared" si="8"/>
        <v/>
      </c>
      <c r="C80" s="10">
        <v>72</v>
      </c>
      <c r="D80" s="40">
        <f>'PAREDE-TETO'!D288</f>
        <v>0</v>
      </c>
      <c r="E80" s="42">
        <f>'PAREDE-TETO'!E288</f>
        <v>0</v>
      </c>
      <c r="F80" s="41"/>
      <c r="G80" s="1" t="str">
        <f t="shared" si="9"/>
        <v>PIR</v>
      </c>
      <c r="H80" s="41"/>
      <c r="I80" s="41"/>
      <c r="J80" s="41"/>
      <c r="K80" s="41"/>
      <c r="L80" s="91" t="str">
        <f t="shared" si="6"/>
        <v/>
      </c>
      <c r="M80" s="91">
        <f t="shared" si="7"/>
        <v>0</v>
      </c>
      <c r="N80" s="98" t="str">
        <f t="shared" si="10"/>
        <v/>
      </c>
      <c r="O80" s="5">
        <f>'PAREDE-TETO'!M288</f>
        <v>0</v>
      </c>
      <c r="P80" s="19" t="str">
        <f t="shared" si="11"/>
        <v/>
      </c>
    </row>
    <row r="81" spans="2:16" x14ac:dyDescent="0.2">
      <c r="B81" s="61" t="str">
        <f t="shared" si="8"/>
        <v/>
      </c>
      <c r="C81" s="10">
        <v>73</v>
      </c>
      <c r="D81" s="40">
        <f>'PAREDE-TETO'!D289</f>
        <v>0</v>
      </c>
      <c r="E81" s="42">
        <f>'PAREDE-TETO'!E289</f>
        <v>0</v>
      </c>
      <c r="F81" s="41"/>
      <c r="G81" s="1" t="str">
        <f t="shared" si="9"/>
        <v>PIR</v>
      </c>
      <c r="H81" s="41"/>
      <c r="I81" s="41"/>
      <c r="J81" s="41"/>
      <c r="K81" s="41"/>
      <c r="L81" s="91" t="str">
        <f t="shared" ref="L81:L96" si="12">IF(OR(F81="",F81=0),"",(((D81/100)+(F81/1000))*((E81/100)+(F81/1000))))</f>
        <v/>
      </c>
      <c r="M81" s="91">
        <f t="shared" si="7"/>
        <v>0</v>
      </c>
      <c r="N81" s="98" t="str">
        <f t="shared" si="10"/>
        <v/>
      </c>
      <c r="O81" s="5">
        <f>'PAREDE-TETO'!M289</f>
        <v>0</v>
      </c>
      <c r="P81" s="19" t="str">
        <f t="shared" si="11"/>
        <v/>
      </c>
    </row>
    <row r="82" spans="2:16" x14ac:dyDescent="0.2">
      <c r="B82" s="61" t="str">
        <f t="shared" si="8"/>
        <v/>
      </c>
      <c r="C82" s="10">
        <v>74</v>
      </c>
      <c r="D82" s="40">
        <f>'PAREDE-TETO'!D290</f>
        <v>0</v>
      </c>
      <c r="E82" s="42">
        <f>'PAREDE-TETO'!E290</f>
        <v>0</v>
      </c>
      <c r="F82" s="41"/>
      <c r="G82" s="1" t="str">
        <f t="shared" si="9"/>
        <v>PIR</v>
      </c>
      <c r="H82" s="41"/>
      <c r="I82" s="41"/>
      <c r="J82" s="41"/>
      <c r="K82" s="41"/>
      <c r="L82" s="91" t="str">
        <f t="shared" si="12"/>
        <v/>
      </c>
      <c r="M82" s="91">
        <f t="shared" si="7"/>
        <v>0</v>
      </c>
      <c r="N82" s="98" t="str">
        <f t="shared" si="10"/>
        <v/>
      </c>
      <c r="O82" s="5">
        <f>'PAREDE-TETO'!M290</f>
        <v>0</v>
      </c>
      <c r="P82" s="19" t="str">
        <f t="shared" si="11"/>
        <v/>
      </c>
    </row>
    <row r="83" spans="2:16" x14ac:dyDescent="0.2">
      <c r="B83" s="61" t="str">
        <f t="shared" si="8"/>
        <v/>
      </c>
      <c r="C83" s="10">
        <v>75</v>
      </c>
      <c r="D83" s="40">
        <f>'PAREDE-TETO'!D291</f>
        <v>0</v>
      </c>
      <c r="E83" s="42">
        <f>'PAREDE-TETO'!E291</f>
        <v>0</v>
      </c>
      <c r="F83" s="41"/>
      <c r="G83" s="1" t="str">
        <f t="shared" si="9"/>
        <v>PIR</v>
      </c>
      <c r="H83" s="41"/>
      <c r="I83" s="41"/>
      <c r="J83" s="41"/>
      <c r="K83" s="41"/>
      <c r="L83" s="91" t="str">
        <f t="shared" si="12"/>
        <v/>
      </c>
      <c r="M83" s="91">
        <f t="shared" si="7"/>
        <v>0</v>
      </c>
      <c r="N83" s="98" t="str">
        <f t="shared" si="10"/>
        <v/>
      </c>
      <c r="O83" s="5">
        <f>'PAREDE-TETO'!M291</f>
        <v>0</v>
      </c>
      <c r="P83" s="19" t="str">
        <f t="shared" si="11"/>
        <v/>
      </c>
    </row>
    <row r="84" spans="2:16" x14ac:dyDescent="0.2">
      <c r="B84" s="61" t="str">
        <f t="shared" si="8"/>
        <v/>
      </c>
      <c r="C84" s="10">
        <v>76</v>
      </c>
      <c r="D84" s="40">
        <f>'PAREDE-TETO'!D292</f>
        <v>0</v>
      </c>
      <c r="E84" s="42">
        <f>'PAREDE-TETO'!E292</f>
        <v>0</v>
      </c>
      <c r="F84" s="41"/>
      <c r="G84" s="1" t="str">
        <f t="shared" si="9"/>
        <v>PIR</v>
      </c>
      <c r="H84" s="41"/>
      <c r="I84" s="41"/>
      <c r="J84" s="41"/>
      <c r="K84" s="41"/>
      <c r="L84" s="91" t="str">
        <f t="shared" si="12"/>
        <v/>
      </c>
      <c r="M84" s="91">
        <f t="shared" si="7"/>
        <v>0</v>
      </c>
      <c r="N84" s="98" t="str">
        <f t="shared" si="10"/>
        <v/>
      </c>
      <c r="O84" s="5">
        <f>'PAREDE-TETO'!M292</f>
        <v>0</v>
      </c>
      <c r="P84" s="19" t="str">
        <f t="shared" si="11"/>
        <v/>
      </c>
    </row>
    <row r="85" spans="2:16" x14ac:dyDescent="0.2">
      <c r="B85" s="61" t="str">
        <f t="shared" si="8"/>
        <v/>
      </c>
      <c r="C85" s="10">
        <v>77</v>
      </c>
      <c r="D85" s="40">
        <f>'PAREDE-TETO'!D293</f>
        <v>0</v>
      </c>
      <c r="E85" s="42">
        <f>'PAREDE-TETO'!E293</f>
        <v>0</v>
      </c>
      <c r="F85" s="41"/>
      <c r="G85" s="1" t="str">
        <f t="shared" si="9"/>
        <v>PIR</v>
      </c>
      <c r="H85" s="41"/>
      <c r="I85" s="41"/>
      <c r="J85" s="41"/>
      <c r="K85" s="41"/>
      <c r="L85" s="91" t="str">
        <f t="shared" si="12"/>
        <v/>
      </c>
      <c r="M85" s="91">
        <f t="shared" si="7"/>
        <v>0</v>
      </c>
      <c r="N85" s="98" t="str">
        <f t="shared" si="10"/>
        <v/>
      </c>
      <c r="O85" s="5">
        <f>'PAREDE-TETO'!M293</f>
        <v>0</v>
      </c>
      <c r="P85" s="19" t="str">
        <f t="shared" si="11"/>
        <v/>
      </c>
    </row>
    <row r="86" spans="2:16" x14ac:dyDescent="0.2">
      <c r="B86" s="61" t="str">
        <f t="shared" si="8"/>
        <v/>
      </c>
      <c r="C86" s="10">
        <v>78</v>
      </c>
      <c r="D86" s="40">
        <f>'PAREDE-TETO'!D294</f>
        <v>0</v>
      </c>
      <c r="E86" s="42">
        <f>'PAREDE-TETO'!E294</f>
        <v>0</v>
      </c>
      <c r="F86" s="41"/>
      <c r="G86" s="1" t="str">
        <f t="shared" si="9"/>
        <v>PIR</v>
      </c>
      <c r="H86" s="41"/>
      <c r="I86" s="41"/>
      <c r="J86" s="41"/>
      <c r="K86" s="41"/>
      <c r="L86" s="91" t="str">
        <f t="shared" si="12"/>
        <v/>
      </c>
      <c r="M86" s="91">
        <f t="shared" si="7"/>
        <v>0</v>
      </c>
      <c r="N86" s="98" t="str">
        <f t="shared" si="10"/>
        <v/>
      </c>
      <c r="O86" s="5">
        <f>'PAREDE-TETO'!M294</f>
        <v>0</v>
      </c>
      <c r="P86" s="19" t="str">
        <f t="shared" si="11"/>
        <v/>
      </c>
    </row>
    <row r="87" spans="2:16" x14ac:dyDescent="0.2">
      <c r="B87" s="61" t="str">
        <f t="shared" si="8"/>
        <v/>
      </c>
      <c r="C87" s="10">
        <v>79</v>
      </c>
      <c r="D87" s="40">
        <f>'PAREDE-TETO'!D295</f>
        <v>0</v>
      </c>
      <c r="E87" s="42">
        <f>'PAREDE-TETO'!E295</f>
        <v>0</v>
      </c>
      <c r="F87" s="41"/>
      <c r="G87" s="1" t="str">
        <f t="shared" si="9"/>
        <v>PIR</v>
      </c>
      <c r="H87" s="41"/>
      <c r="I87" s="41"/>
      <c r="J87" s="41"/>
      <c r="K87" s="41"/>
      <c r="L87" s="91" t="str">
        <f t="shared" si="12"/>
        <v/>
      </c>
      <c r="M87" s="91">
        <f t="shared" si="7"/>
        <v>0</v>
      </c>
      <c r="N87" s="98" t="str">
        <f t="shared" si="10"/>
        <v/>
      </c>
      <c r="O87" s="5">
        <f>'PAREDE-TETO'!M295</f>
        <v>0</v>
      </c>
      <c r="P87" s="19" t="str">
        <f t="shared" si="11"/>
        <v/>
      </c>
    </row>
    <row r="88" spans="2:16" x14ac:dyDescent="0.2">
      <c r="B88" s="61" t="str">
        <f t="shared" si="8"/>
        <v/>
      </c>
      <c r="C88" s="10">
        <v>80</v>
      </c>
      <c r="D88" s="40">
        <f>'PAREDE-TETO'!D296</f>
        <v>0</v>
      </c>
      <c r="E88" s="42">
        <f>'PAREDE-TETO'!E296</f>
        <v>0</v>
      </c>
      <c r="F88" s="41"/>
      <c r="G88" s="1" t="str">
        <f t="shared" si="9"/>
        <v>PIR</v>
      </c>
      <c r="H88" s="41"/>
      <c r="I88" s="41"/>
      <c r="J88" s="41"/>
      <c r="K88" s="41"/>
      <c r="L88" s="91" t="str">
        <f t="shared" si="12"/>
        <v/>
      </c>
      <c r="M88" s="91">
        <f t="shared" si="7"/>
        <v>0</v>
      </c>
      <c r="N88" s="98" t="str">
        <f t="shared" si="10"/>
        <v/>
      </c>
      <c r="O88" s="5">
        <f>'PAREDE-TETO'!M296</f>
        <v>0</v>
      </c>
      <c r="P88" s="19" t="str">
        <f t="shared" si="11"/>
        <v/>
      </c>
    </row>
    <row r="89" spans="2:16" x14ac:dyDescent="0.2">
      <c r="B89" s="61" t="str">
        <f t="shared" si="8"/>
        <v/>
      </c>
      <c r="C89" s="10">
        <v>81</v>
      </c>
      <c r="D89" s="40">
        <f>'PAREDE-TETO'!D297</f>
        <v>0</v>
      </c>
      <c r="E89" s="42">
        <f>'PAREDE-TETO'!E297</f>
        <v>0</v>
      </c>
      <c r="F89" s="41"/>
      <c r="G89" s="1" t="str">
        <f t="shared" si="9"/>
        <v>PIR</v>
      </c>
      <c r="H89" s="41"/>
      <c r="I89" s="41"/>
      <c r="J89" s="41"/>
      <c r="K89" s="41"/>
      <c r="L89" s="91" t="str">
        <f t="shared" si="12"/>
        <v/>
      </c>
      <c r="M89" s="91">
        <f t="shared" si="7"/>
        <v>0</v>
      </c>
      <c r="N89" s="98" t="str">
        <f t="shared" si="10"/>
        <v/>
      </c>
      <c r="O89" s="5">
        <f>'PAREDE-TETO'!M297</f>
        <v>0</v>
      </c>
      <c r="P89" s="19" t="str">
        <f t="shared" si="11"/>
        <v/>
      </c>
    </row>
    <row r="90" spans="2:16" x14ac:dyDescent="0.2">
      <c r="B90" s="61" t="str">
        <f t="shared" si="8"/>
        <v/>
      </c>
      <c r="C90" s="10">
        <v>82</v>
      </c>
      <c r="D90" s="40">
        <f>'PAREDE-TETO'!D298</f>
        <v>0</v>
      </c>
      <c r="E90" s="42">
        <f>'PAREDE-TETO'!E298</f>
        <v>0</v>
      </c>
      <c r="F90" s="41"/>
      <c r="G90" s="1" t="str">
        <f t="shared" si="9"/>
        <v>PIR</v>
      </c>
      <c r="H90" s="41"/>
      <c r="I90" s="41"/>
      <c r="J90" s="41"/>
      <c r="K90" s="41"/>
      <c r="L90" s="91" t="str">
        <f t="shared" si="12"/>
        <v/>
      </c>
      <c r="M90" s="91">
        <f t="shared" si="7"/>
        <v>0</v>
      </c>
      <c r="N90" s="98" t="str">
        <f t="shared" si="10"/>
        <v/>
      </c>
      <c r="O90" s="5">
        <f>'PAREDE-TETO'!M298</f>
        <v>0</v>
      </c>
      <c r="P90" s="19" t="str">
        <f t="shared" si="11"/>
        <v/>
      </c>
    </row>
    <row r="91" spans="2:16" x14ac:dyDescent="0.2">
      <c r="B91" s="61" t="str">
        <f t="shared" si="8"/>
        <v/>
      </c>
      <c r="C91" s="10">
        <v>83</v>
      </c>
      <c r="D91" s="40">
        <f>'PAREDE-TETO'!D299</f>
        <v>0</v>
      </c>
      <c r="E91" s="42">
        <f>'PAREDE-TETO'!E299</f>
        <v>0</v>
      </c>
      <c r="F91" s="41"/>
      <c r="G91" s="1" t="str">
        <f t="shared" si="9"/>
        <v>PIR</v>
      </c>
      <c r="H91" s="41"/>
      <c r="I91" s="41"/>
      <c r="J91" s="41"/>
      <c r="K91" s="41"/>
      <c r="L91" s="91" t="str">
        <f t="shared" si="12"/>
        <v/>
      </c>
      <c r="M91" s="91">
        <f t="shared" si="7"/>
        <v>0</v>
      </c>
      <c r="N91" s="98" t="str">
        <f t="shared" si="10"/>
        <v/>
      </c>
      <c r="O91" s="5">
        <f>'PAREDE-TETO'!M299</f>
        <v>0</v>
      </c>
      <c r="P91" s="19" t="str">
        <f t="shared" si="11"/>
        <v/>
      </c>
    </row>
    <row r="92" spans="2:16" x14ac:dyDescent="0.2">
      <c r="B92" s="61" t="str">
        <f t="shared" si="8"/>
        <v/>
      </c>
      <c r="C92" s="10">
        <v>84</v>
      </c>
      <c r="D92" s="40">
        <f>'PAREDE-TETO'!D300</f>
        <v>0</v>
      </c>
      <c r="E92" s="42">
        <f>'PAREDE-TETO'!E300</f>
        <v>0</v>
      </c>
      <c r="F92" s="41"/>
      <c r="G92" s="1" t="str">
        <f t="shared" si="9"/>
        <v>PIR</v>
      </c>
      <c r="H92" s="41"/>
      <c r="I92" s="41"/>
      <c r="J92" s="41"/>
      <c r="K92" s="41"/>
      <c r="L92" s="91" t="str">
        <f t="shared" si="12"/>
        <v/>
      </c>
      <c r="M92" s="91">
        <f t="shared" si="7"/>
        <v>0</v>
      </c>
      <c r="N92" s="98" t="str">
        <f t="shared" si="10"/>
        <v/>
      </c>
      <c r="O92" s="5">
        <f>'PAREDE-TETO'!M300</f>
        <v>0</v>
      </c>
      <c r="P92" s="19" t="str">
        <f t="shared" si="11"/>
        <v/>
      </c>
    </row>
    <row r="93" spans="2:16" x14ac:dyDescent="0.2">
      <c r="B93" s="61" t="str">
        <f t="shared" si="8"/>
        <v/>
      </c>
      <c r="C93" s="10">
        <v>85</v>
      </c>
      <c r="D93" s="40">
        <f>'PAREDE-TETO'!D301</f>
        <v>0</v>
      </c>
      <c r="E93" s="42">
        <f>'PAREDE-TETO'!E301</f>
        <v>0</v>
      </c>
      <c r="F93" s="41"/>
      <c r="G93" s="1" t="str">
        <f t="shared" si="9"/>
        <v>PIR</v>
      </c>
      <c r="H93" s="41"/>
      <c r="I93" s="41"/>
      <c r="J93" s="41"/>
      <c r="K93" s="41"/>
      <c r="L93" s="91" t="str">
        <f t="shared" si="12"/>
        <v/>
      </c>
      <c r="M93" s="91">
        <f t="shared" si="7"/>
        <v>0</v>
      </c>
      <c r="N93" s="98" t="str">
        <f t="shared" si="10"/>
        <v/>
      </c>
      <c r="O93" s="5">
        <f>'PAREDE-TETO'!M301</f>
        <v>0</v>
      </c>
      <c r="P93" s="19" t="str">
        <f t="shared" si="11"/>
        <v/>
      </c>
    </row>
    <row r="94" spans="2:16" x14ac:dyDescent="0.2">
      <c r="B94" s="61" t="str">
        <f t="shared" si="8"/>
        <v/>
      </c>
      <c r="C94" s="10">
        <v>86</v>
      </c>
      <c r="D94" s="40">
        <f>'PAREDE-TETO'!D302</f>
        <v>0</v>
      </c>
      <c r="E94" s="42">
        <f>'PAREDE-TETO'!E302</f>
        <v>0</v>
      </c>
      <c r="F94" s="41"/>
      <c r="G94" s="1" t="str">
        <f t="shared" si="9"/>
        <v>PIR</v>
      </c>
      <c r="H94" s="41"/>
      <c r="I94" s="41"/>
      <c r="J94" s="41"/>
      <c r="K94" s="41"/>
      <c r="L94" s="91" t="str">
        <f t="shared" si="12"/>
        <v/>
      </c>
      <c r="M94" s="91">
        <f t="shared" si="7"/>
        <v>0</v>
      </c>
      <c r="N94" s="98" t="str">
        <f t="shared" si="10"/>
        <v/>
      </c>
      <c r="O94" s="5">
        <f>'PAREDE-TETO'!M302</f>
        <v>0</v>
      </c>
      <c r="P94" s="19" t="str">
        <f t="shared" si="11"/>
        <v/>
      </c>
    </row>
    <row r="95" spans="2:16" x14ac:dyDescent="0.2">
      <c r="B95" s="61" t="str">
        <f t="shared" si="8"/>
        <v/>
      </c>
      <c r="C95" s="10">
        <v>87</v>
      </c>
      <c r="D95" s="40">
        <f>'PAREDE-TETO'!D303</f>
        <v>0</v>
      </c>
      <c r="E95" s="42">
        <f>'PAREDE-TETO'!E303</f>
        <v>0</v>
      </c>
      <c r="F95" s="41"/>
      <c r="G95" s="1" t="str">
        <f t="shared" si="9"/>
        <v>PIR</v>
      </c>
      <c r="H95" s="41"/>
      <c r="I95" s="41"/>
      <c r="J95" s="41"/>
      <c r="K95" s="41"/>
      <c r="L95" s="91" t="str">
        <f t="shared" si="12"/>
        <v/>
      </c>
      <c r="M95" s="91">
        <f t="shared" si="7"/>
        <v>0</v>
      </c>
      <c r="N95" s="98" t="str">
        <f t="shared" si="10"/>
        <v/>
      </c>
      <c r="O95" s="5">
        <f>'PAREDE-TETO'!M303</f>
        <v>0</v>
      </c>
      <c r="P95" s="19" t="str">
        <f t="shared" si="11"/>
        <v/>
      </c>
    </row>
    <row r="96" spans="2:16" x14ac:dyDescent="0.2">
      <c r="B96" s="61" t="str">
        <f t="shared" si="8"/>
        <v/>
      </c>
      <c r="C96" s="10">
        <v>88</v>
      </c>
      <c r="D96" s="40">
        <f>'PAREDE-TETO'!D304</f>
        <v>0</v>
      </c>
      <c r="E96" s="42">
        <f>'PAREDE-TETO'!E304</f>
        <v>0</v>
      </c>
      <c r="F96" s="41"/>
      <c r="G96" s="1" t="str">
        <f t="shared" si="9"/>
        <v>PIR</v>
      </c>
      <c r="H96" s="41"/>
      <c r="I96" s="41"/>
      <c r="J96" s="41"/>
      <c r="K96" s="41"/>
      <c r="L96" s="91" t="str">
        <f t="shared" si="12"/>
        <v/>
      </c>
      <c r="M96" s="91">
        <f t="shared" si="7"/>
        <v>0</v>
      </c>
      <c r="N96" s="98" t="str">
        <f t="shared" si="10"/>
        <v/>
      </c>
      <c r="O96" s="5">
        <f>'PAREDE-TETO'!M304</f>
        <v>0</v>
      </c>
      <c r="P96" s="19" t="str">
        <f t="shared" si="11"/>
        <v/>
      </c>
    </row>
    <row r="97" spans="2:16" x14ac:dyDescent="0.2">
      <c r="B97" s="61" t="str">
        <f t="shared" si="8"/>
        <v/>
      </c>
      <c r="C97" s="10">
        <v>89</v>
      </c>
      <c r="D97" s="40">
        <f>'PAREDE-TETO'!D305</f>
        <v>0</v>
      </c>
      <c r="E97" s="42">
        <f>'PAREDE-TETO'!E305</f>
        <v>0</v>
      </c>
      <c r="F97" s="41"/>
      <c r="G97" s="1" t="str">
        <f t="shared" si="9"/>
        <v>PIR</v>
      </c>
      <c r="H97" s="41"/>
      <c r="I97" s="41"/>
      <c r="J97" s="41"/>
      <c r="K97" s="41"/>
      <c r="L97" s="91" t="str">
        <f>IF(OR(F97="",F97=0),"",(((D97/100)+(F97/1000))*((E97/100)+(F97/1000))))</f>
        <v/>
      </c>
      <c r="M97" s="91">
        <f t="shared" si="7"/>
        <v>0</v>
      </c>
      <c r="N97" s="98" t="str">
        <f t="shared" si="10"/>
        <v/>
      </c>
      <c r="O97" s="5">
        <f>'PAREDE-TETO'!M305</f>
        <v>0</v>
      </c>
      <c r="P97" s="19" t="str">
        <f t="shared" si="11"/>
        <v/>
      </c>
    </row>
    <row r="98" spans="2:16" x14ac:dyDescent="0.2">
      <c r="B98" s="61" t="str">
        <f t="shared" si="8"/>
        <v/>
      </c>
      <c r="C98" s="10">
        <v>90</v>
      </c>
      <c r="D98" s="40">
        <f>'PAREDE-TETO'!D306</f>
        <v>0</v>
      </c>
      <c r="E98" s="42">
        <f>'PAREDE-TETO'!E306</f>
        <v>0</v>
      </c>
      <c r="F98" s="41"/>
      <c r="G98" s="1" t="str">
        <f t="shared" si="9"/>
        <v>PIR</v>
      </c>
      <c r="H98" s="41"/>
      <c r="I98" s="41"/>
      <c r="J98" s="41"/>
      <c r="K98" s="41"/>
      <c r="L98" s="91" t="str">
        <f t="shared" si="2"/>
        <v/>
      </c>
      <c r="M98" s="91">
        <f t="shared" si="3"/>
        <v>0</v>
      </c>
      <c r="N98" s="98" t="str">
        <f t="shared" si="10"/>
        <v/>
      </c>
      <c r="O98" s="5">
        <f>'PAREDE-TETO'!M306</f>
        <v>0</v>
      </c>
      <c r="P98" s="19" t="str">
        <f t="shared" si="11"/>
        <v/>
      </c>
    </row>
    <row r="99" spans="2:16" x14ac:dyDescent="0.2">
      <c r="B99" s="61" t="str">
        <f t="shared" si="8"/>
        <v/>
      </c>
      <c r="C99" s="10">
        <v>91</v>
      </c>
      <c r="D99" s="40">
        <f>'PAREDE-TETO'!D307</f>
        <v>0</v>
      </c>
      <c r="E99" s="42">
        <f>'PAREDE-TETO'!E307</f>
        <v>0</v>
      </c>
      <c r="F99" s="41"/>
      <c r="G99" s="1" t="str">
        <f t="shared" si="9"/>
        <v>PIR</v>
      </c>
      <c r="H99" s="41"/>
      <c r="I99" s="41"/>
      <c r="J99" s="41"/>
      <c r="K99" s="41"/>
      <c r="L99" s="91" t="str">
        <f t="shared" si="2"/>
        <v/>
      </c>
      <c r="M99" s="91">
        <f t="shared" si="3"/>
        <v>0</v>
      </c>
      <c r="N99" s="98" t="str">
        <f t="shared" si="10"/>
        <v/>
      </c>
      <c r="O99" s="5">
        <f>'PAREDE-TETO'!M307</f>
        <v>0</v>
      </c>
      <c r="P99" s="19" t="str">
        <f t="shared" si="11"/>
        <v/>
      </c>
    </row>
    <row r="100" spans="2:16" x14ac:dyDescent="0.2">
      <c r="B100" s="61" t="str">
        <f t="shared" si="8"/>
        <v/>
      </c>
      <c r="C100" s="10">
        <v>92</v>
      </c>
      <c r="D100" s="40">
        <f>'PAREDE-TETO'!D308</f>
        <v>0</v>
      </c>
      <c r="E100" s="42">
        <f>'PAREDE-TETO'!E308</f>
        <v>0</v>
      </c>
      <c r="F100" s="41"/>
      <c r="G100" s="1" t="str">
        <f t="shared" si="9"/>
        <v>PIR</v>
      </c>
      <c r="H100" s="41"/>
      <c r="I100" s="41"/>
      <c r="J100" s="41"/>
      <c r="K100" s="41"/>
      <c r="L100" s="91" t="str">
        <f t="shared" si="2"/>
        <v/>
      </c>
      <c r="M100" s="91">
        <f t="shared" si="3"/>
        <v>0</v>
      </c>
      <c r="N100" s="98" t="str">
        <f t="shared" si="10"/>
        <v/>
      </c>
      <c r="O100" s="5">
        <f>'PAREDE-TETO'!M308</f>
        <v>0</v>
      </c>
      <c r="P100" s="19" t="str">
        <f t="shared" si="11"/>
        <v/>
      </c>
    </row>
    <row r="101" spans="2:16" x14ac:dyDescent="0.2">
      <c r="B101" s="61" t="str">
        <f t="shared" si="8"/>
        <v/>
      </c>
      <c r="C101" s="10">
        <v>93</v>
      </c>
      <c r="D101" s="40">
        <f>'PAREDE-TETO'!D309</f>
        <v>0</v>
      </c>
      <c r="E101" s="42">
        <f>'PAREDE-TETO'!E309</f>
        <v>0</v>
      </c>
      <c r="F101" s="41"/>
      <c r="G101" s="1" t="str">
        <f t="shared" si="9"/>
        <v>PIR</v>
      </c>
      <c r="H101" s="41"/>
      <c r="I101" s="41"/>
      <c r="J101" s="41"/>
      <c r="K101" s="41"/>
      <c r="L101" s="91" t="str">
        <f t="shared" si="2"/>
        <v/>
      </c>
      <c r="M101" s="91">
        <f t="shared" si="3"/>
        <v>0</v>
      </c>
      <c r="N101" s="98" t="str">
        <f t="shared" si="10"/>
        <v/>
      </c>
      <c r="O101" s="5">
        <f>'PAREDE-TETO'!M309</f>
        <v>0</v>
      </c>
      <c r="P101" s="19" t="str">
        <f t="shared" si="11"/>
        <v/>
      </c>
    </row>
    <row r="102" spans="2:16" x14ac:dyDescent="0.2">
      <c r="B102" s="61" t="str">
        <f t="shared" si="8"/>
        <v/>
      </c>
      <c r="C102" s="10">
        <v>94</v>
      </c>
      <c r="D102" s="40">
        <f>'PAREDE-TETO'!D310</f>
        <v>0</v>
      </c>
      <c r="E102" s="42">
        <f>'PAREDE-TETO'!E310</f>
        <v>0</v>
      </c>
      <c r="F102" s="41"/>
      <c r="G102" s="1" t="str">
        <f t="shared" si="9"/>
        <v>PIR</v>
      </c>
      <c r="H102" s="41"/>
      <c r="I102" s="41"/>
      <c r="J102" s="41"/>
      <c r="K102" s="41"/>
      <c r="L102" s="91" t="str">
        <f t="shared" si="2"/>
        <v/>
      </c>
      <c r="M102" s="91">
        <f t="shared" si="3"/>
        <v>0</v>
      </c>
      <c r="N102" s="98" t="str">
        <f t="shared" si="10"/>
        <v/>
      </c>
      <c r="O102" s="5">
        <f>'PAREDE-TETO'!M310</f>
        <v>0</v>
      </c>
      <c r="P102" s="19" t="str">
        <f t="shared" si="11"/>
        <v/>
      </c>
    </row>
    <row r="103" spans="2:16" x14ac:dyDescent="0.2">
      <c r="B103" s="61" t="str">
        <f t="shared" si="8"/>
        <v/>
      </c>
      <c r="C103" s="10">
        <v>95</v>
      </c>
      <c r="D103" s="40">
        <f>'PAREDE-TETO'!D311</f>
        <v>0</v>
      </c>
      <c r="E103" s="42">
        <f>'PAREDE-TETO'!E311</f>
        <v>0</v>
      </c>
      <c r="F103" s="41"/>
      <c r="G103" s="1" t="str">
        <f t="shared" si="9"/>
        <v>PIR</v>
      </c>
      <c r="H103" s="41"/>
      <c r="I103" s="41"/>
      <c r="J103" s="41"/>
      <c r="K103" s="41"/>
      <c r="L103" s="91" t="str">
        <f t="shared" si="2"/>
        <v/>
      </c>
      <c r="M103" s="91">
        <f t="shared" si="3"/>
        <v>0</v>
      </c>
      <c r="N103" s="98" t="str">
        <f t="shared" si="10"/>
        <v/>
      </c>
      <c r="O103" s="5">
        <f>'PAREDE-TETO'!M311</f>
        <v>0</v>
      </c>
      <c r="P103" s="19" t="str">
        <f t="shared" si="11"/>
        <v/>
      </c>
    </row>
    <row r="104" spans="2:16" x14ac:dyDescent="0.2">
      <c r="B104" s="61" t="str">
        <f t="shared" si="8"/>
        <v/>
      </c>
      <c r="C104" s="10">
        <v>96</v>
      </c>
      <c r="D104" s="40">
        <f>'PAREDE-TETO'!D312</f>
        <v>0</v>
      </c>
      <c r="E104" s="42">
        <f>'PAREDE-TETO'!E312</f>
        <v>0</v>
      </c>
      <c r="F104" s="41"/>
      <c r="G104" s="1" t="str">
        <f t="shared" si="9"/>
        <v>PIR</v>
      </c>
      <c r="H104" s="41"/>
      <c r="I104" s="41"/>
      <c r="J104" s="41"/>
      <c r="K104" s="41"/>
      <c r="L104" s="91" t="str">
        <f>IF(OR(F104="",F104=0),"",(((D104/100)+(F104/1000))*((E104/100)+(F104/1000))))</f>
        <v/>
      </c>
      <c r="M104" s="91">
        <f>SUM(H104:K104)/4</f>
        <v>0</v>
      </c>
      <c r="N104" s="98" t="str">
        <f t="shared" si="10"/>
        <v/>
      </c>
      <c r="O104" s="5">
        <f>'PAREDE-TETO'!M312</f>
        <v>0</v>
      </c>
      <c r="P104" s="19" t="str">
        <f t="shared" si="11"/>
        <v/>
      </c>
    </row>
    <row r="105" spans="2:16" x14ac:dyDescent="0.2">
      <c r="B105" s="61" t="str">
        <f t="shared" si="8"/>
        <v/>
      </c>
      <c r="C105" s="10">
        <v>97</v>
      </c>
      <c r="D105" s="40">
        <f>'PAREDE-TETO'!D313</f>
        <v>0</v>
      </c>
      <c r="E105" s="42">
        <f>'PAREDE-TETO'!E313</f>
        <v>0</v>
      </c>
      <c r="F105" s="41"/>
      <c r="G105" s="1" t="str">
        <f t="shared" si="9"/>
        <v>PIR</v>
      </c>
      <c r="H105" s="41"/>
      <c r="I105" s="41"/>
      <c r="J105" s="41"/>
      <c r="K105" s="41"/>
      <c r="L105" s="91" t="str">
        <f>IF(OR(F105="",F105=0),"",(((D105/100)+(F105/1000))*((E105/100)+(F105/1000))))</f>
        <v/>
      </c>
      <c r="M105" s="91">
        <f>SUM(H105:K105)/4</f>
        <v>0</v>
      </c>
      <c r="N105" s="98" t="str">
        <f t="shared" si="10"/>
        <v/>
      </c>
      <c r="O105" s="5">
        <f>'PAREDE-TETO'!M313</f>
        <v>0</v>
      </c>
      <c r="P105" s="19" t="str">
        <f t="shared" si="11"/>
        <v/>
      </c>
    </row>
    <row r="106" spans="2:16" x14ac:dyDescent="0.2">
      <c r="B106" s="61" t="str">
        <f t="shared" si="8"/>
        <v/>
      </c>
      <c r="C106" s="10">
        <v>98</v>
      </c>
      <c r="D106" s="40">
        <f>'PAREDE-TETO'!D314</f>
        <v>0</v>
      </c>
      <c r="E106" s="42">
        <f>'PAREDE-TETO'!E314</f>
        <v>0</v>
      </c>
      <c r="F106" s="41"/>
      <c r="G106" s="1" t="str">
        <f t="shared" si="9"/>
        <v>PIR</v>
      </c>
      <c r="H106" s="41"/>
      <c r="I106" s="41"/>
      <c r="J106" s="41"/>
      <c r="K106" s="41"/>
      <c r="L106" s="91" t="str">
        <f>IF(OR(F106="",F106=0),"",(((D106/100)+(F106/1000))*((E106/100)+(F106/1000))))</f>
        <v/>
      </c>
      <c r="M106" s="91">
        <f>SUM(H106:K106)/4</f>
        <v>0</v>
      </c>
      <c r="N106" s="98" t="str">
        <f t="shared" si="10"/>
        <v/>
      </c>
      <c r="O106" s="5">
        <f>'PAREDE-TETO'!M314</f>
        <v>0</v>
      </c>
      <c r="P106" s="19" t="str">
        <f t="shared" si="11"/>
        <v/>
      </c>
    </row>
    <row r="107" spans="2:16" x14ac:dyDescent="0.2">
      <c r="B107" s="61" t="str">
        <f t="shared" si="8"/>
        <v/>
      </c>
      <c r="C107" s="10">
        <v>99</v>
      </c>
      <c r="D107" s="40">
        <f>'PAREDE-TETO'!D315</f>
        <v>0</v>
      </c>
      <c r="E107" s="42">
        <f>'PAREDE-TETO'!E315</f>
        <v>0</v>
      </c>
      <c r="F107" s="41"/>
      <c r="G107" s="1" t="str">
        <f t="shared" si="9"/>
        <v>PIR</v>
      </c>
      <c r="H107" s="41"/>
      <c r="I107" s="41"/>
      <c r="J107" s="41"/>
      <c r="K107" s="41"/>
      <c r="L107" s="91" t="str">
        <f>IF(OR(F107="",F107=0),"",(((D107/100)+(F107/1000))*((E107/100)+(F107/1000))))</f>
        <v/>
      </c>
      <c r="M107" s="91">
        <f>SUM(H107:K107)/4</f>
        <v>0</v>
      </c>
      <c r="N107" s="98" t="str">
        <f t="shared" si="10"/>
        <v/>
      </c>
      <c r="O107" s="5">
        <f>'PAREDE-TETO'!M315</f>
        <v>0</v>
      </c>
      <c r="P107" s="19" t="str">
        <f t="shared" si="11"/>
        <v/>
      </c>
    </row>
    <row r="108" spans="2:16" ht="13.5" thickBot="1" x14ac:dyDescent="0.25">
      <c r="B108" s="75" t="str">
        <f t="shared" si="8"/>
        <v/>
      </c>
      <c r="C108" s="52">
        <v>100</v>
      </c>
      <c r="D108" s="40">
        <f>'PAREDE-TETO'!D316</f>
        <v>0</v>
      </c>
      <c r="E108" s="42">
        <f>'PAREDE-TETO'!E316</f>
        <v>0</v>
      </c>
      <c r="F108" s="24"/>
      <c r="G108" s="1" t="str">
        <f t="shared" si="9"/>
        <v>PIR</v>
      </c>
      <c r="H108" s="24"/>
      <c r="I108" s="24"/>
      <c r="J108" s="24"/>
      <c r="K108" s="24"/>
      <c r="L108" s="94" t="str">
        <f>IF(OR(F108="",F108=0),"",(((D108/100)+(F108/1000))*((E108/100)+(F108/1000))))</f>
        <v/>
      </c>
      <c r="M108" s="94">
        <f>SUM(H108:K108)/4</f>
        <v>0</v>
      </c>
      <c r="N108" s="99" t="str">
        <f t="shared" si="10"/>
        <v/>
      </c>
      <c r="O108" s="79">
        <f>'PAREDE-TETO'!M316</f>
        <v>0</v>
      </c>
      <c r="P108" s="19" t="str">
        <f t="shared" si="11"/>
        <v/>
      </c>
    </row>
    <row r="109" spans="2:16" x14ac:dyDescent="0.2">
      <c r="C109" s="64"/>
      <c r="D109" s="64"/>
      <c r="E109" s="64"/>
      <c r="F109" s="64"/>
      <c r="G109" s="64"/>
      <c r="H109" s="64"/>
      <c r="I109" s="64"/>
      <c r="J109" s="64"/>
      <c r="K109" s="64"/>
      <c r="L109" s="64"/>
      <c r="M109" s="64"/>
      <c r="N109" s="100"/>
      <c r="O109" s="64"/>
    </row>
    <row r="111" spans="2:16" ht="30" customHeight="1" x14ac:dyDescent="0.2">
      <c r="E111" s="101" t="s">
        <v>22</v>
      </c>
      <c r="F111" s="51" t="s">
        <v>23</v>
      </c>
      <c r="G111" s="51" t="s">
        <v>13</v>
      </c>
    </row>
    <row r="112" spans="2:16" ht="12.75" customHeight="1" x14ac:dyDescent="0.2">
      <c r="C112" s="65"/>
      <c r="E112" s="13" t="s">
        <v>203</v>
      </c>
      <c r="F112" s="11">
        <f>IF($G$9="EPS",SUM($M$9:$M$108),0)</f>
        <v>0</v>
      </c>
      <c r="G112" s="12">
        <f t="shared" ref="G112" si="13">SUMIF($N$9:$N$108,E112,$L$9:$L$108)</f>
        <v>0</v>
      </c>
    </row>
    <row r="113" spans="5:7" ht="12.75" customHeight="1" x14ac:dyDescent="0.2">
      <c r="E113" s="13" t="s">
        <v>204</v>
      </c>
      <c r="F113" s="11" t="s">
        <v>24</v>
      </c>
      <c r="G113" s="12">
        <f t="shared" ref="G113:G129" si="14">SUMIF($N$9:$N$108,E113,$L$9:$L$108)</f>
        <v>0</v>
      </c>
    </row>
    <row r="114" spans="5:7" ht="12.75" customHeight="1" x14ac:dyDescent="0.2">
      <c r="E114" s="13" t="s">
        <v>213</v>
      </c>
      <c r="F114" s="11" t="s">
        <v>24</v>
      </c>
      <c r="G114" s="12">
        <f t="shared" si="14"/>
        <v>0</v>
      </c>
    </row>
    <row r="115" spans="5:7" ht="12.75" customHeight="1" x14ac:dyDescent="0.2">
      <c r="E115" s="145" t="s">
        <v>458</v>
      </c>
      <c r="F115" s="11" t="s">
        <v>24</v>
      </c>
      <c r="G115" s="12">
        <f t="shared" si="14"/>
        <v>0</v>
      </c>
    </row>
    <row r="116" spans="5:7" ht="12.75" customHeight="1" x14ac:dyDescent="0.2">
      <c r="E116" s="145" t="s">
        <v>454</v>
      </c>
      <c r="F116" s="11" t="s">
        <v>24</v>
      </c>
      <c r="G116" s="12">
        <f t="shared" si="14"/>
        <v>0</v>
      </c>
    </row>
    <row r="117" spans="5:7" ht="13.5" customHeight="1" x14ac:dyDescent="0.2">
      <c r="E117" s="13" t="s">
        <v>232</v>
      </c>
      <c r="F117" s="11">
        <f>IF($G$9="PIR",SUM($M$9:$M$108),0)</f>
        <v>0</v>
      </c>
      <c r="G117" s="12">
        <f t="shared" si="14"/>
        <v>0</v>
      </c>
    </row>
    <row r="118" spans="5:7" x14ac:dyDescent="0.2">
      <c r="E118" s="13" t="s">
        <v>233</v>
      </c>
      <c r="F118" s="11" t="s">
        <v>24</v>
      </c>
      <c r="G118" s="12">
        <f t="shared" si="14"/>
        <v>0</v>
      </c>
    </row>
    <row r="119" spans="5:7" x14ac:dyDescent="0.2">
      <c r="E119" s="145" t="s">
        <v>456</v>
      </c>
      <c r="F119" s="11" t="s">
        <v>24</v>
      </c>
      <c r="G119" s="12">
        <f t="shared" si="14"/>
        <v>0</v>
      </c>
    </row>
    <row r="120" spans="5:7" x14ac:dyDescent="0.2">
      <c r="E120" s="13" t="s">
        <v>234</v>
      </c>
      <c r="F120" s="11" t="s">
        <v>24</v>
      </c>
      <c r="G120" s="12">
        <f t="shared" si="14"/>
        <v>0</v>
      </c>
    </row>
    <row r="121" spans="5:7" x14ac:dyDescent="0.2">
      <c r="E121" s="13" t="s">
        <v>235</v>
      </c>
      <c r="F121" s="11" t="s">
        <v>24</v>
      </c>
      <c r="G121" s="12">
        <f t="shared" si="14"/>
        <v>0</v>
      </c>
    </row>
    <row r="122" spans="5:7" x14ac:dyDescent="0.2">
      <c r="E122" s="13" t="s">
        <v>236</v>
      </c>
      <c r="F122" s="11" t="s">
        <v>24</v>
      </c>
      <c r="G122" s="12">
        <f t="shared" si="14"/>
        <v>0</v>
      </c>
    </row>
    <row r="123" spans="5:7" x14ac:dyDescent="0.2">
      <c r="E123" s="145" t="s">
        <v>455</v>
      </c>
      <c r="F123" s="11" t="s">
        <v>24</v>
      </c>
      <c r="G123" s="12">
        <f t="shared" si="14"/>
        <v>0</v>
      </c>
    </row>
    <row r="124" spans="5:7" x14ac:dyDescent="0.2">
      <c r="E124" s="13" t="s">
        <v>212</v>
      </c>
      <c r="F124" s="11">
        <f>IF($G$9="PUR",SUM($M$9:$M$108),0)</f>
        <v>0</v>
      </c>
      <c r="G124" s="12">
        <f t="shared" si="14"/>
        <v>0</v>
      </c>
    </row>
    <row r="125" spans="5:7" x14ac:dyDescent="0.2">
      <c r="E125" s="13" t="s">
        <v>211</v>
      </c>
      <c r="F125" s="11" t="s">
        <v>24</v>
      </c>
      <c r="G125" s="12">
        <f t="shared" si="14"/>
        <v>0</v>
      </c>
    </row>
    <row r="126" spans="5:7" x14ac:dyDescent="0.2">
      <c r="E126" s="145" t="s">
        <v>457</v>
      </c>
      <c r="F126" s="11" t="s">
        <v>24</v>
      </c>
      <c r="G126" s="12">
        <f t="shared" si="14"/>
        <v>0</v>
      </c>
    </row>
    <row r="127" spans="5:7" x14ac:dyDescent="0.2">
      <c r="E127" s="13" t="s">
        <v>25</v>
      </c>
      <c r="F127" s="11" t="s">
        <v>24</v>
      </c>
      <c r="G127" s="12">
        <f t="shared" si="14"/>
        <v>0</v>
      </c>
    </row>
    <row r="128" spans="5:7" x14ac:dyDescent="0.2">
      <c r="E128" s="13" t="s">
        <v>26</v>
      </c>
      <c r="F128" s="11" t="s">
        <v>24</v>
      </c>
      <c r="G128" s="12">
        <f t="shared" si="14"/>
        <v>0</v>
      </c>
    </row>
    <row r="129" spans="5:7" x14ac:dyDescent="0.2">
      <c r="E129" s="13" t="s">
        <v>27</v>
      </c>
      <c r="F129" s="11" t="s">
        <v>24</v>
      </c>
      <c r="G129" s="12">
        <f t="shared" si="14"/>
        <v>0</v>
      </c>
    </row>
  </sheetData>
  <autoFilter ref="B6:B108" xr:uid="{00000000-0009-0000-0000-000003000000}"/>
  <mergeCells count="13">
    <mergeCell ref="C7:C8"/>
    <mergeCell ref="D7:D8"/>
    <mergeCell ref="E7:E8"/>
    <mergeCell ref="F7:F8"/>
    <mergeCell ref="C6:O6"/>
    <mergeCell ref="H7:K7"/>
    <mergeCell ref="D4:G4"/>
    <mergeCell ref="O7:O8"/>
    <mergeCell ref="I2:J2"/>
    <mergeCell ref="I3:J3"/>
    <mergeCell ref="D2:G2"/>
    <mergeCell ref="D3:G3"/>
    <mergeCell ref="M3:M4"/>
  </mergeCells>
  <phoneticPr fontId="0" type="noConversion"/>
  <conditionalFormatting sqref="M3:M4">
    <cfRule type="cellIs" dxfId="5" priority="1" operator="equal">
      <formula>"OK"</formula>
    </cfRule>
  </conditionalFormatting>
  <dataValidations count="2">
    <dataValidation type="list" allowBlank="1" showInputMessage="1" showErrorMessage="1" sqref="G8" xr:uid="{00000000-0002-0000-0300-000000000000}">
      <formula1>"EPS,PIR,PUR"</formula1>
    </dataValidation>
    <dataValidation type="list" allowBlank="1" showInputMessage="1" showErrorMessage="1" sqref="G9:G108" xr:uid="{00000000-0002-0000-0300-000001000000}">
      <formula1>"PIR,PUR,EPS"</formula1>
    </dataValidation>
  </dataValidations>
  <pageMargins left="0.78740157499999996" right="0.78740157499999996" top="0.984251969" bottom="0.984251969" header="0.49212598499999999" footer="0.49212598499999999"/>
  <pageSetup scale="9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Filtrar_Linhas">
                <anchor moveWithCells="1" sizeWithCells="1">
                  <from>
                    <xdr:col>10</xdr:col>
                    <xdr:colOff>95250</xdr:colOff>
                    <xdr:row>1</xdr:row>
                    <xdr:rowOff>152400</xdr:rowOff>
                  </from>
                  <to>
                    <xdr:col>11</xdr:col>
                    <xdr:colOff>638175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/>
  <dimension ref="A2:BL88"/>
  <sheetViews>
    <sheetView showGridLines="0" zoomScale="80" zoomScaleNormal="80" workbookViewId="0">
      <pane ySplit="8" topLeftCell="A9" activePane="bottomLeft" state="frozen"/>
      <selection pane="bottomLeft"/>
    </sheetView>
  </sheetViews>
  <sheetFormatPr defaultColWidth="20.5703125" defaultRowHeight="12.75" x14ac:dyDescent="0.2"/>
  <cols>
    <col min="1" max="1" width="2.42578125" style="18" customWidth="1"/>
    <col min="2" max="2" width="10.7109375" style="18" bestFit="1" customWidth="1"/>
    <col min="3" max="3" width="25.140625" style="18" bestFit="1" customWidth="1"/>
    <col min="4" max="4" width="41.28515625" style="18" customWidth="1"/>
    <col min="5" max="5" width="23.7109375" style="18" bestFit="1" customWidth="1"/>
    <col min="6" max="6" width="10.5703125" style="18" bestFit="1" customWidth="1"/>
    <col min="7" max="7" width="10.85546875" style="18" customWidth="1"/>
    <col min="8" max="8" width="23.7109375" style="18" bestFit="1" customWidth="1"/>
    <col min="9" max="9" width="26.5703125" style="18" hidden="1" customWidth="1"/>
    <col min="10" max="10" width="27" style="18" hidden="1" customWidth="1"/>
    <col min="11" max="11" width="6.7109375" style="18" hidden="1" customWidth="1"/>
    <col min="12" max="12" width="20.28515625" style="18" hidden="1" customWidth="1"/>
    <col min="13" max="17" width="9.28515625" style="18" hidden="1" customWidth="1"/>
    <col min="18" max="62" width="9.28515625" style="103" hidden="1" customWidth="1"/>
    <col min="63" max="16384" width="20.5703125" style="103"/>
  </cols>
  <sheetData>
    <row r="2" spans="1:62" s="19" customFormat="1" x14ac:dyDescent="0.2">
      <c r="A2" s="55"/>
      <c r="B2" s="56" t="s">
        <v>217</v>
      </c>
      <c r="C2" s="312">
        <f>'PAREDE-TETO'!D2</f>
        <v>0</v>
      </c>
      <c r="D2" s="312"/>
      <c r="E2" s="312"/>
      <c r="F2" s="187" t="s">
        <v>198</v>
      </c>
      <c r="G2" s="312">
        <f>'PAREDE-TETO'!I2</f>
        <v>0</v>
      </c>
      <c r="H2" s="312"/>
      <c r="I2" s="14"/>
      <c r="J2" s="14"/>
      <c r="K2" s="14"/>
    </row>
    <row r="3" spans="1:62" s="19" customFormat="1" x14ac:dyDescent="0.2">
      <c r="A3" s="55"/>
      <c r="B3" s="56" t="s">
        <v>216</v>
      </c>
      <c r="C3" s="312">
        <f>'PAREDE-TETO'!D3</f>
        <v>0</v>
      </c>
      <c r="D3" s="312"/>
      <c r="E3" s="312"/>
      <c r="F3" s="56" t="s">
        <v>215</v>
      </c>
      <c r="G3" s="365">
        <f>'PAREDE-TETO'!I3</f>
        <v>0</v>
      </c>
      <c r="H3" s="365"/>
      <c r="I3" s="14"/>
      <c r="J3" s="14"/>
      <c r="K3" s="14"/>
    </row>
    <row r="4" spans="1:62" s="19" customFormat="1" x14ac:dyDescent="0.2">
      <c r="A4" s="55"/>
      <c r="B4" s="56" t="s">
        <v>214</v>
      </c>
      <c r="C4" s="312">
        <f>'PAREDE-TETO'!D4</f>
        <v>0</v>
      </c>
      <c r="D4" s="312"/>
      <c r="E4" s="312"/>
      <c r="F4" s="67"/>
      <c r="G4" s="55"/>
      <c r="H4" s="14"/>
      <c r="I4" s="14"/>
      <c r="J4" s="14"/>
      <c r="K4" s="14"/>
    </row>
    <row r="5" spans="1:62" s="19" customFormat="1" ht="13.5" thickBot="1" x14ac:dyDescent="0.25">
      <c r="A5" s="55"/>
      <c r="B5" s="14"/>
      <c r="C5" s="14"/>
      <c r="D5" s="14"/>
      <c r="E5" s="14"/>
      <c r="F5" s="14"/>
      <c r="G5" s="14"/>
      <c r="H5" s="14"/>
      <c r="I5" s="14"/>
      <c r="J5" s="14"/>
      <c r="K5" s="14"/>
    </row>
    <row r="6" spans="1:62" ht="13.5" thickBot="1" x14ac:dyDescent="0.25">
      <c r="B6" s="328" t="s">
        <v>220</v>
      </c>
      <c r="C6" s="329"/>
      <c r="D6" s="329"/>
      <c r="E6" s="329"/>
      <c r="F6" s="329"/>
      <c r="G6" s="329"/>
      <c r="H6" s="330"/>
      <c r="I6" s="237"/>
      <c r="J6" s="14"/>
    </row>
    <row r="7" spans="1:62" s="2" customFormat="1" ht="12.75" customHeight="1" x14ac:dyDescent="0.2">
      <c r="A7" s="14"/>
      <c r="B7" s="313" t="s">
        <v>28</v>
      </c>
      <c r="C7" s="305" t="s">
        <v>29</v>
      </c>
      <c r="D7" s="354" t="s">
        <v>30</v>
      </c>
      <c r="E7" s="354" t="s">
        <v>31</v>
      </c>
      <c r="F7" s="354" t="s">
        <v>32</v>
      </c>
      <c r="G7" s="354"/>
      <c r="H7" s="366" t="s">
        <v>33</v>
      </c>
      <c r="I7" s="360" t="s">
        <v>467</v>
      </c>
      <c r="J7" s="361"/>
      <c r="L7" s="364" t="s">
        <v>490</v>
      </c>
      <c r="M7" s="364"/>
      <c r="N7" s="364"/>
      <c r="O7" s="364"/>
      <c r="P7" s="364"/>
      <c r="Q7" s="364"/>
      <c r="R7" s="364"/>
      <c r="S7" s="364"/>
      <c r="T7" s="364"/>
      <c r="U7" s="364"/>
      <c r="V7" s="364"/>
      <c r="W7" s="364"/>
      <c r="X7" s="364"/>
      <c r="Y7" s="364"/>
      <c r="Z7" s="364"/>
      <c r="AA7" s="364"/>
      <c r="AB7" s="364"/>
      <c r="AC7" s="364"/>
      <c r="AD7" s="364"/>
      <c r="AE7" s="364"/>
      <c r="AF7" s="364"/>
      <c r="AG7" s="364"/>
      <c r="AH7" s="364"/>
      <c r="AI7" s="364"/>
      <c r="AJ7" s="364"/>
      <c r="AK7" s="364"/>
      <c r="AL7" s="364"/>
      <c r="AM7" s="364"/>
      <c r="AN7" s="364"/>
      <c r="AO7" s="364"/>
      <c r="AP7" s="364"/>
      <c r="AQ7" s="364"/>
      <c r="AR7" s="364"/>
      <c r="AS7" s="364"/>
      <c r="AT7" s="364"/>
      <c r="AU7" s="364"/>
      <c r="AV7" s="364"/>
      <c r="AW7" s="364"/>
      <c r="AX7" s="364"/>
      <c r="AY7" s="364"/>
      <c r="AZ7" s="364"/>
      <c r="BA7" s="364"/>
      <c r="BB7" s="364"/>
      <c r="BC7" s="364"/>
      <c r="BD7" s="364"/>
      <c r="BE7" s="364"/>
      <c r="BF7" s="364"/>
      <c r="BG7" s="364"/>
      <c r="BH7" s="364"/>
      <c r="BI7" s="364"/>
      <c r="BJ7" s="364"/>
    </row>
    <row r="8" spans="1:62" s="2" customFormat="1" ht="13.5" thickBot="1" x14ac:dyDescent="0.25">
      <c r="A8" s="14"/>
      <c r="B8" s="314"/>
      <c r="C8" s="368"/>
      <c r="D8" s="369"/>
      <c r="E8" s="369"/>
      <c r="F8" s="273" t="s">
        <v>34</v>
      </c>
      <c r="G8" s="273" t="s">
        <v>35</v>
      </c>
      <c r="H8" s="367"/>
      <c r="I8" s="362"/>
      <c r="J8" s="363"/>
      <c r="L8" s="173">
        <v>0</v>
      </c>
      <c r="M8" s="174" t="str">
        <f t="array" ref="M8">IFERROR(INDEX($J$9:$J$59,MATCH(0,COUNTIF($L$8:L$8,$J$9:$J$59),0)),"")</f>
        <v/>
      </c>
      <c r="N8" s="174" t="str">
        <f t="array" ref="N8">IFERROR(INDEX($J$9:$J$59,MATCH(0,COUNTIF($L$8:M$8,$J$9:$J$59),0)),"")</f>
        <v/>
      </c>
      <c r="O8" s="174" t="str">
        <f t="array" ref="O8">IFERROR(INDEX($J$9:$J$59,MATCH(0,COUNTIF($L$8:N$8,$J$9:$J$59),0)),"")</f>
        <v/>
      </c>
      <c r="P8" s="174" t="str">
        <f t="array" ref="P8">IFERROR(INDEX($J$9:$J$59,MATCH(0,COUNTIF($L$8:O$8,$J$9:$J$59),0)),"")</f>
        <v/>
      </c>
      <c r="Q8" s="174" t="str">
        <f t="array" ref="Q8">IFERROR(INDEX($J$9:$J$59,MATCH(0,COUNTIF($L$8:P$8,$J$9:$J$59),0)),"")</f>
        <v/>
      </c>
      <c r="R8" s="174" t="str">
        <f t="array" ref="R8">IFERROR(INDEX($J$9:$J$59,MATCH(0,COUNTIF($L$8:Q$8,$J$9:$J$59),0)),"")</f>
        <v/>
      </c>
      <c r="S8" s="174" t="str">
        <f t="array" ref="S8">IFERROR(INDEX($J$9:$J$59,MATCH(0,COUNTIF($L$8:R$8,$J$9:$J$59),0)),"")</f>
        <v/>
      </c>
      <c r="T8" s="174" t="str">
        <f t="array" ref="T8">IFERROR(INDEX($J$9:$J$59,MATCH(0,COUNTIF($L$8:S$8,$J$9:$J$59),0)),"")</f>
        <v/>
      </c>
      <c r="U8" s="174" t="str">
        <f t="array" ref="U8">IFERROR(INDEX($J$9:$J$59,MATCH(0,COUNTIF($L$8:T$8,$J$9:$J$59),0)),"")</f>
        <v/>
      </c>
      <c r="V8" s="174" t="str">
        <f t="array" ref="V8">IFERROR(INDEX($J$9:$J$59,MATCH(0,COUNTIF($L$8:U$8,$J$9:$J$59),0)),"")</f>
        <v/>
      </c>
      <c r="W8" s="174" t="str">
        <f t="array" ref="W8">IFERROR(INDEX($J$9:$J$59,MATCH(0,COUNTIF($L$8:V$8,$J$9:$J$59),0)),"")</f>
        <v/>
      </c>
      <c r="X8" s="174" t="str">
        <f t="array" ref="X8">IFERROR(INDEX($J$9:$J$59,MATCH(0,COUNTIF($L$8:W$8,$J$9:$J$59),0)),"")</f>
        <v/>
      </c>
      <c r="Y8" s="174" t="str">
        <f t="array" ref="Y8">IFERROR(INDEX($J$9:$J$59,MATCH(0,COUNTIF($L$8:X$8,$J$9:$J$59),0)),"")</f>
        <v/>
      </c>
      <c r="Z8" s="174" t="str">
        <f t="array" ref="Z8">IFERROR(INDEX($J$9:$J$59,MATCH(0,COUNTIF($L$8:Y$8,$J$9:$J$59),0)),"")</f>
        <v/>
      </c>
      <c r="AA8" s="174" t="str">
        <f t="array" ref="AA8">IFERROR(INDEX($J$9:$J$59,MATCH(0,COUNTIF($L$8:Z$8,$J$9:$J$59),0)),"")</f>
        <v/>
      </c>
      <c r="AB8" s="174" t="str">
        <f t="array" ref="AB8">IFERROR(INDEX($J$9:$J$59,MATCH(0,COUNTIF($L$8:AA$8,$J$9:$J$59),0)),"")</f>
        <v/>
      </c>
      <c r="AC8" s="174" t="str">
        <f t="array" ref="AC8">IFERROR(INDEX($J$9:$J$59,MATCH(0,COUNTIF($L$8:AB$8,$J$9:$J$59),0)),"")</f>
        <v/>
      </c>
      <c r="AD8" s="174" t="str">
        <f t="array" ref="AD8">IFERROR(INDEX($J$9:$J$59,MATCH(0,COUNTIF($L$8:AC$8,$J$9:$J$59),0)),"")</f>
        <v/>
      </c>
      <c r="AE8" s="174" t="str">
        <f t="array" ref="AE8">IFERROR(INDEX($J$9:$J$59,MATCH(0,COUNTIF($L$8:AD$8,$J$9:$J$59),0)),"")</f>
        <v/>
      </c>
      <c r="AF8" s="174" t="str">
        <f t="array" ref="AF8">IFERROR(INDEX($J$9:$J$59,MATCH(0,COUNTIF($L$8:AE$8,$J$9:$J$59),0)),"")</f>
        <v/>
      </c>
      <c r="AG8" s="174" t="str">
        <f t="array" ref="AG8">IFERROR(INDEX($J$9:$J$59,MATCH(0,COUNTIF($L$8:AF$8,$J$9:$J$59),0)),"")</f>
        <v/>
      </c>
      <c r="AH8" s="174" t="str">
        <f t="array" ref="AH8">IFERROR(INDEX($J$9:$J$59,MATCH(0,COUNTIF($L$8:AG$8,$J$9:$J$59),0)),"")</f>
        <v/>
      </c>
      <c r="AI8" s="174" t="str">
        <f t="array" ref="AI8">IFERROR(INDEX($J$9:$J$59,MATCH(0,COUNTIF($L$8:AH$8,$J$9:$J$59),0)),"")</f>
        <v/>
      </c>
      <c r="AJ8" s="174" t="str">
        <f t="array" ref="AJ8">IFERROR(INDEX($J$9:$J$59,MATCH(0,COUNTIF($L$8:AI$8,$J$9:$J$59),0)),"")</f>
        <v/>
      </c>
      <c r="AK8" s="174" t="str">
        <f t="array" ref="AK8">IFERROR(INDEX($J$9:$J$59,MATCH(0,COUNTIF($L$8:AJ$8,$J$9:$J$59),0)),"")</f>
        <v/>
      </c>
      <c r="AL8" s="174" t="str">
        <f t="array" ref="AL8">IFERROR(INDEX($J$9:$J$59,MATCH(0,COUNTIF($L$8:AK$8,$J$9:$J$59),0)),"")</f>
        <v/>
      </c>
      <c r="AM8" s="174" t="str">
        <f t="array" ref="AM8">IFERROR(INDEX($J$9:$J$59,MATCH(0,COUNTIF($L$8:AL$8,$J$9:$J$59),0)),"")</f>
        <v/>
      </c>
      <c r="AN8" s="174" t="str">
        <f t="array" ref="AN8">IFERROR(INDEX($J$9:$J$59,MATCH(0,COUNTIF($L$8:AM$8,$J$9:$J$59),0)),"")</f>
        <v/>
      </c>
      <c r="AO8" s="174" t="str">
        <f t="array" ref="AO8">IFERROR(INDEX($J$9:$J$59,MATCH(0,COUNTIF($L$8:AN$8,$J$9:$J$59),0)),"")</f>
        <v/>
      </c>
      <c r="AP8" s="174" t="str">
        <f t="array" ref="AP8">IFERROR(INDEX($J$9:$J$59,MATCH(0,COUNTIF($L$8:AO$8,$J$9:$J$59),0)),"")</f>
        <v/>
      </c>
      <c r="AQ8" s="174" t="str">
        <f t="array" ref="AQ8">IFERROR(INDEX($J$9:$J$59,MATCH(0,COUNTIF($L$8:AP$8,$J$9:$J$59),0)),"")</f>
        <v/>
      </c>
      <c r="AR8" s="174" t="str">
        <f t="array" ref="AR8">IFERROR(INDEX($J$9:$J$59,MATCH(0,COUNTIF($L$8:AQ$8,$J$9:$J$59),0)),"")</f>
        <v/>
      </c>
      <c r="AS8" s="174" t="str">
        <f t="array" ref="AS8">IFERROR(INDEX($J$9:$J$59,MATCH(0,COUNTIF($L$8:AR$8,$J$9:$J$59),0)),"")</f>
        <v/>
      </c>
      <c r="AT8" s="174" t="str">
        <f t="array" ref="AT8">IFERROR(INDEX($J$9:$J$59,MATCH(0,COUNTIF($L$8:AS$8,$J$9:$J$59),0)),"")</f>
        <v/>
      </c>
      <c r="AU8" s="174" t="str">
        <f t="array" ref="AU8">IFERROR(INDEX($J$9:$J$59,MATCH(0,COUNTIF($L$8:AT$8,$J$9:$J$59),0)),"")</f>
        <v/>
      </c>
      <c r="AV8" s="174" t="str">
        <f t="array" ref="AV8">IFERROR(INDEX($J$9:$J$59,MATCH(0,COUNTIF($L$8:AU$8,$J$9:$J$59),0)),"")</f>
        <v/>
      </c>
      <c r="AW8" s="174" t="str">
        <f t="array" ref="AW8">IFERROR(INDEX($J$9:$J$59,MATCH(0,COUNTIF($L$8:AV$8,$J$9:$J$59),0)),"")</f>
        <v/>
      </c>
      <c r="AX8" s="174" t="str">
        <f t="array" ref="AX8">IFERROR(INDEX($J$9:$J$59,MATCH(0,COUNTIF($L$8:AW$8,$J$9:$J$59),0)),"")</f>
        <v/>
      </c>
      <c r="AY8" s="174" t="str">
        <f t="array" ref="AY8">IFERROR(INDEX($J$9:$J$59,MATCH(0,COUNTIF($L$8:AX$8,$J$9:$J$59),0)),"")</f>
        <v/>
      </c>
      <c r="AZ8" s="174" t="str">
        <f t="array" ref="AZ8">IFERROR(INDEX($J$9:$J$59,MATCH(0,COUNTIF($L$8:AY$8,$J$9:$J$59),0)),"")</f>
        <v/>
      </c>
      <c r="BA8" s="174" t="str">
        <f t="array" ref="BA8">IFERROR(INDEX($J$9:$J$59,MATCH(0,COUNTIF($L$8:AZ$8,$J$9:$J$59),0)),"")</f>
        <v/>
      </c>
      <c r="BB8" s="174" t="str">
        <f t="array" ref="BB8">IFERROR(INDEX($J$9:$J$59,MATCH(0,COUNTIF($L$8:BA$8,$J$9:$J$59),0)),"")</f>
        <v/>
      </c>
      <c r="BC8" s="174" t="str">
        <f t="array" ref="BC8">IFERROR(INDEX($J$9:$J$59,MATCH(0,COUNTIF($L$8:BB$8,$J$9:$J$59),0)),"")</f>
        <v/>
      </c>
      <c r="BD8" s="174" t="str">
        <f t="array" ref="BD8">IFERROR(INDEX($J$9:$J$59,MATCH(0,COUNTIF($L$8:BC$8,$J$9:$J$59),0)),"")</f>
        <v/>
      </c>
      <c r="BE8" s="174" t="str">
        <f t="array" ref="BE8">IFERROR(INDEX($J$9:$J$59,MATCH(0,COUNTIF($L$8:BD$8,$J$9:$J$59),0)),"")</f>
        <v/>
      </c>
      <c r="BF8" s="174" t="str">
        <f t="array" ref="BF8">IFERROR(INDEX($J$9:$J$59,MATCH(0,COUNTIF($L$8:BE$8,$J$9:$J$59),0)),"")</f>
        <v/>
      </c>
      <c r="BG8" s="174" t="str">
        <f t="array" ref="BG8">IFERROR(INDEX($J$9:$J$59,MATCH(0,COUNTIF($L$8:BF$8,$J$9:$J$59),0)),"")</f>
        <v/>
      </c>
      <c r="BH8" s="174" t="str">
        <f t="array" ref="BH8">IFERROR(INDEX($J$9:$J$59,MATCH(0,COUNTIF($L$8:BG$8,$J$9:$J$59),0)),"")</f>
        <v/>
      </c>
      <c r="BI8" s="174" t="str">
        <f t="array" ref="BI8">IFERROR(INDEX($J$9:$J$59,MATCH(0,COUNTIF($L$8:BH$8,$J$9:$J$59),0)),"")</f>
        <v/>
      </c>
      <c r="BJ8" s="174" t="str">
        <f t="array" ref="BJ8">IFERROR(INDEX($J$9:$J$59,MATCH(0,COUNTIF($L$8:BI$8,$J$9:$J$59),0)),"")</f>
        <v/>
      </c>
    </row>
    <row r="9" spans="1:62" x14ac:dyDescent="0.2">
      <c r="A9" s="14"/>
      <c r="B9" s="108" t="s">
        <v>36</v>
      </c>
      <c r="C9" s="147"/>
      <c r="D9" s="104"/>
      <c r="E9" s="20"/>
      <c r="F9" s="253"/>
      <c r="G9" s="253"/>
      <c r="H9" s="245"/>
      <c r="I9" s="238" t="str">
        <f>C9&amp;IF(H9&lt;&gt;""," ("&amp;H9&amp;") ","")</f>
        <v/>
      </c>
      <c r="J9" s="167" t="str">
        <f t="shared" ref="J9:J23" si="0">IF(D9&lt;&gt;"",D9&amp;"-"&amp;IF(F9&lt;IF(D9="WALKIN",1000,100),0,"")&amp;F9&amp;"x"&amp;G9&amp;" "&amp;E9,"")</f>
        <v/>
      </c>
      <c r="L9" s="174" t="str">
        <f t="array" ref="L9">IFERROR(INDEX($I$9:$I$59,MATCH(0,COUNTIF($L$8:$L8,$I$9:$I$59),0)),"")</f>
        <v/>
      </c>
      <c r="M9" s="175">
        <f t="array" ref="M9">IF(AND($L9&lt;&gt;"",M$8&lt;&gt;""),COUNTIFS($I$9:$I$59,$L9,$J$9:$J$59,M$8),0)</f>
        <v>0</v>
      </c>
      <c r="N9" s="175">
        <f t="array" ref="N9">IF(AND($L9&lt;&gt;"",N$8&lt;&gt;""),COUNTIFS($I$9:$I$59,$L9,$J$9:$J$59,N$8),0)</f>
        <v>0</v>
      </c>
      <c r="O9" s="175">
        <f t="array" ref="O9">IF(AND($L9&lt;&gt;"",O$8&lt;&gt;""),COUNTIFS($I$9:$I$59,$L9,$J$9:$J$59,O$8),0)</f>
        <v>0</v>
      </c>
      <c r="P9" s="175">
        <f t="array" ref="P9">IF(AND($L9&lt;&gt;"",P$8&lt;&gt;""),COUNTIFS($I$9:$I$59,$L9,$J$9:$J$59,P$8),0)</f>
        <v>0</v>
      </c>
      <c r="Q9" s="175">
        <f t="array" ref="Q9">IF(AND($L9&lt;&gt;"",Q$8&lt;&gt;""),COUNTIFS($I$9:$I$59,$L9,$J$9:$J$59,Q$8),0)</f>
        <v>0</v>
      </c>
      <c r="R9" s="175">
        <f t="array" ref="R9">IF(AND($L9&lt;&gt;"",R$8&lt;&gt;""),COUNTIFS($I$9:$I$59,$L9,$J$9:$J$59,R$8),0)</f>
        <v>0</v>
      </c>
      <c r="S9" s="175">
        <f t="array" ref="S9">IF(AND($L9&lt;&gt;"",S$8&lt;&gt;""),COUNTIFS($I$9:$I$59,$L9,$J$9:$J$59,S$8),0)</f>
        <v>0</v>
      </c>
      <c r="T9" s="175">
        <f t="array" ref="T9">IF(AND($L9&lt;&gt;"",T$8&lt;&gt;""),COUNTIFS($I$9:$I$59,$L9,$J$9:$J$59,T$8),0)</f>
        <v>0</v>
      </c>
      <c r="U9" s="175">
        <f t="array" ref="U9">IF(AND($L9&lt;&gt;"",U$8&lt;&gt;""),COUNTIFS($I$9:$I$59,$L9,$J$9:$J$59,U$8),0)</f>
        <v>0</v>
      </c>
      <c r="V9" s="175">
        <f t="array" ref="V9">IF(AND($L9&lt;&gt;"",V$8&lt;&gt;""),COUNTIFS($I$9:$I$59,$L9,$J$9:$J$59,V$8),0)</f>
        <v>0</v>
      </c>
      <c r="W9" s="175">
        <f t="array" ref="W9">IF(AND($L9&lt;&gt;"",W$8&lt;&gt;""),COUNTIFS($I$9:$I$59,$L9,$J$9:$J$59,W$8),0)</f>
        <v>0</v>
      </c>
      <c r="X9" s="175">
        <f t="array" ref="X9">IF(AND($L9&lt;&gt;"",X$8&lt;&gt;""),COUNTIFS($I$9:$I$59,$L9,$J$9:$J$59,X$8),0)</f>
        <v>0</v>
      </c>
      <c r="Y9" s="175">
        <f t="array" ref="Y9">IF(AND($L9&lt;&gt;"",Y$8&lt;&gt;""),COUNTIFS($I$9:$I$59,$L9,$J$9:$J$59,Y$8),0)</f>
        <v>0</v>
      </c>
      <c r="Z9" s="175">
        <f t="array" ref="Z9">IF(AND($L9&lt;&gt;"",Z$8&lt;&gt;""),COUNTIFS($I$9:$I$59,$L9,$J$9:$J$59,Z$8),0)</f>
        <v>0</v>
      </c>
      <c r="AA9" s="175">
        <f t="array" ref="AA9">IF(AND($L9&lt;&gt;"",AA$8&lt;&gt;""),COUNTIFS($I$9:$I$59,$L9,$J$9:$J$59,AA$8),0)</f>
        <v>0</v>
      </c>
      <c r="AB9" s="175">
        <f t="array" ref="AB9">IF(AND($L9&lt;&gt;"",AB$8&lt;&gt;""),COUNTIFS($I$9:$I$59,$L9,$J$9:$J$59,AB$8),0)</f>
        <v>0</v>
      </c>
      <c r="AC9" s="175">
        <f t="array" ref="AC9">IF(AND($L9&lt;&gt;"",AC$8&lt;&gt;""),COUNTIFS($I$9:$I$59,$L9,$J$9:$J$59,AC$8),0)</f>
        <v>0</v>
      </c>
      <c r="AD9" s="175">
        <f t="array" ref="AD9">IF(AND($L9&lt;&gt;"",AD$8&lt;&gt;""),COUNTIFS($I$9:$I$59,$L9,$J$9:$J$59,AD$8),0)</f>
        <v>0</v>
      </c>
      <c r="AE9" s="175">
        <f t="array" ref="AE9">IF(AND($L9&lt;&gt;"",AE$8&lt;&gt;""),COUNTIFS($I$9:$I$59,$L9,$J$9:$J$59,AE$8),0)</f>
        <v>0</v>
      </c>
      <c r="AF9" s="175">
        <f t="array" ref="AF9">IF(AND($L9&lt;&gt;"",AF$8&lt;&gt;""),COUNTIFS($I$9:$I$59,$L9,$J$9:$J$59,AF$8),0)</f>
        <v>0</v>
      </c>
      <c r="AG9" s="175">
        <f t="array" ref="AG9">IF(AND($L9&lt;&gt;"",AG$8&lt;&gt;""),COUNTIFS($I$9:$I$59,$L9,$J$9:$J$59,AG$8),0)</f>
        <v>0</v>
      </c>
      <c r="AH9" s="175">
        <f t="array" ref="AH9">IF(AND($L9&lt;&gt;"",AH$8&lt;&gt;""),COUNTIFS($I$9:$I$59,$L9,$J$9:$J$59,AH$8),0)</f>
        <v>0</v>
      </c>
      <c r="AI9" s="175">
        <f t="array" ref="AI9">IF(AND($L9&lt;&gt;"",AI$8&lt;&gt;""),COUNTIFS($I$9:$I$59,$L9,$J$9:$J$59,AI$8),0)</f>
        <v>0</v>
      </c>
      <c r="AJ9" s="175">
        <f t="array" ref="AJ9">IF(AND($L9&lt;&gt;"",AJ$8&lt;&gt;""),COUNTIFS($I$9:$I$59,$L9,$J$9:$J$59,AJ$8),0)</f>
        <v>0</v>
      </c>
      <c r="AK9" s="175">
        <f t="array" ref="AK9">IF(AND($L9&lt;&gt;"",AK$8&lt;&gt;""),COUNTIFS($I$9:$I$59,$L9,$J$9:$J$59,AK$8),0)</f>
        <v>0</v>
      </c>
      <c r="AL9" s="175">
        <f t="array" ref="AL9">IF(AND($L9&lt;&gt;"",AL$8&lt;&gt;""),COUNTIFS($I$9:$I$59,$L9,$J$9:$J$59,AL$8),0)</f>
        <v>0</v>
      </c>
      <c r="AM9" s="175">
        <f t="array" ref="AM9">IF(AND($L9&lt;&gt;"",AM$8&lt;&gt;""),COUNTIFS($I$9:$I$59,$L9,$J$9:$J$59,AM$8),0)</f>
        <v>0</v>
      </c>
      <c r="AN9" s="175">
        <f t="array" ref="AN9">IF(AND($L9&lt;&gt;"",AN$8&lt;&gt;""),COUNTIFS($I$9:$I$59,$L9,$J$9:$J$59,AN$8),0)</f>
        <v>0</v>
      </c>
      <c r="AO9" s="175">
        <f t="array" ref="AO9">IF(AND($L9&lt;&gt;"",AO$8&lt;&gt;""),COUNTIFS($I$9:$I$59,$L9,$J$9:$J$59,AO$8),0)</f>
        <v>0</v>
      </c>
      <c r="AP9" s="175">
        <f t="array" ref="AP9">IF(AND($L9&lt;&gt;"",AP$8&lt;&gt;""),COUNTIFS($I$9:$I$59,$L9,$J$9:$J$59,AP$8),0)</f>
        <v>0</v>
      </c>
      <c r="AQ9" s="175">
        <f t="array" ref="AQ9">IF(AND($L9&lt;&gt;"",AQ$8&lt;&gt;""),COUNTIFS($I$9:$I$59,$L9,$J$9:$J$59,AQ$8),0)</f>
        <v>0</v>
      </c>
      <c r="AR9" s="175">
        <f t="array" ref="AR9">IF(AND($L9&lt;&gt;"",AR$8&lt;&gt;""),COUNTIFS($I$9:$I$59,$L9,$J$9:$J$59,AR$8),0)</f>
        <v>0</v>
      </c>
      <c r="AS9" s="175">
        <f t="array" ref="AS9">IF(AND($L9&lt;&gt;"",AS$8&lt;&gt;""),COUNTIFS($I$9:$I$59,$L9,$J$9:$J$59,AS$8),0)</f>
        <v>0</v>
      </c>
      <c r="AT9" s="175">
        <f t="array" ref="AT9">IF(AND($L9&lt;&gt;"",AT$8&lt;&gt;""),COUNTIFS($I$9:$I$59,$L9,$J$9:$J$59,AT$8),0)</f>
        <v>0</v>
      </c>
      <c r="AU9" s="175">
        <f t="array" ref="AU9">IF(AND($L9&lt;&gt;"",AU$8&lt;&gt;""),COUNTIFS($I$9:$I$59,$L9,$J$9:$J$59,AU$8),0)</f>
        <v>0</v>
      </c>
      <c r="AV9" s="175">
        <f t="array" ref="AV9">IF(AND($L9&lt;&gt;"",AV$8&lt;&gt;""),COUNTIFS($I$9:$I$59,$L9,$J$9:$J$59,AV$8),0)</f>
        <v>0</v>
      </c>
      <c r="AW9" s="175">
        <f t="array" ref="AW9">IF(AND($L9&lt;&gt;"",AW$8&lt;&gt;""),COUNTIFS($I$9:$I$59,$L9,$J$9:$J$59,AW$8),0)</f>
        <v>0</v>
      </c>
      <c r="AX9" s="175">
        <f t="array" ref="AX9">IF(AND($L9&lt;&gt;"",AX$8&lt;&gt;""),COUNTIFS($I$9:$I$59,$L9,$J$9:$J$59,AX$8),0)</f>
        <v>0</v>
      </c>
      <c r="AY9" s="175">
        <f t="array" ref="AY9">IF(AND($L9&lt;&gt;"",AY$8&lt;&gt;""),COUNTIFS($I$9:$I$59,$L9,$J$9:$J$59,AY$8),0)</f>
        <v>0</v>
      </c>
      <c r="AZ9" s="175">
        <f t="array" ref="AZ9">IF(AND($L9&lt;&gt;"",AZ$8&lt;&gt;""),COUNTIFS($I$9:$I$59,$L9,$J$9:$J$59,AZ$8),0)</f>
        <v>0</v>
      </c>
      <c r="BA9" s="175">
        <f t="array" ref="BA9">IF(AND($L9&lt;&gt;"",BA$8&lt;&gt;""),COUNTIFS($I$9:$I$59,$L9,$J$9:$J$59,BA$8),0)</f>
        <v>0</v>
      </c>
      <c r="BB9" s="175">
        <f t="array" ref="BB9">IF(AND($L9&lt;&gt;"",BB$8&lt;&gt;""),COUNTIFS($I$9:$I$59,$L9,$J$9:$J$59,BB$8),0)</f>
        <v>0</v>
      </c>
      <c r="BC9" s="175">
        <f t="array" ref="BC9">IF(AND($L9&lt;&gt;"",BC$8&lt;&gt;""),COUNTIFS($I$9:$I$59,$L9,$J$9:$J$59,BC$8),0)</f>
        <v>0</v>
      </c>
      <c r="BD9" s="175">
        <f t="array" ref="BD9">IF(AND($L9&lt;&gt;"",BD$8&lt;&gt;""),COUNTIFS($I$9:$I$59,$L9,$J$9:$J$59,BD$8),0)</f>
        <v>0</v>
      </c>
      <c r="BE9" s="175">
        <f t="array" ref="BE9">IF(AND($L9&lt;&gt;"",BE$8&lt;&gt;""),COUNTIFS($I$9:$I$59,$L9,$J$9:$J$59,BE$8),0)</f>
        <v>0</v>
      </c>
      <c r="BF9" s="175">
        <f t="array" ref="BF9">IF(AND($L9&lt;&gt;"",BF$8&lt;&gt;""),COUNTIFS($I$9:$I$59,$L9,$J$9:$J$59,BF$8),0)</f>
        <v>0</v>
      </c>
      <c r="BG9" s="175">
        <f t="array" ref="BG9">IF(AND($L9&lt;&gt;"",BG$8&lt;&gt;""),COUNTIFS($I$9:$I$59,$L9,$J$9:$J$59,BG$8),0)</f>
        <v>0</v>
      </c>
      <c r="BH9" s="175">
        <f t="array" ref="BH9">IF(AND($L9&lt;&gt;"",BH$8&lt;&gt;""),COUNTIFS($I$9:$I$59,$L9,$J$9:$J$59,BH$8),0)</f>
        <v>0</v>
      </c>
      <c r="BI9" s="175">
        <f t="array" ref="BI9">IF(AND($L9&lt;&gt;"",BI$8&lt;&gt;""),COUNTIFS($I$9:$I$59,$L9,$J$9:$J$59,BI$8),0)</f>
        <v>0</v>
      </c>
      <c r="BJ9" s="175">
        <f t="array" ref="BJ9">IF(AND($L9&lt;&gt;"",BJ$8&lt;&gt;""),COUNTIFS($I$9:$I$59,$L9,$J$9:$J$59,BJ$8),0)</f>
        <v>0</v>
      </c>
    </row>
    <row r="10" spans="1:62" x14ac:dyDescent="0.2">
      <c r="A10" s="14"/>
      <c r="B10" s="108" t="s">
        <v>37</v>
      </c>
      <c r="C10" s="147"/>
      <c r="D10" s="104"/>
      <c r="E10" s="20"/>
      <c r="F10" s="105"/>
      <c r="G10" s="253"/>
      <c r="H10" s="109"/>
      <c r="I10" s="239" t="str">
        <f t="shared" ref="I10:I58" si="1">C10&amp;IF(H10&lt;&gt;""," ("&amp;H10&amp;") ","")</f>
        <v/>
      </c>
      <c r="J10" s="168" t="str">
        <f t="shared" si="0"/>
        <v/>
      </c>
      <c r="L10" s="174" t="str">
        <f t="array" ref="L10">IFERROR(INDEX($I$9:$I$59,MATCH(0,COUNTIF($L$8:$L9,$I$9:$I$59),0)),"")</f>
        <v/>
      </c>
      <c r="M10" s="175">
        <f t="array" ref="M10">IF(AND($L10&lt;&gt;"",M$8&lt;&gt;""),COUNTIFS($I$9:$I$59,$L10,$J$9:$J$59,M$8),0)</f>
        <v>0</v>
      </c>
      <c r="N10" s="175">
        <f t="array" ref="N10">IF(AND($L10&lt;&gt;"",N$8&lt;&gt;""),COUNTIFS($I$9:$I$59,$L10,$J$9:$J$59,N$8),0)</f>
        <v>0</v>
      </c>
      <c r="O10" s="175">
        <f t="array" ref="O10">IF(AND($L10&lt;&gt;"",O$8&lt;&gt;""),COUNTIFS($I$9:$I$59,$L10,$J$9:$J$59,O$8),0)</f>
        <v>0</v>
      </c>
      <c r="P10" s="175">
        <f t="array" ref="P10">IF(AND($L10&lt;&gt;"",P$8&lt;&gt;""),COUNTIFS($I$9:$I$59,$L10,$J$9:$J$59,P$8),0)</f>
        <v>0</v>
      </c>
      <c r="Q10" s="175">
        <f t="array" ref="Q10">IF(AND($L10&lt;&gt;"",Q$8&lt;&gt;""),COUNTIFS($I$9:$I$59,$L10,$J$9:$J$59,Q$8),0)</f>
        <v>0</v>
      </c>
      <c r="R10" s="175">
        <f t="array" ref="R10">IF(AND($L10&lt;&gt;"",R$8&lt;&gt;""),COUNTIFS($I$9:$I$59,$L10,$J$9:$J$59,R$8),0)</f>
        <v>0</v>
      </c>
      <c r="S10" s="175">
        <f t="array" ref="S10">IF(AND($L10&lt;&gt;"",S$8&lt;&gt;""),COUNTIFS($I$9:$I$59,$L10,$J$9:$J$59,S$8),0)</f>
        <v>0</v>
      </c>
      <c r="T10" s="175">
        <f t="array" ref="T10">IF(AND($L10&lt;&gt;"",T$8&lt;&gt;""),COUNTIFS($I$9:$I$59,$L10,$J$9:$J$59,T$8),0)</f>
        <v>0</v>
      </c>
      <c r="U10" s="175">
        <f t="array" ref="U10">IF(AND($L10&lt;&gt;"",U$8&lt;&gt;""),COUNTIFS($I$9:$I$59,$L10,$J$9:$J$59,U$8),0)</f>
        <v>0</v>
      </c>
      <c r="V10" s="175">
        <f t="array" ref="V10">IF(AND($L10&lt;&gt;"",V$8&lt;&gt;""),COUNTIFS($I$9:$I$59,$L10,$J$9:$J$59,V$8),0)</f>
        <v>0</v>
      </c>
      <c r="W10" s="175">
        <f t="array" ref="W10">IF(AND($L10&lt;&gt;"",W$8&lt;&gt;""),COUNTIFS($I$9:$I$59,$L10,$J$9:$J$59,W$8),0)</f>
        <v>0</v>
      </c>
      <c r="X10" s="175">
        <f t="array" ref="X10">IF(AND($L10&lt;&gt;"",X$8&lt;&gt;""),COUNTIFS($I$9:$I$59,$L10,$J$9:$J$59,X$8),0)</f>
        <v>0</v>
      </c>
      <c r="Y10" s="175">
        <f t="array" ref="Y10">IF(AND($L10&lt;&gt;"",Y$8&lt;&gt;""),COUNTIFS($I$9:$I$59,$L10,$J$9:$J$59,Y$8),0)</f>
        <v>0</v>
      </c>
      <c r="Z10" s="175">
        <f t="array" ref="Z10">IF(AND($L10&lt;&gt;"",Z$8&lt;&gt;""),COUNTIFS($I$9:$I$59,$L10,$J$9:$J$59,Z$8),0)</f>
        <v>0</v>
      </c>
      <c r="AA10" s="175">
        <f t="array" ref="AA10">IF(AND($L10&lt;&gt;"",AA$8&lt;&gt;""),COUNTIFS($I$9:$I$59,$L10,$J$9:$J$59,AA$8),0)</f>
        <v>0</v>
      </c>
      <c r="AB10" s="175">
        <f t="array" ref="AB10">IF(AND($L10&lt;&gt;"",AB$8&lt;&gt;""),COUNTIFS($I$9:$I$59,$L10,$J$9:$J$59,AB$8),0)</f>
        <v>0</v>
      </c>
      <c r="AC10" s="175">
        <f t="array" ref="AC10">IF(AND($L10&lt;&gt;"",AC$8&lt;&gt;""),COUNTIFS($I$9:$I$59,$L10,$J$9:$J$59,AC$8),0)</f>
        <v>0</v>
      </c>
      <c r="AD10" s="175">
        <f t="array" ref="AD10">IF(AND($L10&lt;&gt;"",AD$8&lt;&gt;""),COUNTIFS($I$9:$I$59,$L10,$J$9:$J$59,AD$8),0)</f>
        <v>0</v>
      </c>
      <c r="AE10" s="175">
        <f t="array" ref="AE10">IF(AND($L10&lt;&gt;"",AE$8&lt;&gt;""),COUNTIFS($I$9:$I$59,$L10,$J$9:$J$59,AE$8),0)</f>
        <v>0</v>
      </c>
      <c r="AF10" s="175">
        <f t="array" ref="AF10">IF(AND($L10&lt;&gt;"",AF$8&lt;&gt;""),COUNTIFS($I$9:$I$59,$L10,$J$9:$J$59,AF$8),0)</f>
        <v>0</v>
      </c>
      <c r="AG10" s="175">
        <f t="array" ref="AG10">IF(AND($L10&lt;&gt;"",AG$8&lt;&gt;""),COUNTIFS($I$9:$I$59,$L10,$J$9:$J$59,AG$8),0)</f>
        <v>0</v>
      </c>
      <c r="AH10" s="175">
        <f t="array" ref="AH10">IF(AND($L10&lt;&gt;"",AH$8&lt;&gt;""),COUNTIFS($I$9:$I$59,$L10,$J$9:$J$59,AH$8),0)</f>
        <v>0</v>
      </c>
      <c r="AI10" s="175">
        <f t="array" ref="AI10">IF(AND($L10&lt;&gt;"",AI$8&lt;&gt;""),COUNTIFS($I$9:$I$59,$L10,$J$9:$J$59,AI$8),0)</f>
        <v>0</v>
      </c>
      <c r="AJ10" s="175">
        <f t="array" ref="AJ10">IF(AND($L10&lt;&gt;"",AJ$8&lt;&gt;""),COUNTIFS($I$9:$I$59,$L10,$J$9:$J$59,AJ$8),0)</f>
        <v>0</v>
      </c>
      <c r="AK10" s="175">
        <f t="array" ref="AK10">IF(AND($L10&lt;&gt;"",AK$8&lt;&gt;""),COUNTIFS($I$9:$I$59,$L10,$J$9:$J$59,AK$8),0)</f>
        <v>0</v>
      </c>
      <c r="AL10" s="175">
        <f t="array" ref="AL10">IF(AND($L10&lt;&gt;"",AL$8&lt;&gt;""),COUNTIFS($I$9:$I$59,$L10,$J$9:$J$59,AL$8),0)</f>
        <v>0</v>
      </c>
      <c r="AM10" s="175">
        <f t="array" ref="AM10">IF(AND($L10&lt;&gt;"",AM$8&lt;&gt;""),COUNTIFS($I$9:$I$59,$L10,$J$9:$J$59,AM$8),0)</f>
        <v>0</v>
      </c>
      <c r="AN10" s="175">
        <f t="array" ref="AN10">IF(AND($L10&lt;&gt;"",AN$8&lt;&gt;""),COUNTIFS($I$9:$I$59,$L10,$J$9:$J$59,AN$8),0)</f>
        <v>0</v>
      </c>
      <c r="AO10" s="175">
        <f t="array" ref="AO10">IF(AND($L10&lt;&gt;"",AO$8&lt;&gt;""),COUNTIFS($I$9:$I$59,$L10,$J$9:$J$59,AO$8),0)</f>
        <v>0</v>
      </c>
      <c r="AP10" s="175">
        <f t="array" ref="AP10">IF(AND($L10&lt;&gt;"",AP$8&lt;&gt;""),COUNTIFS($I$9:$I$59,$L10,$J$9:$J$59,AP$8),0)</f>
        <v>0</v>
      </c>
      <c r="AQ10" s="175">
        <f t="array" ref="AQ10">IF(AND($L10&lt;&gt;"",AQ$8&lt;&gt;""),COUNTIFS($I$9:$I$59,$L10,$J$9:$J$59,AQ$8),0)</f>
        <v>0</v>
      </c>
      <c r="AR10" s="175">
        <f t="array" ref="AR10">IF(AND($L10&lt;&gt;"",AR$8&lt;&gt;""),COUNTIFS($I$9:$I$59,$L10,$J$9:$J$59,AR$8),0)</f>
        <v>0</v>
      </c>
      <c r="AS10" s="175">
        <f t="array" ref="AS10">IF(AND($L10&lt;&gt;"",AS$8&lt;&gt;""),COUNTIFS($I$9:$I$59,$L10,$J$9:$J$59,AS$8),0)</f>
        <v>0</v>
      </c>
      <c r="AT10" s="175">
        <f t="array" ref="AT10">IF(AND($L10&lt;&gt;"",AT$8&lt;&gt;""),COUNTIFS($I$9:$I$59,$L10,$J$9:$J$59,AT$8),0)</f>
        <v>0</v>
      </c>
      <c r="AU10" s="175">
        <f t="array" ref="AU10">IF(AND($L10&lt;&gt;"",AU$8&lt;&gt;""),COUNTIFS($I$9:$I$59,$L10,$J$9:$J$59,AU$8),0)</f>
        <v>0</v>
      </c>
      <c r="AV10" s="175">
        <f t="array" ref="AV10">IF(AND($L10&lt;&gt;"",AV$8&lt;&gt;""),COUNTIFS($I$9:$I$59,$L10,$J$9:$J$59,AV$8),0)</f>
        <v>0</v>
      </c>
      <c r="AW10" s="175">
        <f t="array" ref="AW10">IF(AND($L10&lt;&gt;"",AW$8&lt;&gt;""),COUNTIFS($I$9:$I$59,$L10,$J$9:$J$59,AW$8),0)</f>
        <v>0</v>
      </c>
      <c r="AX10" s="175">
        <f t="array" ref="AX10">IF(AND($L10&lt;&gt;"",AX$8&lt;&gt;""),COUNTIFS($I$9:$I$59,$L10,$J$9:$J$59,AX$8),0)</f>
        <v>0</v>
      </c>
      <c r="AY10" s="175">
        <f t="array" ref="AY10">IF(AND($L10&lt;&gt;"",AY$8&lt;&gt;""),COUNTIFS($I$9:$I$59,$L10,$J$9:$J$59,AY$8),0)</f>
        <v>0</v>
      </c>
      <c r="AZ10" s="175">
        <f t="array" ref="AZ10">IF(AND($L10&lt;&gt;"",AZ$8&lt;&gt;""),COUNTIFS($I$9:$I$59,$L10,$J$9:$J$59,AZ$8),0)</f>
        <v>0</v>
      </c>
      <c r="BA10" s="175">
        <f t="array" ref="BA10">IF(AND($L10&lt;&gt;"",BA$8&lt;&gt;""),COUNTIFS($I$9:$I$59,$L10,$J$9:$J$59,BA$8),0)</f>
        <v>0</v>
      </c>
      <c r="BB10" s="175">
        <f t="array" ref="BB10">IF(AND($L10&lt;&gt;"",BB$8&lt;&gt;""),COUNTIFS($I$9:$I$59,$L10,$J$9:$J$59,BB$8),0)</f>
        <v>0</v>
      </c>
      <c r="BC10" s="175">
        <f t="array" ref="BC10">IF(AND($L10&lt;&gt;"",BC$8&lt;&gt;""),COUNTIFS($I$9:$I$59,$L10,$J$9:$J$59,BC$8),0)</f>
        <v>0</v>
      </c>
      <c r="BD10" s="175">
        <f t="array" ref="BD10">IF(AND($L10&lt;&gt;"",BD$8&lt;&gt;""),COUNTIFS($I$9:$I$59,$L10,$J$9:$J$59,BD$8),0)</f>
        <v>0</v>
      </c>
      <c r="BE10" s="175">
        <f t="array" ref="BE10">IF(AND($L10&lt;&gt;"",BE$8&lt;&gt;""),COUNTIFS($I$9:$I$59,$L10,$J$9:$J$59,BE$8),0)</f>
        <v>0</v>
      </c>
      <c r="BF10" s="175">
        <f t="array" ref="BF10">IF(AND($L10&lt;&gt;"",BF$8&lt;&gt;""),COUNTIFS($I$9:$I$59,$L10,$J$9:$J$59,BF$8),0)</f>
        <v>0</v>
      </c>
      <c r="BG10" s="175">
        <f t="array" ref="BG10">IF(AND($L10&lt;&gt;"",BG$8&lt;&gt;""),COUNTIFS($I$9:$I$59,$L10,$J$9:$J$59,BG$8),0)</f>
        <v>0</v>
      </c>
      <c r="BH10" s="175">
        <f t="array" ref="BH10">IF(AND($L10&lt;&gt;"",BH$8&lt;&gt;""),COUNTIFS($I$9:$I$59,$L10,$J$9:$J$59,BH$8),0)</f>
        <v>0</v>
      </c>
      <c r="BI10" s="175">
        <f t="array" ref="BI10">IF(AND($L10&lt;&gt;"",BI$8&lt;&gt;""),COUNTIFS($I$9:$I$59,$L10,$J$9:$J$59,BI$8),0)</f>
        <v>0</v>
      </c>
      <c r="BJ10" s="175">
        <f t="array" ref="BJ10">IF(AND($L10&lt;&gt;"",BJ$8&lt;&gt;""),COUNTIFS($I$9:$I$59,$L10,$J$9:$J$59,BJ$8),0)</f>
        <v>0</v>
      </c>
    </row>
    <row r="11" spans="1:62" x14ac:dyDescent="0.2">
      <c r="A11" s="14"/>
      <c r="B11" s="108" t="s">
        <v>38</v>
      </c>
      <c r="C11" s="147"/>
      <c r="D11" s="104"/>
      <c r="E11" s="20"/>
      <c r="F11" s="105"/>
      <c r="G11" s="253"/>
      <c r="H11" s="109"/>
      <c r="I11" s="239" t="str">
        <f t="shared" si="1"/>
        <v/>
      </c>
      <c r="J11" s="168" t="str">
        <f t="shared" si="0"/>
        <v/>
      </c>
      <c r="L11" s="174" t="str">
        <f t="array" ref="L11">IFERROR(INDEX($I$9:$I$59,MATCH(0,COUNTIF($L$8:$L10,$I$9:$I$59),0)),"")</f>
        <v/>
      </c>
      <c r="M11" s="175">
        <f t="array" ref="M11">IF(AND($L11&lt;&gt;"",M$8&lt;&gt;""),COUNTIFS($I$9:$I$59,$L11,$J$9:$J$59,M$8),0)</f>
        <v>0</v>
      </c>
      <c r="N11" s="175">
        <f t="array" ref="N11">IF(AND($L11&lt;&gt;"",N$8&lt;&gt;""),COUNTIFS($I$9:$I$59,$L11,$J$9:$J$59,N$8),0)</f>
        <v>0</v>
      </c>
      <c r="O11" s="175">
        <f t="array" ref="O11">IF(AND($L11&lt;&gt;"",O$8&lt;&gt;""),COUNTIFS($I$9:$I$59,$L11,$J$9:$J$59,O$8),0)</f>
        <v>0</v>
      </c>
      <c r="P11" s="175">
        <f t="array" ref="P11">IF(AND($L11&lt;&gt;"",P$8&lt;&gt;""),COUNTIFS($I$9:$I$59,$L11,$J$9:$J$59,P$8),0)</f>
        <v>0</v>
      </c>
      <c r="Q11" s="175">
        <f t="array" ref="Q11">IF(AND($L11&lt;&gt;"",Q$8&lt;&gt;""),COUNTIFS($I$9:$I$59,$L11,$J$9:$J$59,Q$8),0)</f>
        <v>0</v>
      </c>
      <c r="R11" s="175">
        <f t="array" ref="R11">IF(AND($L11&lt;&gt;"",R$8&lt;&gt;""),COUNTIFS($I$9:$I$59,$L11,$J$9:$J$59,R$8),0)</f>
        <v>0</v>
      </c>
      <c r="S11" s="175">
        <f t="array" ref="S11">IF(AND($L11&lt;&gt;"",S$8&lt;&gt;""),COUNTIFS($I$9:$I$59,$L11,$J$9:$J$59,S$8),0)</f>
        <v>0</v>
      </c>
      <c r="T11" s="175">
        <f t="array" ref="T11">IF(AND($L11&lt;&gt;"",T$8&lt;&gt;""),COUNTIFS($I$9:$I$59,$L11,$J$9:$J$59,T$8),0)</f>
        <v>0</v>
      </c>
      <c r="U11" s="175">
        <f t="array" ref="U11">IF(AND($L11&lt;&gt;"",U$8&lt;&gt;""),COUNTIFS($I$9:$I$59,$L11,$J$9:$J$59,U$8),0)</f>
        <v>0</v>
      </c>
      <c r="V11" s="175">
        <f t="array" ref="V11">IF(AND($L11&lt;&gt;"",V$8&lt;&gt;""),COUNTIFS($I$9:$I$59,$L11,$J$9:$J$59,V$8),0)</f>
        <v>0</v>
      </c>
      <c r="W11" s="175">
        <f t="array" ref="W11">IF(AND($L11&lt;&gt;"",W$8&lt;&gt;""),COUNTIFS($I$9:$I$59,$L11,$J$9:$J$59,W$8),0)</f>
        <v>0</v>
      </c>
      <c r="X11" s="175">
        <f t="array" ref="X11">IF(AND($L11&lt;&gt;"",X$8&lt;&gt;""),COUNTIFS($I$9:$I$59,$L11,$J$9:$J$59,X$8),0)</f>
        <v>0</v>
      </c>
      <c r="Y11" s="175">
        <f t="array" ref="Y11">IF(AND($L11&lt;&gt;"",Y$8&lt;&gt;""),COUNTIFS($I$9:$I$59,$L11,$J$9:$J$59,Y$8),0)</f>
        <v>0</v>
      </c>
      <c r="Z11" s="175">
        <f t="array" ref="Z11">IF(AND($L11&lt;&gt;"",Z$8&lt;&gt;""),COUNTIFS($I$9:$I$59,$L11,$J$9:$J$59,Z$8),0)</f>
        <v>0</v>
      </c>
      <c r="AA11" s="175">
        <f t="array" ref="AA11">IF(AND($L11&lt;&gt;"",AA$8&lt;&gt;""),COUNTIFS($I$9:$I$59,$L11,$J$9:$J$59,AA$8),0)</f>
        <v>0</v>
      </c>
      <c r="AB11" s="175">
        <f t="array" ref="AB11">IF(AND($L11&lt;&gt;"",AB$8&lt;&gt;""),COUNTIFS($I$9:$I$59,$L11,$J$9:$J$59,AB$8),0)</f>
        <v>0</v>
      </c>
      <c r="AC11" s="175">
        <f t="array" ref="AC11">IF(AND($L11&lt;&gt;"",AC$8&lt;&gt;""),COUNTIFS($I$9:$I$59,$L11,$J$9:$J$59,AC$8),0)</f>
        <v>0</v>
      </c>
      <c r="AD11" s="175">
        <f t="array" ref="AD11">IF(AND($L11&lt;&gt;"",AD$8&lt;&gt;""),COUNTIFS($I$9:$I$59,$L11,$J$9:$J$59,AD$8),0)</f>
        <v>0</v>
      </c>
      <c r="AE11" s="175">
        <f t="array" ref="AE11">IF(AND($L11&lt;&gt;"",AE$8&lt;&gt;""),COUNTIFS($I$9:$I$59,$L11,$J$9:$J$59,AE$8),0)</f>
        <v>0</v>
      </c>
      <c r="AF11" s="175">
        <f t="array" ref="AF11">IF(AND($L11&lt;&gt;"",AF$8&lt;&gt;""),COUNTIFS($I$9:$I$59,$L11,$J$9:$J$59,AF$8),0)</f>
        <v>0</v>
      </c>
      <c r="AG11" s="175">
        <f t="array" ref="AG11">IF(AND($L11&lt;&gt;"",AG$8&lt;&gt;""),COUNTIFS($I$9:$I$59,$L11,$J$9:$J$59,AG$8),0)</f>
        <v>0</v>
      </c>
      <c r="AH11" s="175">
        <f t="array" ref="AH11">IF(AND($L11&lt;&gt;"",AH$8&lt;&gt;""),COUNTIFS($I$9:$I$59,$L11,$J$9:$J$59,AH$8),0)</f>
        <v>0</v>
      </c>
      <c r="AI11" s="175">
        <f t="array" ref="AI11">IF(AND($L11&lt;&gt;"",AI$8&lt;&gt;""),COUNTIFS($I$9:$I$59,$L11,$J$9:$J$59,AI$8),0)</f>
        <v>0</v>
      </c>
      <c r="AJ11" s="175">
        <f t="array" ref="AJ11">IF(AND($L11&lt;&gt;"",AJ$8&lt;&gt;""),COUNTIFS($I$9:$I$59,$L11,$J$9:$J$59,AJ$8),0)</f>
        <v>0</v>
      </c>
      <c r="AK11" s="175">
        <f t="array" ref="AK11">IF(AND($L11&lt;&gt;"",AK$8&lt;&gt;""),COUNTIFS($I$9:$I$59,$L11,$J$9:$J$59,AK$8),0)</f>
        <v>0</v>
      </c>
      <c r="AL11" s="175">
        <f t="array" ref="AL11">IF(AND($L11&lt;&gt;"",AL$8&lt;&gt;""),COUNTIFS($I$9:$I$59,$L11,$J$9:$J$59,AL$8),0)</f>
        <v>0</v>
      </c>
      <c r="AM11" s="175">
        <f t="array" ref="AM11">IF(AND($L11&lt;&gt;"",AM$8&lt;&gt;""),COUNTIFS($I$9:$I$59,$L11,$J$9:$J$59,AM$8),0)</f>
        <v>0</v>
      </c>
      <c r="AN11" s="175">
        <f t="array" ref="AN11">IF(AND($L11&lt;&gt;"",AN$8&lt;&gt;""),COUNTIFS($I$9:$I$59,$L11,$J$9:$J$59,AN$8),0)</f>
        <v>0</v>
      </c>
      <c r="AO11" s="175">
        <f t="array" ref="AO11">IF(AND($L11&lt;&gt;"",AO$8&lt;&gt;""),COUNTIFS($I$9:$I$59,$L11,$J$9:$J$59,AO$8),0)</f>
        <v>0</v>
      </c>
      <c r="AP11" s="175">
        <f t="array" ref="AP11">IF(AND($L11&lt;&gt;"",AP$8&lt;&gt;""),COUNTIFS($I$9:$I$59,$L11,$J$9:$J$59,AP$8),0)</f>
        <v>0</v>
      </c>
      <c r="AQ11" s="175">
        <f t="array" ref="AQ11">IF(AND($L11&lt;&gt;"",AQ$8&lt;&gt;""),COUNTIFS($I$9:$I$59,$L11,$J$9:$J$59,AQ$8),0)</f>
        <v>0</v>
      </c>
      <c r="AR11" s="175">
        <f t="array" ref="AR11">IF(AND($L11&lt;&gt;"",AR$8&lt;&gt;""),COUNTIFS($I$9:$I$59,$L11,$J$9:$J$59,AR$8),0)</f>
        <v>0</v>
      </c>
      <c r="AS11" s="175">
        <f t="array" ref="AS11">IF(AND($L11&lt;&gt;"",AS$8&lt;&gt;""),COUNTIFS($I$9:$I$59,$L11,$J$9:$J$59,AS$8),0)</f>
        <v>0</v>
      </c>
      <c r="AT11" s="175">
        <f t="array" ref="AT11">IF(AND($L11&lt;&gt;"",AT$8&lt;&gt;""),COUNTIFS($I$9:$I$59,$L11,$J$9:$J$59,AT$8),0)</f>
        <v>0</v>
      </c>
      <c r="AU11" s="175">
        <f t="array" ref="AU11">IF(AND($L11&lt;&gt;"",AU$8&lt;&gt;""),COUNTIFS($I$9:$I$59,$L11,$J$9:$J$59,AU$8),0)</f>
        <v>0</v>
      </c>
      <c r="AV11" s="175">
        <f t="array" ref="AV11">IF(AND($L11&lt;&gt;"",AV$8&lt;&gt;""),COUNTIFS($I$9:$I$59,$L11,$J$9:$J$59,AV$8),0)</f>
        <v>0</v>
      </c>
      <c r="AW11" s="175">
        <f t="array" ref="AW11">IF(AND($L11&lt;&gt;"",AW$8&lt;&gt;""),COUNTIFS($I$9:$I$59,$L11,$J$9:$J$59,AW$8),0)</f>
        <v>0</v>
      </c>
      <c r="AX11" s="175">
        <f t="array" ref="AX11">IF(AND($L11&lt;&gt;"",AX$8&lt;&gt;""),COUNTIFS($I$9:$I$59,$L11,$J$9:$J$59,AX$8),0)</f>
        <v>0</v>
      </c>
      <c r="AY11" s="175">
        <f t="array" ref="AY11">IF(AND($L11&lt;&gt;"",AY$8&lt;&gt;""),COUNTIFS($I$9:$I$59,$L11,$J$9:$J$59,AY$8),0)</f>
        <v>0</v>
      </c>
      <c r="AZ11" s="175">
        <f t="array" ref="AZ11">IF(AND($L11&lt;&gt;"",AZ$8&lt;&gt;""),COUNTIFS($I$9:$I$59,$L11,$J$9:$J$59,AZ$8),0)</f>
        <v>0</v>
      </c>
      <c r="BA11" s="175">
        <f t="array" ref="BA11">IF(AND($L11&lt;&gt;"",BA$8&lt;&gt;""),COUNTIFS($I$9:$I$59,$L11,$J$9:$J$59,BA$8),0)</f>
        <v>0</v>
      </c>
      <c r="BB11" s="175">
        <f t="array" ref="BB11">IF(AND($L11&lt;&gt;"",BB$8&lt;&gt;""),COUNTIFS($I$9:$I$59,$L11,$J$9:$J$59,BB$8),0)</f>
        <v>0</v>
      </c>
      <c r="BC11" s="175">
        <f t="array" ref="BC11">IF(AND($L11&lt;&gt;"",BC$8&lt;&gt;""),COUNTIFS($I$9:$I$59,$L11,$J$9:$J$59,BC$8),0)</f>
        <v>0</v>
      </c>
      <c r="BD11" s="175">
        <f t="array" ref="BD11">IF(AND($L11&lt;&gt;"",BD$8&lt;&gt;""),COUNTIFS($I$9:$I$59,$L11,$J$9:$J$59,BD$8),0)</f>
        <v>0</v>
      </c>
      <c r="BE11" s="175">
        <f t="array" ref="BE11">IF(AND($L11&lt;&gt;"",BE$8&lt;&gt;""),COUNTIFS($I$9:$I$59,$L11,$J$9:$J$59,BE$8),0)</f>
        <v>0</v>
      </c>
      <c r="BF11" s="175">
        <f t="array" ref="BF11">IF(AND($L11&lt;&gt;"",BF$8&lt;&gt;""),COUNTIFS($I$9:$I$59,$L11,$J$9:$J$59,BF$8),0)</f>
        <v>0</v>
      </c>
      <c r="BG11" s="175">
        <f t="array" ref="BG11">IF(AND($L11&lt;&gt;"",BG$8&lt;&gt;""),COUNTIFS($I$9:$I$59,$L11,$J$9:$J$59,BG$8),0)</f>
        <v>0</v>
      </c>
      <c r="BH11" s="175">
        <f t="array" ref="BH11">IF(AND($L11&lt;&gt;"",BH$8&lt;&gt;""),COUNTIFS($I$9:$I$59,$L11,$J$9:$J$59,BH$8),0)</f>
        <v>0</v>
      </c>
      <c r="BI11" s="175">
        <f t="array" ref="BI11">IF(AND($L11&lt;&gt;"",BI$8&lt;&gt;""),COUNTIFS($I$9:$I$59,$L11,$J$9:$J$59,BI$8),0)</f>
        <v>0</v>
      </c>
      <c r="BJ11" s="175">
        <f t="array" ref="BJ11">IF(AND($L11&lt;&gt;"",BJ$8&lt;&gt;""),COUNTIFS($I$9:$I$59,$L11,$J$9:$J$59,BJ$8),0)</f>
        <v>0</v>
      </c>
    </row>
    <row r="12" spans="1:62" x14ac:dyDescent="0.2">
      <c r="A12" s="14"/>
      <c r="B12" s="108" t="s">
        <v>40</v>
      </c>
      <c r="C12" s="147"/>
      <c r="D12" s="104"/>
      <c r="E12" s="20"/>
      <c r="F12" s="105"/>
      <c r="G12" s="253"/>
      <c r="H12" s="109"/>
      <c r="I12" s="239" t="str">
        <f t="shared" si="1"/>
        <v/>
      </c>
      <c r="J12" s="168" t="str">
        <f t="shared" si="0"/>
        <v/>
      </c>
      <c r="L12" s="174" t="str">
        <f t="array" ref="L12">IFERROR(INDEX($I$9:$I$59,MATCH(0,COUNTIF($L$8:$L11,$I$9:$I$59),0)),"")</f>
        <v/>
      </c>
      <c r="M12" s="175">
        <f t="array" ref="M12">IF(AND($L12&lt;&gt;"",M$8&lt;&gt;""),COUNTIFS($I$9:$I$59,$L12,$J$9:$J$59,M$8),0)</f>
        <v>0</v>
      </c>
      <c r="N12" s="175">
        <f t="array" ref="N12">IF(AND($L12&lt;&gt;"",N$8&lt;&gt;""),COUNTIFS($I$9:$I$59,$L12,$J$9:$J$59,N$8),0)</f>
        <v>0</v>
      </c>
      <c r="O12" s="175">
        <f t="array" ref="O12">IF(AND($L12&lt;&gt;"",O$8&lt;&gt;""),COUNTIFS($I$9:$I$59,$L12,$J$9:$J$59,O$8),0)</f>
        <v>0</v>
      </c>
      <c r="P12" s="175">
        <f t="array" ref="P12">IF(AND($L12&lt;&gt;"",P$8&lt;&gt;""),COUNTIFS($I$9:$I$59,$L12,$J$9:$J$59,P$8),0)</f>
        <v>0</v>
      </c>
      <c r="Q12" s="175">
        <f t="array" ref="Q12">IF(AND($L12&lt;&gt;"",Q$8&lt;&gt;""),COUNTIFS($I$9:$I$59,$L12,$J$9:$J$59,Q$8),0)</f>
        <v>0</v>
      </c>
      <c r="R12" s="175">
        <f t="array" ref="R12">IF(AND($L12&lt;&gt;"",R$8&lt;&gt;""),COUNTIFS($I$9:$I$59,$L12,$J$9:$J$59,R$8),0)</f>
        <v>0</v>
      </c>
      <c r="S12" s="175">
        <f t="array" ref="S12">IF(AND($L12&lt;&gt;"",S$8&lt;&gt;""),COUNTIFS($I$9:$I$59,$L12,$J$9:$J$59,S$8),0)</f>
        <v>0</v>
      </c>
      <c r="T12" s="175">
        <f t="array" ref="T12">IF(AND($L12&lt;&gt;"",T$8&lt;&gt;""),COUNTIFS($I$9:$I$59,$L12,$J$9:$J$59,T$8),0)</f>
        <v>0</v>
      </c>
      <c r="U12" s="175">
        <f t="array" ref="U12">IF(AND($L12&lt;&gt;"",U$8&lt;&gt;""),COUNTIFS($I$9:$I$59,$L12,$J$9:$J$59,U$8),0)</f>
        <v>0</v>
      </c>
      <c r="V12" s="175">
        <f t="array" ref="V12">IF(AND($L12&lt;&gt;"",V$8&lt;&gt;""),COUNTIFS($I$9:$I$59,$L12,$J$9:$J$59,V$8),0)</f>
        <v>0</v>
      </c>
      <c r="W12" s="175">
        <f t="array" ref="W12">IF(AND($L12&lt;&gt;"",W$8&lt;&gt;""),COUNTIFS($I$9:$I$59,$L12,$J$9:$J$59,W$8),0)</f>
        <v>0</v>
      </c>
      <c r="X12" s="175">
        <f t="array" ref="X12">IF(AND($L12&lt;&gt;"",X$8&lt;&gt;""),COUNTIFS($I$9:$I$59,$L12,$J$9:$J$59,X$8),0)</f>
        <v>0</v>
      </c>
      <c r="Y12" s="175">
        <f t="array" ref="Y12">IF(AND($L12&lt;&gt;"",Y$8&lt;&gt;""),COUNTIFS($I$9:$I$59,$L12,$J$9:$J$59,Y$8),0)</f>
        <v>0</v>
      </c>
      <c r="Z12" s="175">
        <f t="array" ref="Z12">IF(AND($L12&lt;&gt;"",Z$8&lt;&gt;""),COUNTIFS($I$9:$I$59,$L12,$J$9:$J$59,Z$8),0)</f>
        <v>0</v>
      </c>
      <c r="AA12" s="175">
        <f t="array" ref="AA12">IF(AND($L12&lt;&gt;"",AA$8&lt;&gt;""),COUNTIFS($I$9:$I$59,$L12,$J$9:$J$59,AA$8),0)</f>
        <v>0</v>
      </c>
      <c r="AB12" s="175">
        <f t="array" ref="AB12">IF(AND($L12&lt;&gt;"",AB$8&lt;&gt;""),COUNTIFS($I$9:$I$59,$L12,$J$9:$J$59,AB$8),0)</f>
        <v>0</v>
      </c>
      <c r="AC12" s="175">
        <f t="array" ref="AC12">IF(AND($L12&lt;&gt;"",AC$8&lt;&gt;""),COUNTIFS($I$9:$I$59,$L12,$J$9:$J$59,AC$8),0)</f>
        <v>0</v>
      </c>
      <c r="AD12" s="175">
        <f t="array" ref="AD12">IF(AND($L12&lt;&gt;"",AD$8&lt;&gt;""),COUNTIFS($I$9:$I$59,$L12,$J$9:$J$59,AD$8),0)</f>
        <v>0</v>
      </c>
      <c r="AE12" s="175">
        <f t="array" ref="AE12">IF(AND($L12&lt;&gt;"",AE$8&lt;&gt;""),COUNTIFS($I$9:$I$59,$L12,$J$9:$J$59,AE$8),0)</f>
        <v>0</v>
      </c>
      <c r="AF12" s="175">
        <f t="array" ref="AF12">IF(AND($L12&lt;&gt;"",AF$8&lt;&gt;""),COUNTIFS($I$9:$I$59,$L12,$J$9:$J$59,AF$8),0)</f>
        <v>0</v>
      </c>
      <c r="AG12" s="175">
        <f t="array" ref="AG12">IF(AND($L12&lt;&gt;"",AG$8&lt;&gt;""),COUNTIFS($I$9:$I$59,$L12,$J$9:$J$59,AG$8),0)</f>
        <v>0</v>
      </c>
      <c r="AH12" s="175">
        <f t="array" ref="AH12">IF(AND($L12&lt;&gt;"",AH$8&lt;&gt;""),COUNTIFS($I$9:$I$59,$L12,$J$9:$J$59,AH$8),0)</f>
        <v>0</v>
      </c>
      <c r="AI12" s="175">
        <f t="array" ref="AI12">IF(AND($L12&lt;&gt;"",AI$8&lt;&gt;""),COUNTIFS($I$9:$I$59,$L12,$J$9:$J$59,AI$8),0)</f>
        <v>0</v>
      </c>
      <c r="AJ12" s="175">
        <f t="array" ref="AJ12">IF(AND($L12&lt;&gt;"",AJ$8&lt;&gt;""),COUNTIFS($I$9:$I$59,$L12,$J$9:$J$59,AJ$8),0)</f>
        <v>0</v>
      </c>
      <c r="AK12" s="175">
        <f t="array" ref="AK12">IF(AND($L12&lt;&gt;"",AK$8&lt;&gt;""),COUNTIFS($I$9:$I$59,$L12,$J$9:$J$59,AK$8),0)</f>
        <v>0</v>
      </c>
      <c r="AL12" s="175">
        <f t="array" ref="AL12">IF(AND($L12&lt;&gt;"",AL$8&lt;&gt;""),COUNTIFS($I$9:$I$59,$L12,$J$9:$J$59,AL$8),0)</f>
        <v>0</v>
      </c>
      <c r="AM12" s="175">
        <f t="array" ref="AM12">IF(AND($L12&lt;&gt;"",AM$8&lt;&gt;""),COUNTIFS($I$9:$I$59,$L12,$J$9:$J$59,AM$8),0)</f>
        <v>0</v>
      </c>
      <c r="AN12" s="175">
        <f t="array" ref="AN12">IF(AND($L12&lt;&gt;"",AN$8&lt;&gt;""),COUNTIFS($I$9:$I$59,$L12,$J$9:$J$59,AN$8),0)</f>
        <v>0</v>
      </c>
      <c r="AO12" s="175">
        <f t="array" ref="AO12">IF(AND($L12&lt;&gt;"",AO$8&lt;&gt;""),COUNTIFS($I$9:$I$59,$L12,$J$9:$J$59,AO$8),0)</f>
        <v>0</v>
      </c>
      <c r="AP12" s="175">
        <f t="array" ref="AP12">IF(AND($L12&lt;&gt;"",AP$8&lt;&gt;""),COUNTIFS($I$9:$I$59,$L12,$J$9:$J$59,AP$8),0)</f>
        <v>0</v>
      </c>
      <c r="AQ12" s="175">
        <f t="array" ref="AQ12">IF(AND($L12&lt;&gt;"",AQ$8&lt;&gt;""),COUNTIFS($I$9:$I$59,$L12,$J$9:$J$59,AQ$8),0)</f>
        <v>0</v>
      </c>
      <c r="AR12" s="175">
        <f t="array" ref="AR12">IF(AND($L12&lt;&gt;"",AR$8&lt;&gt;""),COUNTIFS($I$9:$I$59,$L12,$J$9:$J$59,AR$8),0)</f>
        <v>0</v>
      </c>
      <c r="AS12" s="175">
        <f t="array" ref="AS12">IF(AND($L12&lt;&gt;"",AS$8&lt;&gt;""),COUNTIFS($I$9:$I$59,$L12,$J$9:$J$59,AS$8),0)</f>
        <v>0</v>
      </c>
      <c r="AT12" s="175">
        <f t="array" ref="AT12">IF(AND($L12&lt;&gt;"",AT$8&lt;&gt;""),COUNTIFS($I$9:$I$59,$L12,$J$9:$J$59,AT$8),0)</f>
        <v>0</v>
      </c>
      <c r="AU12" s="175">
        <f t="array" ref="AU12">IF(AND($L12&lt;&gt;"",AU$8&lt;&gt;""),COUNTIFS($I$9:$I$59,$L12,$J$9:$J$59,AU$8),0)</f>
        <v>0</v>
      </c>
      <c r="AV12" s="175">
        <f t="array" ref="AV12">IF(AND($L12&lt;&gt;"",AV$8&lt;&gt;""),COUNTIFS($I$9:$I$59,$L12,$J$9:$J$59,AV$8),0)</f>
        <v>0</v>
      </c>
      <c r="AW12" s="175">
        <f t="array" ref="AW12">IF(AND($L12&lt;&gt;"",AW$8&lt;&gt;""),COUNTIFS($I$9:$I$59,$L12,$J$9:$J$59,AW$8),0)</f>
        <v>0</v>
      </c>
      <c r="AX12" s="175">
        <f t="array" ref="AX12">IF(AND($L12&lt;&gt;"",AX$8&lt;&gt;""),COUNTIFS($I$9:$I$59,$L12,$J$9:$J$59,AX$8),0)</f>
        <v>0</v>
      </c>
      <c r="AY12" s="175">
        <f t="array" ref="AY12">IF(AND($L12&lt;&gt;"",AY$8&lt;&gt;""),COUNTIFS($I$9:$I$59,$L12,$J$9:$J$59,AY$8),0)</f>
        <v>0</v>
      </c>
      <c r="AZ12" s="175">
        <f t="array" ref="AZ12">IF(AND($L12&lt;&gt;"",AZ$8&lt;&gt;""),COUNTIFS($I$9:$I$59,$L12,$J$9:$J$59,AZ$8),0)</f>
        <v>0</v>
      </c>
      <c r="BA12" s="175">
        <f t="array" ref="BA12">IF(AND($L12&lt;&gt;"",BA$8&lt;&gt;""),COUNTIFS($I$9:$I$59,$L12,$J$9:$J$59,BA$8),0)</f>
        <v>0</v>
      </c>
      <c r="BB12" s="175">
        <f t="array" ref="BB12">IF(AND($L12&lt;&gt;"",BB$8&lt;&gt;""),COUNTIFS($I$9:$I$59,$L12,$J$9:$J$59,BB$8),0)</f>
        <v>0</v>
      </c>
      <c r="BC12" s="175">
        <f t="array" ref="BC12">IF(AND($L12&lt;&gt;"",BC$8&lt;&gt;""),COUNTIFS($I$9:$I$59,$L12,$J$9:$J$59,BC$8),0)</f>
        <v>0</v>
      </c>
      <c r="BD12" s="175">
        <f t="array" ref="BD12">IF(AND($L12&lt;&gt;"",BD$8&lt;&gt;""),COUNTIFS($I$9:$I$59,$L12,$J$9:$J$59,BD$8),0)</f>
        <v>0</v>
      </c>
      <c r="BE12" s="175">
        <f t="array" ref="BE12">IF(AND($L12&lt;&gt;"",BE$8&lt;&gt;""),COUNTIFS($I$9:$I$59,$L12,$J$9:$J$59,BE$8),0)</f>
        <v>0</v>
      </c>
      <c r="BF12" s="175">
        <f t="array" ref="BF12">IF(AND($L12&lt;&gt;"",BF$8&lt;&gt;""),COUNTIFS($I$9:$I$59,$L12,$J$9:$J$59,BF$8),0)</f>
        <v>0</v>
      </c>
      <c r="BG12" s="175">
        <f t="array" ref="BG12">IF(AND($L12&lt;&gt;"",BG$8&lt;&gt;""),COUNTIFS($I$9:$I$59,$L12,$J$9:$J$59,BG$8),0)</f>
        <v>0</v>
      </c>
      <c r="BH12" s="175">
        <f t="array" ref="BH12">IF(AND($L12&lt;&gt;"",BH$8&lt;&gt;""),COUNTIFS($I$9:$I$59,$L12,$J$9:$J$59,BH$8),0)</f>
        <v>0</v>
      </c>
      <c r="BI12" s="175">
        <f t="array" ref="BI12">IF(AND($L12&lt;&gt;"",BI$8&lt;&gt;""),COUNTIFS($I$9:$I$59,$L12,$J$9:$J$59,BI$8),0)</f>
        <v>0</v>
      </c>
      <c r="BJ12" s="175">
        <f t="array" ref="BJ12">IF(AND($L12&lt;&gt;"",BJ$8&lt;&gt;""),COUNTIFS($I$9:$I$59,$L12,$J$9:$J$59,BJ$8),0)</f>
        <v>0</v>
      </c>
    </row>
    <row r="13" spans="1:62" x14ac:dyDescent="0.2">
      <c r="A13" s="14"/>
      <c r="B13" s="108" t="s">
        <v>41</v>
      </c>
      <c r="C13" s="141"/>
      <c r="D13" s="104"/>
      <c r="E13" s="20"/>
      <c r="F13" s="105"/>
      <c r="G13" s="253"/>
      <c r="H13" s="109"/>
      <c r="I13" s="239" t="str">
        <f t="shared" si="1"/>
        <v/>
      </c>
      <c r="J13" s="168" t="str">
        <f t="shared" si="0"/>
        <v/>
      </c>
      <c r="L13" s="174" t="str">
        <f t="array" ref="L13">IFERROR(INDEX($I$9:$I$59,MATCH(0,COUNTIF($L$8:$L12,$I$9:$I$59),0)),"")</f>
        <v/>
      </c>
      <c r="M13" s="175">
        <f t="array" ref="M13">IF(AND($L13&lt;&gt;"",M$8&lt;&gt;""),COUNTIFS($I$9:$I$59,$L13,$J$9:$J$59,M$8),0)</f>
        <v>0</v>
      </c>
      <c r="N13" s="175">
        <f t="array" ref="N13">IF(AND($L13&lt;&gt;"",N$8&lt;&gt;""),COUNTIFS($I$9:$I$59,$L13,$J$9:$J$59,N$8),0)</f>
        <v>0</v>
      </c>
      <c r="O13" s="175">
        <f t="array" ref="O13">IF(AND($L13&lt;&gt;"",O$8&lt;&gt;""),COUNTIFS($I$9:$I$59,$L13,$J$9:$J$59,O$8),0)</f>
        <v>0</v>
      </c>
      <c r="P13" s="175">
        <f t="array" ref="P13">IF(AND($L13&lt;&gt;"",P$8&lt;&gt;""),COUNTIFS($I$9:$I$59,$L13,$J$9:$J$59,P$8),0)</f>
        <v>0</v>
      </c>
      <c r="Q13" s="175">
        <f t="array" ref="Q13">IF(AND($L13&lt;&gt;"",Q$8&lt;&gt;""),COUNTIFS($I$9:$I$59,$L13,$J$9:$J$59,Q$8),0)</f>
        <v>0</v>
      </c>
      <c r="R13" s="175">
        <f t="array" ref="R13">IF(AND($L13&lt;&gt;"",R$8&lt;&gt;""),COUNTIFS($I$9:$I$59,$L13,$J$9:$J$59,R$8),0)</f>
        <v>0</v>
      </c>
      <c r="S13" s="175">
        <f t="array" ref="S13">IF(AND($L13&lt;&gt;"",S$8&lt;&gt;""),COUNTIFS($I$9:$I$59,$L13,$J$9:$J$59,S$8),0)</f>
        <v>0</v>
      </c>
      <c r="T13" s="175">
        <f t="array" ref="T13">IF(AND($L13&lt;&gt;"",T$8&lt;&gt;""),COUNTIFS($I$9:$I$59,$L13,$J$9:$J$59,T$8),0)</f>
        <v>0</v>
      </c>
      <c r="U13" s="175">
        <f t="array" ref="U13">IF(AND($L13&lt;&gt;"",U$8&lt;&gt;""),COUNTIFS($I$9:$I$59,$L13,$J$9:$J$59,U$8),0)</f>
        <v>0</v>
      </c>
      <c r="V13" s="175">
        <f t="array" ref="V13">IF(AND($L13&lt;&gt;"",V$8&lt;&gt;""),COUNTIFS($I$9:$I$59,$L13,$J$9:$J$59,V$8),0)</f>
        <v>0</v>
      </c>
      <c r="W13" s="175">
        <f t="array" ref="W13">IF(AND($L13&lt;&gt;"",W$8&lt;&gt;""),COUNTIFS($I$9:$I$59,$L13,$J$9:$J$59,W$8),0)</f>
        <v>0</v>
      </c>
      <c r="X13" s="175">
        <f t="array" ref="X13">IF(AND($L13&lt;&gt;"",X$8&lt;&gt;""),COUNTIFS($I$9:$I$59,$L13,$J$9:$J$59,X$8),0)</f>
        <v>0</v>
      </c>
      <c r="Y13" s="175">
        <f t="array" ref="Y13">IF(AND($L13&lt;&gt;"",Y$8&lt;&gt;""),COUNTIFS($I$9:$I$59,$L13,$J$9:$J$59,Y$8),0)</f>
        <v>0</v>
      </c>
      <c r="Z13" s="175">
        <f t="array" ref="Z13">IF(AND($L13&lt;&gt;"",Z$8&lt;&gt;""),COUNTIFS($I$9:$I$59,$L13,$J$9:$J$59,Z$8),0)</f>
        <v>0</v>
      </c>
      <c r="AA13" s="175">
        <f t="array" ref="AA13">IF(AND($L13&lt;&gt;"",AA$8&lt;&gt;""),COUNTIFS($I$9:$I$59,$L13,$J$9:$J$59,AA$8),0)</f>
        <v>0</v>
      </c>
      <c r="AB13" s="175">
        <f t="array" ref="AB13">IF(AND($L13&lt;&gt;"",AB$8&lt;&gt;""),COUNTIFS($I$9:$I$59,$L13,$J$9:$J$59,AB$8),0)</f>
        <v>0</v>
      </c>
      <c r="AC13" s="175">
        <f t="array" ref="AC13">IF(AND($L13&lt;&gt;"",AC$8&lt;&gt;""),COUNTIFS($I$9:$I$59,$L13,$J$9:$J$59,AC$8),0)</f>
        <v>0</v>
      </c>
      <c r="AD13" s="175">
        <f t="array" ref="AD13">IF(AND($L13&lt;&gt;"",AD$8&lt;&gt;""),COUNTIFS($I$9:$I$59,$L13,$J$9:$J$59,AD$8),0)</f>
        <v>0</v>
      </c>
      <c r="AE13" s="175">
        <f t="array" ref="AE13">IF(AND($L13&lt;&gt;"",AE$8&lt;&gt;""),COUNTIFS($I$9:$I$59,$L13,$J$9:$J$59,AE$8),0)</f>
        <v>0</v>
      </c>
      <c r="AF13" s="175">
        <f t="array" ref="AF13">IF(AND($L13&lt;&gt;"",AF$8&lt;&gt;""),COUNTIFS($I$9:$I$59,$L13,$J$9:$J$59,AF$8),0)</f>
        <v>0</v>
      </c>
      <c r="AG13" s="175">
        <f t="array" ref="AG13">IF(AND($L13&lt;&gt;"",AG$8&lt;&gt;""),COUNTIFS($I$9:$I$59,$L13,$J$9:$J$59,AG$8),0)</f>
        <v>0</v>
      </c>
      <c r="AH13" s="175">
        <f t="array" ref="AH13">IF(AND($L13&lt;&gt;"",AH$8&lt;&gt;""),COUNTIFS($I$9:$I$59,$L13,$J$9:$J$59,AH$8),0)</f>
        <v>0</v>
      </c>
      <c r="AI13" s="175">
        <f t="array" ref="AI13">IF(AND($L13&lt;&gt;"",AI$8&lt;&gt;""),COUNTIFS($I$9:$I$59,$L13,$J$9:$J$59,AI$8),0)</f>
        <v>0</v>
      </c>
      <c r="AJ13" s="175">
        <f t="array" ref="AJ13">IF(AND($L13&lt;&gt;"",AJ$8&lt;&gt;""),COUNTIFS($I$9:$I$59,$L13,$J$9:$J$59,AJ$8),0)</f>
        <v>0</v>
      </c>
      <c r="AK13" s="175">
        <f t="array" ref="AK13">IF(AND($L13&lt;&gt;"",AK$8&lt;&gt;""),COUNTIFS($I$9:$I$59,$L13,$J$9:$J$59,AK$8),0)</f>
        <v>0</v>
      </c>
      <c r="AL13" s="175">
        <f t="array" ref="AL13">IF(AND($L13&lt;&gt;"",AL$8&lt;&gt;""),COUNTIFS($I$9:$I$59,$L13,$J$9:$J$59,AL$8),0)</f>
        <v>0</v>
      </c>
      <c r="AM13" s="175">
        <f t="array" ref="AM13">IF(AND($L13&lt;&gt;"",AM$8&lt;&gt;""),COUNTIFS($I$9:$I$59,$L13,$J$9:$J$59,AM$8),0)</f>
        <v>0</v>
      </c>
      <c r="AN13" s="175">
        <f t="array" ref="AN13">IF(AND($L13&lt;&gt;"",AN$8&lt;&gt;""),COUNTIFS($I$9:$I$59,$L13,$J$9:$J$59,AN$8),0)</f>
        <v>0</v>
      </c>
      <c r="AO13" s="175">
        <f t="array" ref="AO13">IF(AND($L13&lt;&gt;"",AO$8&lt;&gt;""),COUNTIFS($I$9:$I$59,$L13,$J$9:$J$59,AO$8),0)</f>
        <v>0</v>
      </c>
      <c r="AP13" s="175">
        <f t="array" ref="AP13">IF(AND($L13&lt;&gt;"",AP$8&lt;&gt;""),COUNTIFS($I$9:$I$59,$L13,$J$9:$J$59,AP$8),0)</f>
        <v>0</v>
      </c>
      <c r="AQ13" s="175">
        <f t="array" ref="AQ13">IF(AND($L13&lt;&gt;"",AQ$8&lt;&gt;""),COUNTIFS($I$9:$I$59,$L13,$J$9:$J$59,AQ$8),0)</f>
        <v>0</v>
      </c>
      <c r="AR13" s="175">
        <f t="array" ref="AR13">IF(AND($L13&lt;&gt;"",AR$8&lt;&gt;""),COUNTIFS($I$9:$I$59,$L13,$J$9:$J$59,AR$8),0)</f>
        <v>0</v>
      </c>
      <c r="AS13" s="175">
        <f t="array" ref="AS13">IF(AND($L13&lt;&gt;"",AS$8&lt;&gt;""),COUNTIFS($I$9:$I$59,$L13,$J$9:$J$59,AS$8),0)</f>
        <v>0</v>
      </c>
      <c r="AT13" s="175">
        <f t="array" ref="AT13">IF(AND($L13&lt;&gt;"",AT$8&lt;&gt;""),COUNTIFS($I$9:$I$59,$L13,$J$9:$J$59,AT$8),0)</f>
        <v>0</v>
      </c>
      <c r="AU13" s="175">
        <f t="array" ref="AU13">IF(AND($L13&lt;&gt;"",AU$8&lt;&gt;""),COUNTIFS($I$9:$I$59,$L13,$J$9:$J$59,AU$8),0)</f>
        <v>0</v>
      </c>
      <c r="AV13" s="175">
        <f t="array" ref="AV13">IF(AND($L13&lt;&gt;"",AV$8&lt;&gt;""),COUNTIFS($I$9:$I$59,$L13,$J$9:$J$59,AV$8),0)</f>
        <v>0</v>
      </c>
      <c r="AW13" s="175">
        <f t="array" ref="AW13">IF(AND($L13&lt;&gt;"",AW$8&lt;&gt;""),COUNTIFS($I$9:$I$59,$L13,$J$9:$J$59,AW$8),0)</f>
        <v>0</v>
      </c>
      <c r="AX13" s="175">
        <f t="array" ref="AX13">IF(AND($L13&lt;&gt;"",AX$8&lt;&gt;""),COUNTIFS($I$9:$I$59,$L13,$J$9:$J$59,AX$8),0)</f>
        <v>0</v>
      </c>
      <c r="AY13" s="175">
        <f t="array" ref="AY13">IF(AND($L13&lt;&gt;"",AY$8&lt;&gt;""),COUNTIFS($I$9:$I$59,$L13,$J$9:$J$59,AY$8),0)</f>
        <v>0</v>
      </c>
      <c r="AZ13" s="175">
        <f t="array" ref="AZ13">IF(AND($L13&lt;&gt;"",AZ$8&lt;&gt;""),COUNTIFS($I$9:$I$59,$L13,$J$9:$J$59,AZ$8),0)</f>
        <v>0</v>
      </c>
      <c r="BA13" s="175">
        <f t="array" ref="BA13">IF(AND($L13&lt;&gt;"",BA$8&lt;&gt;""),COUNTIFS($I$9:$I$59,$L13,$J$9:$J$59,BA$8),0)</f>
        <v>0</v>
      </c>
      <c r="BB13" s="175">
        <f t="array" ref="BB13">IF(AND($L13&lt;&gt;"",BB$8&lt;&gt;""),COUNTIFS($I$9:$I$59,$L13,$J$9:$J$59,BB$8),0)</f>
        <v>0</v>
      </c>
      <c r="BC13" s="175">
        <f t="array" ref="BC13">IF(AND($L13&lt;&gt;"",BC$8&lt;&gt;""),COUNTIFS($I$9:$I$59,$L13,$J$9:$J$59,BC$8),0)</f>
        <v>0</v>
      </c>
      <c r="BD13" s="175">
        <f t="array" ref="BD13">IF(AND($L13&lt;&gt;"",BD$8&lt;&gt;""),COUNTIFS($I$9:$I$59,$L13,$J$9:$J$59,BD$8),0)</f>
        <v>0</v>
      </c>
      <c r="BE13" s="175">
        <f t="array" ref="BE13">IF(AND($L13&lt;&gt;"",BE$8&lt;&gt;""),COUNTIFS($I$9:$I$59,$L13,$J$9:$J$59,BE$8),0)</f>
        <v>0</v>
      </c>
      <c r="BF13" s="175">
        <f t="array" ref="BF13">IF(AND($L13&lt;&gt;"",BF$8&lt;&gt;""),COUNTIFS($I$9:$I$59,$L13,$J$9:$J$59,BF$8),0)</f>
        <v>0</v>
      </c>
      <c r="BG13" s="175">
        <f t="array" ref="BG13">IF(AND($L13&lt;&gt;"",BG$8&lt;&gt;""),COUNTIFS($I$9:$I$59,$L13,$J$9:$J$59,BG$8),0)</f>
        <v>0</v>
      </c>
      <c r="BH13" s="175">
        <f t="array" ref="BH13">IF(AND($L13&lt;&gt;"",BH$8&lt;&gt;""),COUNTIFS($I$9:$I$59,$L13,$J$9:$J$59,BH$8),0)</f>
        <v>0</v>
      </c>
      <c r="BI13" s="175">
        <f t="array" ref="BI13">IF(AND($L13&lt;&gt;"",BI$8&lt;&gt;""),COUNTIFS($I$9:$I$59,$L13,$J$9:$J$59,BI$8),0)</f>
        <v>0</v>
      </c>
      <c r="BJ13" s="175">
        <f t="array" ref="BJ13">IF(AND($L13&lt;&gt;"",BJ$8&lt;&gt;""),COUNTIFS($I$9:$I$59,$L13,$J$9:$J$59,BJ$8),0)</f>
        <v>0</v>
      </c>
    </row>
    <row r="14" spans="1:62" x14ac:dyDescent="0.2">
      <c r="A14" s="14"/>
      <c r="B14" s="108" t="s">
        <v>42</v>
      </c>
      <c r="C14" s="147"/>
      <c r="D14" s="150"/>
      <c r="E14" s="20"/>
      <c r="F14" s="105"/>
      <c r="G14" s="253"/>
      <c r="H14" s="109"/>
      <c r="I14" s="239" t="str">
        <f t="shared" si="1"/>
        <v/>
      </c>
      <c r="J14" s="168" t="str">
        <f t="shared" si="0"/>
        <v/>
      </c>
      <c r="L14" s="174" t="str">
        <f t="array" ref="L14">IFERROR(INDEX($I$9:$I$59,MATCH(0,COUNTIF($L$8:$L13,$I$9:$I$59),0)),"")</f>
        <v/>
      </c>
      <c r="M14" s="175">
        <f t="array" ref="M14">IF(AND($L14&lt;&gt;"",M$8&lt;&gt;""),COUNTIFS($I$9:$I$59,$L14,$J$9:$J$59,M$8),0)</f>
        <v>0</v>
      </c>
      <c r="N14" s="175">
        <f t="array" ref="N14">IF(AND($L14&lt;&gt;"",N$8&lt;&gt;""),COUNTIFS($I$9:$I$59,$L14,$J$9:$J$59,N$8),0)</f>
        <v>0</v>
      </c>
      <c r="O14" s="175">
        <f t="array" ref="O14">IF(AND($L14&lt;&gt;"",O$8&lt;&gt;""),COUNTIFS($I$9:$I$59,$L14,$J$9:$J$59,O$8),0)</f>
        <v>0</v>
      </c>
      <c r="P14" s="175">
        <f t="array" ref="P14">IF(AND($L14&lt;&gt;"",P$8&lt;&gt;""),COUNTIFS($I$9:$I$59,$L14,$J$9:$J$59,P$8),0)</f>
        <v>0</v>
      </c>
      <c r="Q14" s="175">
        <f t="array" ref="Q14">IF(AND($L14&lt;&gt;"",Q$8&lt;&gt;""),COUNTIFS($I$9:$I$59,$L14,$J$9:$J$59,Q$8),0)</f>
        <v>0</v>
      </c>
      <c r="R14" s="175">
        <f t="array" ref="R14">IF(AND($L14&lt;&gt;"",R$8&lt;&gt;""),COUNTIFS($I$9:$I$59,$L14,$J$9:$J$59,R$8),0)</f>
        <v>0</v>
      </c>
      <c r="S14" s="175">
        <f t="array" ref="S14">IF(AND($L14&lt;&gt;"",S$8&lt;&gt;""),COUNTIFS($I$9:$I$59,$L14,$J$9:$J$59,S$8),0)</f>
        <v>0</v>
      </c>
      <c r="T14" s="175">
        <f t="array" ref="T14">IF(AND($L14&lt;&gt;"",T$8&lt;&gt;""),COUNTIFS($I$9:$I$59,$L14,$J$9:$J$59,T$8),0)</f>
        <v>0</v>
      </c>
      <c r="U14" s="175">
        <f t="array" ref="U14">IF(AND($L14&lt;&gt;"",U$8&lt;&gt;""),COUNTIFS($I$9:$I$59,$L14,$J$9:$J$59,U$8),0)</f>
        <v>0</v>
      </c>
      <c r="V14" s="175">
        <f t="array" ref="V14">IF(AND($L14&lt;&gt;"",V$8&lt;&gt;""),COUNTIFS($I$9:$I$59,$L14,$J$9:$J$59,V$8),0)</f>
        <v>0</v>
      </c>
      <c r="W14" s="175">
        <f t="array" ref="W14">IF(AND($L14&lt;&gt;"",W$8&lt;&gt;""),COUNTIFS($I$9:$I$59,$L14,$J$9:$J$59,W$8),0)</f>
        <v>0</v>
      </c>
      <c r="X14" s="175">
        <f t="array" ref="X14">IF(AND($L14&lt;&gt;"",X$8&lt;&gt;""),COUNTIFS($I$9:$I$59,$L14,$J$9:$J$59,X$8),0)</f>
        <v>0</v>
      </c>
      <c r="Y14" s="175">
        <f t="array" ref="Y14">IF(AND($L14&lt;&gt;"",Y$8&lt;&gt;""),COUNTIFS($I$9:$I$59,$L14,$J$9:$J$59,Y$8),0)</f>
        <v>0</v>
      </c>
      <c r="Z14" s="175">
        <f t="array" ref="Z14">IF(AND($L14&lt;&gt;"",Z$8&lt;&gt;""),COUNTIFS($I$9:$I$59,$L14,$J$9:$J$59,Z$8),0)</f>
        <v>0</v>
      </c>
      <c r="AA14" s="175">
        <f t="array" ref="AA14">IF(AND($L14&lt;&gt;"",AA$8&lt;&gt;""),COUNTIFS($I$9:$I$59,$L14,$J$9:$J$59,AA$8),0)</f>
        <v>0</v>
      </c>
      <c r="AB14" s="175">
        <f t="array" ref="AB14">IF(AND($L14&lt;&gt;"",AB$8&lt;&gt;""),COUNTIFS($I$9:$I$59,$L14,$J$9:$J$59,AB$8),0)</f>
        <v>0</v>
      </c>
      <c r="AC14" s="175">
        <f t="array" ref="AC14">IF(AND($L14&lt;&gt;"",AC$8&lt;&gt;""),COUNTIFS($I$9:$I$59,$L14,$J$9:$J$59,AC$8),0)</f>
        <v>0</v>
      </c>
      <c r="AD14" s="175">
        <f t="array" ref="AD14">IF(AND($L14&lt;&gt;"",AD$8&lt;&gt;""),COUNTIFS($I$9:$I$59,$L14,$J$9:$J$59,AD$8),0)</f>
        <v>0</v>
      </c>
      <c r="AE14" s="175">
        <f t="array" ref="AE14">IF(AND($L14&lt;&gt;"",AE$8&lt;&gt;""),COUNTIFS($I$9:$I$59,$L14,$J$9:$J$59,AE$8),0)</f>
        <v>0</v>
      </c>
      <c r="AF14" s="175">
        <f t="array" ref="AF14">IF(AND($L14&lt;&gt;"",AF$8&lt;&gt;""),COUNTIFS($I$9:$I$59,$L14,$J$9:$J$59,AF$8),0)</f>
        <v>0</v>
      </c>
      <c r="AG14" s="175">
        <f t="array" ref="AG14">IF(AND($L14&lt;&gt;"",AG$8&lt;&gt;""),COUNTIFS($I$9:$I$59,$L14,$J$9:$J$59,AG$8),0)</f>
        <v>0</v>
      </c>
      <c r="AH14" s="175">
        <f t="array" ref="AH14">IF(AND($L14&lt;&gt;"",AH$8&lt;&gt;""),COUNTIFS($I$9:$I$59,$L14,$J$9:$J$59,AH$8),0)</f>
        <v>0</v>
      </c>
      <c r="AI14" s="175">
        <f t="array" ref="AI14">IF(AND($L14&lt;&gt;"",AI$8&lt;&gt;""),COUNTIFS($I$9:$I$59,$L14,$J$9:$J$59,AI$8),0)</f>
        <v>0</v>
      </c>
      <c r="AJ14" s="175">
        <f t="array" ref="AJ14">IF(AND($L14&lt;&gt;"",AJ$8&lt;&gt;""),COUNTIFS($I$9:$I$59,$L14,$J$9:$J$59,AJ$8),0)</f>
        <v>0</v>
      </c>
      <c r="AK14" s="175">
        <f t="array" ref="AK14">IF(AND($L14&lt;&gt;"",AK$8&lt;&gt;""),COUNTIFS($I$9:$I$59,$L14,$J$9:$J$59,AK$8),0)</f>
        <v>0</v>
      </c>
      <c r="AL14" s="175">
        <f t="array" ref="AL14">IF(AND($L14&lt;&gt;"",AL$8&lt;&gt;""),COUNTIFS($I$9:$I$59,$L14,$J$9:$J$59,AL$8),0)</f>
        <v>0</v>
      </c>
      <c r="AM14" s="175">
        <f t="array" ref="AM14">IF(AND($L14&lt;&gt;"",AM$8&lt;&gt;""),COUNTIFS($I$9:$I$59,$L14,$J$9:$J$59,AM$8),0)</f>
        <v>0</v>
      </c>
      <c r="AN14" s="175">
        <f t="array" ref="AN14">IF(AND($L14&lt;&gt;"",AN$8&lt;&gt;""),COUNTIFS($I$9:$I$59,$L14,$J$9:$J$59,AN$8),0)</f>
        <v>0</v>
      </c>
      <c r="AO14" s="175">
        <f t="array" ref="AO14">IF(AND($L14&lt;&gt;"",AO$8&lt;&gt;""),COUNTIFS($I$9:$I$59,$L14,$J$9:$J$59,AO$8),0)</f>
        <v>0</v>
      </c>
      <c r="AP14" s="175">
        <f t="array" ref="AP14">IF(AND($L14&lt;&gt;"",AP$8&lt;&gt;""),COUNTIFS($I$9:$I$59,$L14,$J$9:$J$59,AP$8),0)</f>
        <v>0</v>
      </c>
      <c r="AQ14" s="175">
        <f t="array" ref="AQ14">IF(AND($L14&lt;&gt;"",AQ$8&lt;&gt;""),COUNTIFS($I$9:$I$59,$L14,$J$9:$J$59,AQ$8),0)</f>
        <v>0</v>
      </c>
      <c r="AR14" s="175">
        <f t="array" ref="AR14">IF(AND($L14&lt;&gt;"",AR$8&lt;&gt;""),COUNTIFS($I$9:$I$59,$L14,$J$9:$J$59,AR$8),0)</f>
        <v>0</v>
      </c>
      <c r="AS14" s="175">
        <f t="array" ref="AS14">IF(AND($L14&lt;&gt;"",AS$8&lt;&gt;""),COUNTIFS($I$9:$I$59,$L14,$J$9:$J$59,AS$8),0)</f>
        <v>0</v>
      </c>
      <c r="AT14" s="175">
        <f t="array" ref="AT14">IF(AND($L14&lt;&gt;"",AT$8&lt;&gt;""),COUNTIFS($I$9:$I$59,$L14,$J$9:$J$59,AT$8),0)</f>
        <v>0</v>
      </c>
      <c r="AU14" s="175">
        <f t="array" ref="AU14">IF(AND($L14&lt;&gt;"",AU$8&lt;&gt;""),COUNTIFS($I$9:$I$59,$L14,$J$9:$J$59,AU$8),0)</f>
        <v>0</v>
      </c>
      <c r="AV14" s="175">
        <f t="array" ref="AV14">IF(AND($L14&lt;&gt;"",AV$8&lt;&gt;""),COUNTIFS($I$9:$I$59,$L14,$J$9:$J$59,AV$8),0)</f>
        <v>0</v>
      </c>
      <c r="AW14" s="175">
        <f t="array" ref="AW14">IF(AND($L14&lt;&gt;"",AW$8&lt;&gt;""),COUNTIFS($I$9:$I$59,$L14,$J$9:$J$59,AW$8),0)</f>
        <v>0</v>
      </c>
      <c r="AX14" s="175">
        <f t="array" ref="AX14">IF(AND($L14&lt;&gt;"",AX$8&lt;&gt;""),COUNTIFS($I$9:$I$59,$L14,$J$9:$J$59,AX$8),0)</f>
        <v>0</v>
      </c>
      <c r="AY14" s="175">
        <f t="array" ref="AY14">IF(AND($L14&lt;&gt;"",AY$8&lt;&gt;""),COUNTIFS($I$9:$I$59,$L14,$J$9:$J$59,AY$8),0)</f>
        <v>0</v>
      </c>
      <c r="AZ14" s="175">
        <f t="array" ref="AZ14">IF(AND($L14&lt;&gt;"",AZ$8&lt;&gt;""),COUNTIFS($I$9:$I$59,$L14,$J$9:$J$59,AZ$8),0)</f>
        <v>0</v>
      </c>
      <c r="BA14" s="175">
        <f t="array" ref="BA14">IF(AND($L14&lt;&gt;"",BA$8&lt;&gt;""),COUNTIFS($I$9:$I$59,$L14,$J$9:$J$59,BA$8),0)</f>
        <v>0</v>
      </c>
      <c r="BB14" s="175">
        <f t="array" ref="BB14">IF(AND($L14&lt;&gt;"",BB$8&lt;&gt;""),COUNTIFS($I$9:$I$59,$L14,$J$9:$J$59,BB$8),0)</f>
        <v>0</v>
      </c>
      <c r="BC14" s="175">
        <f t="array" ref="BC14">IF(AND($L14&lt;&gt;"",BC$8&lt;&gt;""),COUNTIFS($I$9:$I$59,$L14,$J$9:$J$59,BC$8),0)</f>
        <v>0</v>
      </c>
      <c r="BD14" s="175">
        <f t="array" ref="BD14">IF(AND($L14&lt;&gt;"",BD$8&lt;&gt;""),COUNTIFS($I$9:$I$59,$L14,$J$9:$J$59,BD$8),0)</f>
        <v>0</v>
      </c>
      <c r="BE14" s="175">
        <f t="array" ref="BE14">IF(AND($L14&lt;&gt;"",BE$8&lt;&gt;""),COUNTIFS($I$9:$I$59,$L14,$J$9:$J$59,BE$8),0)</f>
        <v>0</v>
      </c>
      <c r="BF14" s="175">
        <f t="array" ref="BF14">IF(AND($L14&lt;&gt;"",BF$8&lt;&gt;""),COUNTIFS($I$9:$I$59,$L14,$J$9:$J$59,BF$8),0)</f>
        <v>0</v>
      </c>
      <c r="BG14" s="175">
        <f t="array" ref="BG14">IF(AND($L14&lt;&gt;"",BG$8&lt;&gt;""),COUNTIFS($I$9:$I$59,$L14,$J$9:$J$59,BG$8),0)</f>
        <v>0</v>
      </c>
      <c r="BH14" s="175">
        <f t="array" ref="BH14">IF(AND($L14&lt;&gt;"",BH$8&lt;&gt;""),COUNTIFS($I$9:$I$59,$L14,$J$9:$J$59,BH$8),0)</f>
        <v>0</v>
      </c>
      <c r="BI14" s="175">
        <f t="array" ref="BI14">IF(AND($L14&lt;&gt;"",BI$8&lt;&gt;""),COUNTIFS($I$9:$I$59,$L14,$J$9:$J$59,BI$8),0)</f>
        <v>0</v>
      </c>
      <c r="BJ14" s="175">
        <f t="array" ref="BJ14">IF(AND($L14&lt;&gt;"",BJ$8&lt;&gt;""),COUNTIFS($I$9:$I$59,$L14,$J$9:$J$59,BJ$8),0)</f>
        <v>0</v>
      </c>
    </row>
    <row r="15" spans="1:62" x14ac:dyDescent="0.2">
      <c r="A15" s="14"/>
      <c r="B15" s="108" t="s">
        <v>43</v>
      </c>
      <c r="C15" s="147"/>
      <c r="D15" s="104"/>
      <c r="E15" s="20"/>
      <c r="F15" s="105"/>
      <c r="G15" s="253"/>
      <c r="H15" s="245"/>
      <c r="I15" s="239" t="str">
        <f t="shared" si="1"/>
        <v/>
      </c>
      <c r="J15" s="168" t="str">
        <f t="shared" si="0"/>
        <v/>
      </c>
      <c r="L15" s="174" t="str">
        <f t="array" ref="L15">IFERROR(INDEX($I$9:$I$59,MATCH(0,COUNTIF($L$8:$L14,$I$9:$I$59),0)),"")</f>
        <v/>
      </c>
      <c r="M15" s="175">
        <f t="array" ref="M15">IF(AND($L15&lt;&gt;"",M$8&lt;&gt;""),COUNTIFS($I$9:$I$59,$L15,$J$9:$J$59,M$8),0)</f>
        <v>0</v>
      </c>
      <c r="N15" s="175">
        <f t="array" ref="N15">IF(AND($L15&lt;&gt;"",N$8&lt;&gt;""),COUNTIFS($I$9:$I$59,$L15,$J$9:$J$59,N$8),0)</f>
        <v>0</v>
      </c>
      <c r="O15" s="175">
        <f t="array" ref="O15">IF(AND($L15&lt;&gt;"",O$8&lt;&gt;""),COUNTIFS($I$9:$I$59,$L15,$J$9:$J$59,O$8),0)</f>
        <v>0</v>
      </c>
      <c r="P15" s="175">
        <f t="array" ref="P15">IF(AND($L15&lt;&gt;"",P$8&lt;&gt;""),COUNTIFS($I$9:$I$59,$L15,$J$9:$J$59,P$8),0)</f>
        <v>0</v>
      </c>
      <c r="Q15" s="175">
        <f t="array" ref="Q15">IF(AND($L15&lt;&gt;"",Q$8&lt;&gt;""),COUNTIFS($I$9:$I$59,$L15,$J$9:$J$59,Q$8),0)</f>
        <v>0</v>
      </c>
      <c r="R15" s="175">
        <f t="array" ref="R15">IF(AND($L15&lt;&gt;"",R$8&lt;&gt;""),COUNTIFS($I$9:$I$59,$L15,$J$9:$J$59,R$8),0)</f>
        <v>0</v>
      </c>
      <c r="S15" s="175">
        <f t="array" ref="S15">IF(AND($L15&lt;&gt;"",S$8&lt;&gt;""),COUNTIFS($I$9:$I$59,$L15,$J$9:$J$59,S$8),0)</f>
        <v>0</v>
      </c>
      <c r="T15" s="175">
        <f t="array" ref="T15">IF(AND($L15&lt;&gt;"",T$8&lt;&gt;""),COUNTIFS($I$9:$I$59,$L15,$J$9:$J$59,T$8),0)</f>
        <v>0</v>
      </c>
      <c r="U15" s="175">
        <f t="array" ref="U15">IF(AND($L15&lt;&gt;"",U$8&lt;&gt;""),COUNTIFS($I$9:$I$59,$L15,$J$9:$J$59,U$8),0)</f>
        <v>0</v>
      </c>
      <c r="V15" s="175">
        <f t="array" ref="V15">IF(AND($L15&lt;&gt;"",V$8&lt;&gt;""),COUNTIFS($I$9:$I$59,$L15,$J$9:$J$59,V$8),0)</f>
        <v>0</v>
      </c>
      <c r="W15" s="175">
        <f t="array" ref="W15">IF(AND($L15&lt;&gt;"",W$8&lt;&gt;""),COUNTIFS($I$9:$I$59,$L15,$J$9:$J$59,W$8),0)</f>
        <v>0</v>
      </c>
      <c r="X15" s="175">
        <f t="array" ref="X15">IF(AND($L15&lt;&gt;"",X$8&lt;&gt;""),COUNTIFS($I$9:$I$59,$L15,$J$9:$J$59,X$8),0)</f>
        <v>0</v>
      </c>
      <c r="Y15" s="175">
        <f t="array" ref="Y15">IF(AND($L15&lt;&gt;"",Y$8&lt;&gt;""),COUNTIFS($I$9:$I$59,$L15,$J$9:$J$59,Y$8),0)</f>
        <v>0</v>
      </c>
      <c r="Z15" s="175">
        <f t="array" ref="Z15">IF(AND($L15&lt;&gt;"",Z$8&lt;&gt;""),COUNTIFS($I$9:$I$59,$L15,$J$9:$J$59,Z$8),0)</f>
        <v>0</v>
      </c>
      <c r="AA15" s="175">
        <f t="array" ref="AA15">IF(AND($L15&lt;&gt;"",AA$8&lt;&gt;""),COUNTIFS($I$9:$I$59,$L15,$J$9:$J$59,AA$8),0)</f>
        <v>0</v>
      </c>
      <c r="AB15" s="175">
        <f t="array" ref="AB15">IF(AND($L15&lt;&gt;"",AB$8&lt;&gt;""),COUNTIFS($I$9:$I$59,$L15,$J$9:$J$59,AB$8),0)</f>
        <v>0</v>
      </c>
      <c r="AC15" s="175">
        <f t="array" ref="AC15">IF(AND($L15&lt;&gt;"",AC$8&lt;&gt;""),COUNTIFS($I$9:$I$59,$L15,$J$9:$J$59,AC$8),0)</f>
        <v>0</v>
      </c>
      <c r="AD15" s="175">
        <f t="array" ref="AD15">IF(AND($L15&lt;&gt;"",AD$8&lt;&gt;""),COUNTIFS($I$9:$I$59,$L15,$J$9:$J$59,AD$8),0)</f>
        <v>0</v>
      </c>
      <c r="AE15" s="175">
        <f t="array" ref="AE15">IF(AND($L15&lt;&gt;"",AE$8&lt;&gt;""),COUNTIFS($I$9:$I$59,$L15,$J$9:$J$59,AE$8),0)</f>
        <v>0</v>
      </c>
      <c r="AF15" s="175">
        <f t="array" ref="AF15">IF(AND($L15&lt;&gt;"",AF$8&lt;&gt;""),COUNTIFS($I$9:$I$59,$L15,$J$9:$J$59,AF$8),0)</f>
        <v>0</v>
      </c>
      <c r="AG15" s="175">
        <f t="array" ref="AG15">IF(AND($L15&lt;&gt;"",AG$8&lt;&gt;""),COUNTIFS($I$9:$I$59,$L15,$J$9:$J$59,AG$8),0)</f>
        <v>0</v>
      </c>
      <c r="AH15" s="175">
        <f t="array" ref="AH15">IF(AND($L15&lt;&gt;"",AH$8&lt;&gt;""),COUNTIFS($I$9:$I$59,$L15,$J$9:$J$59,AH$8),0)</f>
        <v>0</v>
      </c>
      <c r="AI15" s="175">
        <f t="array" ref="AI15">IF(AND($L15&lt;&gt;"",AI$8&lt;&gt;""),COUNTIFS($I$9:$I$59,$L15,$J$9:$J$59,AI$8),0)</f>
        <v>0</v>
      </c>
      <c r="AJ15" s="175">
        <f t="array" ref="AJ15">IF(AND($L15&lt;&gt;"",AJ$8&lt;&gt;""),COUNTIFS($I$9:$I$59,$L15,$J$9:$J$59,AJ$8),0)</f>
        <v>0</v>
      </c>
      <c r="AK15" s="175">
        <f t="array" ref="AK15">IF(AND($L15&lt;&gt;"",AK$8&lt;&gt;""),COUNTIFS($I$9:$I$59,$L15,$J$9:$J$59,AK$8),0)</f>
        <v>0</v>
      </c>
      <c r="AL15" s="175">
        <f t="array" ref="AL15">IF(AND($L15&lt;&gt;"",AL$8&lt;&gt;""),COUNTIFS($I$9:$I$59,$L15,$J$9:$J$59,AL$8),0)</f>
        <v>0</v>
      </c>
      <c r="AM15" s="175">
        <f t="array" ref="AM15">IF(AND($L15&lt;&gt;"",AM$8&lt;&gt;""),COUNTIFS($I$9:$I$59,$L15,$J$9:$J$59,AM$8),0)</f>
        <v>0</v>
      </c>
      <c r="AN15" s="175">
        <f t="array" ref="AN15">IF(AND($L15&lt;&gt;"",AN$8&lt;&gt;""),COUNTIFS($I$9:$I$59,$L15,$J$9:$J$59,AN$8),0)</f>
        <v>0</v>
      </c>
      <c r="AO15" s="175">
        <f t="array" ref="AO15">IF(AND($L15&lt;&gt;"",AO$8&lt;&gt;""),COUNTIFS($I$9:$I$59,$L15,$J$9:$J$59,AO$8),0)</f>
        <v>0</v>
      </c>
      <c r="AP15" s="175">
        <f t="array" ref="AP15">IF(AND($L15&lt;&gt;"",AP$8&lt;&gt;""),COUNTIFS($I$9:$I$59,$L15,$J$9:$J$59,AP$8),0)</f>
        <v>0</v>
      </c>
      <c r="AQ15" s="175">
        <f t="array" ref="AQ15">IF(AND($L15&lt;&gt;"",AQ$8&lt;&gt;""),COUNTIFS($I$9:$I$59,$L15,$J$9:$J$59,AQ$8),0)</f>
        <v>0</v>
      </c>
      <c r="AR15" s="175">
        <f t="array" ref="AR15">IF(AND($L15&lt;&gt;"",AR$8&lt;&gt;""),COUNTIFS($I$9:$I$59,$L15,$J$9:$J$59,AR$8),0)</f>
        <v>0</v>
      </c>
      <c r="AS15" s="175">
        <f t="array" ref="AS15">IF(AND($L15&lt;&gt;"",AS$8&lt;&gt;""),COUNTIFS($I$9:$I$59,$L15,$J$9:$J$59,AS$8),0)</f>
        <v>0</v>
      </c>
      <c r="AT15" s="175">
        <f t="array" ref="AT15">IF(AND($L15&lt;&gt;"",AT$8&lt;&gt;""),COUNTIFS($I$9:$I$59,$L15,$J$9:$J$59,AT$8),0)</f>
        <v>0</v>
      </c>
      <c r="AU15" s="175">
        <f t="array" ref="AU15">IF(AND($L15&lt;&gt;"",AU$8&lt;&gt;""),COUNTIFS($I$9:$I$59,$L15,$J$9:$J$59,AU$8),0)</f>
        <v>0</v>
      </c>
      <c r="AV15" s="175">
        <f t="array" ref="AV15">IF(AND($L15&lt;&gt;"",AV$8&lt;&gt;""),COUNTIFS($I$9:$I$59,$L15,$J$9:$J$59,AV$8),0)</f>
        <v>0</v>
      </c>
      <c r="AW15" s="175">
        <f t="array" ref="AW15">IF(AND($L15&lt;&gt;"",AW$8&lt;&gt;""),COUNTIFS($I$9:$I$59,$L15,$J$9:$J$59,AW$8),0)</f>
        <v>0</v>
      </c>
      <c r="AX15" s="175">
        <f t="array" ref="AX15">IF(AND($L15&lt;&gt;"",AX$8&lt;&gt;""),COUNTIFS($I$9:$I$59,$L15,$J$9:$J$59,AX$8),0)</f>
        <v>0</v>
      </c>
      <c r="AY15" s="175">
        <f t="array" ref="AY15">IF(AND($L15&lt;&gt;"",AY$8&lt;&gt;""),COUNTIFS($I$9:$I$59,$L15,$J$9:$J$59,AY$8),0)</f>
        <v>0</v>
      </c>
      <c r="AZ15" s="175">
        <f t="array" ref="AZ15">IF(AND($L15&lt;&gt;"",AZ$8&lt;&gt;""),COUNTIFS($I$9:$I$59,$L15,$J$9:$J$59,AZ$8),0)</f>
        <v>0</v>
      </c>
      <c r="BA15" s="175">
        <f t="array" ref="BA15">IF(AND($L15&lt;&gt;"",BA$8&lt;&gt;""),COUNTIFS($I$9:$I$59,$L15,$J$9:$J$59,BA$8),0)</f>
        <v>0</v>
      </c>
      <c r="BB15" s="175">
        <f t="array" ref="BB15">IF(AND($L15&lt;&gt;"",BB$8&lt;&gt;""),COUNTIFS($I$9:$I$59,$L15,$J$9:$J$59,BB$8),0)</f>
        <v>0</v>
      </c>
      <c r="BC15" s="175">
        <f t="array" ref="BC15">IF(AND($L15&lt;&gt;"",BC$8&lt;&gt;""),COUNTIFS($I$9:$I$59,$L15,$J$9:$J$59,BC$8),0)</f>
        <v>0</v>
      </c>
      <c r="BD15" s="175">
        <f t="array" ref="BD15">IF(AND($L15&lt;&gt;"",BD$8&lt;&gt;""),COUNTIFS($I$9:$I$59,$L15,$J$9:$J$59,BD$8),0)</f>
        <v>0</v>
      </c>
      <c r="BE15" s="175">
        <f t="array" ref="BE15">IF(AND($L15&lt;&gt;"",BE$8&lt;&gt;""),COUNTIFS($I$9:$I$59,$L15,$J$9:$J$59,BE$8),0)</f>
        <v>0</v>
      </c>
      <c r="BF15" s="175">
        <f t="array" ref="BF15">IF(AND($L15&lt;&gt;"",BF$8&lt;&gt;""),COUNTIFS($I$9:$I$59,$L15,$J$9:$J$59,BF$8),0)</f>
        <v>0</v>
      </c>
      <c r="BG15" s="175">
        <f t="array" ref="BG15">IF(AND($L15&lt;&gt;"",BG$8&lt;&gt;""),COUNTIFS($I$9:$I$59,$L15,$J$9:$J$59,BG$8),0)</f>
        <v>0</v>
      </c>
      <c r="BH15" s="175">
        <f t="array" ref="BH15">IF(AND($L15&lt;&gt;"",BH$8&lt;&gt;""),COUNTIFS($I$9:$I$59,$L15,$J$9:$J$59,BH$8),0)</f>
        <v>0</v>
      </c>
      <c r="BI15" s="175">
        <f t="array" ref="BI15">IF(AND($L15&lt;&gt;"",BI$8&lt;&gt;""),COUNTIFS($I$9:$I$59,$L15,$J$9:$J$59,BI$8),0)</f>
        <v>0</v>
      </c>
      <c r="BJ15" s="175">
        <f t="array" ref="BJ15">IF(AND($L15&lt;&gt;"",BJ$8&lt;&gt;""),COUNTIFS($I$9:$I$59,$L15,$J$9:$J$59,BJ$8),0)</f>
        <v>0</v>
      </c>
    </row>
    <row r="16" spans="1:62" x14ac:dyDescent="0.2">
      <c r="A16" s="14"/>
      <c r="B16" s="108" t="s">
        <v>44</v>
      </c>
      <c r="C16" s="147"/>
      <c r="D16" s="104"/>
      <c r="E16" s="20"/>
      <c r="F16" s="105"/>
      <c r="G16" s="253"/>
      <c r="H16" s="109"/>
      <c r="I16" s="239" t="str">
        <f t="shared" si="1"/>
        <v/>
      </c>
      <c r="J16" s="168" t="str">
        <f t="shared" si="0"/>
        <v/>
      </c>
      <c r="L16" s="174" t="str">
        <f t="array" ref="L16">IFERROR(INDEX($I$9:$I$59,MATCH(0,COUNTIF($L$8:$L15,$I$9:$I$59),0)),"")</f>
        <v/>
      </c>
      <c r="M16" s="175">
        <f t="array" ref="M16">IF(AND($L16&lt;&gt;"",M$8&lt;&gt;""),COUNTIFS($I$9:$I$59,$L16,$J$9:$J$59,M$8),0)</f>
        <v>0</v>
      </c>
      <c r="N16" s="175">
        <f t="array" ref="N16">IF(AND($L16&lt;&gt;"",N$8&lt;&gt;""),COUNTIFS($I$9:$I$59,$L16,$J$9:$J$59,N$8),0)</f>
        <v>0</v>
      </c>
      <c r="O16" s="175">
        <f t="array" ref="O16">IF(AND($L16&lt;&gt;"",O$8&lt;&gt;""),COUNTIFS($I$9:$I$59,$L16,$J$9:$J$59,O$8),0)</f>
        <v>0</v>
      </c>
      <c r="P16" s="175">
        <f t="array" ref="P16">IF(AND($L16&lt;&gt;"",P$8&lt;&gt;""),COUNTIFS($I$9:$I$59,$L16,$J$9:$J$59,P$8),0)</f>
        <v>0</v>
      </c>
      <c r="Q16" s="175">
        <f t="array" ref="Q16">IF(AND($L16&lt;&gt;"",Q$8&lt;&gt;""),COUNTIFS($I$9:$I$59,$L16,$J$9:$J$59,Q$8),0)</f>
        <v>0</v>
      </c>
      <c r="R16" s="175">
        <f t="array" ref="R16">IF(AND($L16&lt;&gt;"",R$8&lt;&gt;""),COUNTIFS($I$9:$I$59,$L16,$J$9:$J$59,R$8),0)</f>
        <v>0</v>
      </c>
      <c r="S16" s="175">
        <f t="array" ref="S16">IF(AND($L16&lt;&gt;"",S$8&lt;&gt;""),COUNTIFS($I$9:$I$59,$L16,$J$9:$J$59,S$8),0)</f>
        <v>0</v>
      </c>
      <c r="T16" s="175">
        <f t="array" ref="T16">IF(AND($L16&lt;&gt;"",T$8&lt;&gt;""),COUNTIFS($I$9:$I$59,$L16,$J$9:$J$59,T$8),0)</f>
        <v>0</v>
      </c>
      <c r="U16" s="175">
        <f t="array" ref="U16">IF(AND($L16&lt;&gt;"",U$8&lt;&gt;""),COUNTIFS($I$9:$I$59,$L16,$J$9:$J$59,U$8),0)</f>
        <v>0</v>
      </c>
      <c r="V16" s="175">
        <f t="array" ref="V16">IF(AND($L16&lt;&gt;"",V$8&lt;&gt;""),COUNTIFS($I$9:$I$59,$L16,$J$9:$J$59,V$8),0)</f>
        <v>0</v>
      </c>
      <c r="W16" s="175">
        <f t="array" ref="W16">IF(AND($L16&lt;&gt;"",W$8&lt;&gt;""),COUNTIFS($I$9:$I$59,$L16,$J$9:$J$59,W$8),0)</f>
        <v>0</v>
      </c>
      <c r="X16" s="175">
        <f t="array" ref="X16">IF(AND($L16&lt;&gt;"",X$8&lt;&gt;""),COUNTIFS($I$9:$I$59,$L16,$J$9:$J$59,X$8),0)</f>
        <v>0</v>
      </c>
      <c r="Y16" s="175">
        <f t="array" ref="Y16">IF(AND($L16&lt;&gt;"",Y$8&lt;&gt;""),COUNTIFS($I$9:$I$59,$L16,$J$9:$J$59,Y$8),0)</f>
        <v>0</v>
      </c>
      <c r="Z16" s="175">
        <f t="array" ref="Z16">IF(AND($L16&lt;&gt;"",Z$8&lt;&gt;""),COUNTIFS($I$9:$I$59,$L16,$J$9:$J$59,Z$8),0)</f>
        <v>0</v>
      </c>
      <c r="AA16" s="175">
        <f t="array" ref="AA16">IF(AND($L16&lt;&gt;"",AA$8&lt;&gt;""),COUNTIFS($I$9:$I$59,$L16,$J$9:$J$59,AA$8),0)</f>
        <v>0</v>
      </c>
      <c r="AB16" s="175">
        <f t="array" ref="AB16">IF(AND($L16&lt;&gt;"",AB$8&lt;&gt;""),COUNTIFS($I$9:$I$59,$L16,$J$9:$J$59,AB$8),0)</f>
        <v>0</v>
      </c>
      <c r="AC16" s="175">
        <f t="array" ref="AC16">IF(AND($L16&lt;&gt;"",AC$8&lt;&gt;""),COUNTIFS($I$9:$I$59,$L16,$J$9:$J$59,AC$8),0)</f>
        <v>0</v>
      </c>
      <c r="AD16" s="175">
        <f t="array" ref="AD16">IF(AND($L16&lt;&gt;"",AD$8&lt;&gt;""),COUNTIFS($I$9:$I$59,$L16,$J$9:$J$59,AD$8),0)</f>
        <v>0</v>
      </c>
      <c r="AE16" s="175">
        <f t="array" ref="AE16">IF(AND($L16&lt;&gt;"",AE$8&lt;&gt;""),COUNTIFS($I$9:$I$59,$L16,$J$9:$J$59,AE$8),0)</f>
        <v>0</v>
      </c>
      <c r="AF16" s="175">
        <f t="array" ref="AF16">IF(AND($L16&lt;&gt;"",AF$8&lt;&gt;""),COUNTIFS($I$9:$I$59,$L16,$J$9:$J$59,AF$8),0)</f>
        <v>0</v>
      </c>
      <c r="AG16" s="175">
        <f t="array" ref="AG16">IF(AND($L16&lt;&gt;"",AG$8&lt;&gt;""),COUNTIFS($I$9:$I$59,$L16,$J$9:$J$59,AG$8),0)</f>
        <v>0</v>
      </c>
      <c r="AH16" s="175">
        <f t="array" ref="AH16">IF(AND($L16&lt;&gt;"",AH$8&lt;&gt;""),COUNTIFS($I$9:$I$59,$L16,$J$9:$J$59,AH$8),0)</f>
        <v>0</v>
      </c>
      <c r="AI16" s="175">
        <f t="array" ref="AI16">IF(AND($L16&lt;&gt;"",AI$8&lt;&gt;""),COUNTIFS($I$9:$I$59,$L16,$J$9:$J$59,AI$8),0)</f>
        <v>0</v>
      </c>
      <c r="AJ16" s="175">
        <f t="array" ref="AJ16">IF(AND($L16&lt;&gt;"",AJ$8&lt;&gt;""),COUNTIFS($I$9:$I$59,$L16,$J$9:$J$59,AJ$8),0)</f>
        <v>0</v>
      </c>
      <c r="AK16" s="175">
        <f t="array" ref="AK16">IF(AND($L16&lt;&gt;"",AK$8&lt;&gt;""),COUNTIFS($I$9:$I$59,$L16,$J$9:$J$59,AK$8),0)</f>
        <v>0</v>
      </c>
      <c r="AL16" s="175">
        <f t="array" ref="AL16">IF(AND($L16&lt;&gt;"",AL$8&lt;&gt;""),COUNTIFS($I$9:$I$59,$L16,$J$9:$J$59,AL$8),0)</f>
        <v>0</v>
      </c>
      <c r="AM16" s="175">
        <f t="array" ref="AM16">IF(AND($L16&lt;&gt;"",AM$8&lt;&gt;""),COUNTIFS($I$9:$I$59,$L16,$J$9:$J$59,AM$8),0)</f>
        <v>0</v>
      </c>
      <c r="AN16" s="175">
        <f t="array" ref="AN16">IF(AND($L16&lt;&gt;"",AN$8&lt;&gt;""),COUNTIFS($I$9:$I$59,$L16,$J$9:$J$59,AN$8),0)</f>
        <v>0</v>
      </c>
      <c r="AO16" s="175">
        <f t="array" ref="AO16">IF(AND($L16&lt;&gt;"",AO$8&lt;&gt;""),COUNTIFS($I$9:$I$59,$L16,$J$9:$J$59,AO$8),0)</f>
        <v>0</v>
      </c>
      <c r="AP16" s="175">
        <f t="array" ref="AP16">IF(AND($L16&lt;&gt;"",AP$8&lt;&gt;""),COUNTIFS($I$9:$I$59,$L16,$J$9:$J$59,AP$8),0)</f>
        <v>0</v>
      </c>
      <c r="AQ16" s="175">
        <f t="array" ref="AQ16">IF(AND($L16&lt;&gt;"",AQ$8&lt;&gt;""),COUNTIFS($I$9:$I$59,$L16,$J$9:$J$59,AQ$8),0)</f>
        <v>0</v>
      </c>
      <c r="AR16" s="175">
        <f t="array" ref="AR16">IF(AND($L16&lt;&gt;"",AR$8&lt;&gt;""),COUNTIFS($I$9:$I$59,$L16,$J$9:$J$59,AR$8),0)</f>
        <v>0</v>
      </c>
      <c r="AS16" s="175">
        <f t="array" ref="AS16">IF(AND($L16&lt;&gt;"",AS$8&lt;&gt;""),COUNTIFS($I$9:$I$59,$L16,$J$9:$J$59,AS$8),0)</f>
        <v>0</v>
      </c>
      <c r="AT16" s="175">
        <f t="array" ref="AT16">IF(AND($L16&lt;&gt;"",AT$8&lt;&gt;""),COUNTIFS($I$9:$I$59,$L16,$J$9:$J$59,AT$8),0)</f>
        <v>0</v>
      </c>
      <c r="AU16" s="175">
        <f t="array" ref="AU16">IF(AND($L16&lt;&gt;"",AU$8&lt;&gt;""),COUNTIFS($I$9:$I$59,$L16,$J$9:$J$59,AU$8),0)</f>
        <v>0</v>
      </c>
      <c r="AV16" s="175">
        <f t="array" ref="AV16">IF(AND($L16&lt;&gt;"",AV$8&lt;&gt;""),COUNTIFS($I$9:$I$59,$L16,$J$9:$J$59,AV$8),0)</f>
        <v>0</v>
      </c>
      <c r="AW16" s="175">
        <f t="array" ref="AW16">IF(AND($L16&lt;&gt;"",AW$8&lt;&gt;""),COUNTIFS($I$9:$I$59,$L16,$J$9:$J$59,AW$8),0)</f>
        <v>0</v>
      </c>
      <c r="AX16" s="175">
        <f t="array" ref="AX16">IF(AND($L16&lt;&gt;"",AX$8&lt;&gt;""),COUNTIFS($I$9:$I$59,$L16,$J$9:$J$59,AX$8),0)</f>
        <v>0</v>
      </c>
      <c r="AY16" s="175">
        <f t="array" ref="AY16">IF(AND($L16&lt;&gt;"",AY$8&lt;&gt;""),COUNTIFS($I$9:$I$59,$L16,$J$9:$J$59,AY$8),0)</f>
        <v>0</v>
      </c>
      <c r="AZ16" s="175">
        <f t="array" ref="AZ16">IF(AND($L16&lt;&gt;"",AZ$8&lt;&gt;""),COUNTIFS($I$9:$I$59,$L16,$J$9:$J$59,AZ$8),0)</f>
        <v>0</v>
      </c>
      <c r="BA16" s="175">
        <f t="array" ref="BA16">IF(AND($L16&lt;&gt;"",BA$8&lt;&gt;""),COUNTIFS($I$9:$I$59,$L16,$J$9:$J$59,BA$8),0)</f>
        <v>0</v>
      </c>
      <c r="BB16" s="175">
        <f t="array" ref="BB16">IF(AND($L16&lt;&gt;"",BB$8&lt;&gt;""),COUNTIFS($I$9:$I$59,$L16,$J$9:$J$59,BB$8),0)</f>
        <v>0</v>
      </c>
      <c r="BC16" s="175">
        <f t="array" ref="BC16">IF(AND($L16&lt;&gt;"",BC$8&lt;&gt;""),COUNTIFS($I$9:$I$59,$L16,$J$9:$J$59,BC$8),0)</f>
        <v>0</v>
      </c>
      <c r="BD16" s="175">
        <f t="array" ref="BD16">IF(AND($L16&lt;&gt;"",BD$8&lt;&gt;""),COUNTIFS($I$9:$I$59,$L16,$J$9:$J$59,BD$8),0)</f>
        <v>0</v>
      </c>
      <c r="BE16" s="175">
        <f t="array" ref="BE16">IF(AND($L16&lt;&gt;"",BE$8&lt;&gt;""),COUNTIFS($I$9:$I$59,$L16,$J$9:$J$59,BE$8),0)</f>
        <v>0</v>
      </c>
      <c r="BF16" s="175">
        <f t="array" ref="BF16">IF(AND($L16&lt;&gt;"",BF$8&lt;&gt;""),COUNTIFS($I$9:$I$59,$L16,$J$9:$J$59,BF$8),0)</f>
        <v>0</v>
      </c>
      <c r="BG16" s="175">
        <f t="array" ref="BG16">IF(AND($L16&lt;&gt;"",BG$8&lt;&gt;""),COUNTIFS($I$9:$I$59,$L16,$J$9:$J$59,BG$8),0)</f>
        <v>0</v>
      </c>
      <c r="BH16" s="175">
        <f t="array" ref="BH16">IF(AND($L16&lt;&gt;"",BH$8&lt;&gt;""),COUNTIFS($I$9:$I$59,$L16,$J$9:$J$59,BH$8),0)</f>
        <v>0</v>
      </c>
      <c r="BI16" s="175">
        <f t="array" ref="BI16">IF(AND($L16&lt;&gt;"",BI$8&lt;&gt;""),COUNTIFS($I$9:$I$59,$L16,$J$9:$J$59,BI$8),0)</f>
        <v>0</v>
      </c>
      <c r="BJ16" s="175">
        <f t="array" ref="BJ16">IF(AND($L16&lt;&gt;"",BJ$8&lt;&gt;""),COUNTIFS($I$9:$I$59,$L16,$J$9:$J$59,BJ$8),0)</f>
        <v>0</v>
      </c>
    </row>
    <row r="17" spans="1:62" x14ac:dyDescent="0.2">
      <c r="A17" s="14"/>
      <c r="B17" s="108" t="s">
        <v>45</v>
      </c>
      <c r="C17" s="141"/>
      <c r="D17" s="104"/>
      <c r="E17" s="20"/>
      <c r="F17" s="105"/>
      <c r="G17" s="253"/>
      <c r="H17" s="109"/>
      <c r="I17" s="239" t="str">
        <f t="shared" si="1"/>
        <v/>
      </c>
      <c r="J17" s="168" t="str">
        <f t="shared" si="0"/>
        <v/>
      </c>
      <c r="L17" s="174" t="str">
        <f t="array" ref="L17">IFERROR(INDEX($I$9:$I$59,MATCH(0,COUNTIF($L$8:$L16,$I$9:$I$59),0)),"")</f>
        <v/>
      </c>
      <c r="M17" s="175">
        <f t="array" ref="M17">IF(AND($L17&lt;&gt;"",M$8&lt;&gt;""),COUNTIFS($I$9:$I$59,$L17,$J$9:$J$59,M$8),0)</f>
        <v>0</v>
      </c>
      <c r="N17" s="175">
        <f t="array" ref="N17">IF(AND($L17&lt;&gt;"",N$8&lt;&gt;""),COUNTIFS($I$9:$I$59,$L17,$J$9:$J$59,N$8),0)</f>
        <v>0</v>
      </c>
      <c r="O17" s="175">
        <f t="array" ref="O17">IF(AND($L17&lt;&gt;"",O$8&lt;&gt;""),COUNTIFS($I$9:$I$59,$L17,$J$9:$J$59,O$8),0)</f>
        <v>0</v>
      </c>
      <c r="P17" s="175">
        <f t="array" ref="P17">IF(AND($L17&lt;&gt;"",P$8&lt;&gt;""),COUNTIFS($I$9:$I$59,$L17,$J$9:$J$59,P$8),0)</f>
        <v>0</v>
      </c>
      <c r="Q17" s="175">
        <f t="array" ref="Q17">IF(AND($L17&lt;&gt;"",Q$8&lt;&gt;""),COUNTIFS($I$9:$I$59,$L17,$J$9:$J$59,Q$8),0)</f>
        <v>0</v>
      </c>
      <c r="R17" s="175">
        <f t="array" ref="R17">IF(AND($L17&lt;&gt;"",R$8&lt;&gt;""),COUNTIFS($I$9:$I$59,$L17,$J$9:$J$59,R$8),0)</f>
        <v>0</v>
      </c>
      <c r="S17" s="175">
        <f t="array" ref="S17">IF(AND($L17&lt;&gt;"",S$8&lt;&gt;""),COUNTIFS($I$9:$I$59,$L17,$J$9:$J$59,S$8),0)</f>
        <v>0</v>
      </c>
      <c r="T17" s="175">
        <f t="array" ref="T17">IF(AND($L17&lt;&gt;"",T$8&lt;&gt;""),COUNTIFS($I$9:$I$59,$L17,$J$9:$J$59,T$8),0)</f>
        <v>0</v>
      </c>
      <c r="U17" s="175">
        <f t="array" ref="U17">IF(AND($L17&lt;&gt;"",U$8&lt;&gt;""),COUNTIFS($I$9:$I$59,$L17,$J$9:$J$59,U$8),0)</f>
        <v>0</v>
      </c>
      <c r="V17" s="175">
        <f t="array" ref="V17">IF(AND($L17&lt;&gt;"",V$8&lt;&gt;""),COUNTIFS($I$9:$I$59,$L17,$J$9:$J$59,V$8),0)</f>
        <v>0</v>
      </c>
      <c r="W17" s="175">
        <f t="array" ref="W17">IF(AND($L17&lt;&gt;"",W$8&lt;&gt;""),COUNTIFS($I$9:$I$59,$L17,$J$9:$J$59,W$8),0)</f>
        <v>0</v>
      </c>
      <c r="X17" s="175">
        <f t="array" ref="X17">IF(AND($L17&lt;&gt;"",X$8&lt;&gt;""),COUNTIFS($I$9:$I$59,$L17,$J$9:$J$59,X$8),0)</f>
        <v>0</v>
      </c>
      <c r="Y17" s="175">
        <f t="array" ref="Y17">IF(AND($L17&lt;&gt;"",Y$8&lt;&gt;""),COUNTIFS($I$9:$I$59,$L17,$J$9:$J$59,Y$8),0)</f>
        <v>0</v>
      </c>
      <c r="Z17" s="175">
        <f t="array" ref="Z17">IF(AND($L17&lt;&gt;"",Z$8&lt;&gt;""),COUNTIFS($I$9:$I$59,$L17,$J$9:$J$59,Z$8),0)</f>
        <v>0</v>
      </c>
      <c r="AA17" s="175">
        <f t="array" ref="AA17">IF(AND($L17&lt;&gt;"",AA$8&lt;&gt;""),COUNTIFS($I$9:$I$59,$L17,$J$9:$J$59,AA$8),0)</f>
        <v>0</v>
      </c>
      <c r="AB17" s="175">
        <f t="array" ref="AB17">IF(AND($L17&lt;&gt;"",AB$8&lt;&gt;""),COUNTIFS($I$9:$I$59,$L17,$J$9:$J$59,AB$8),0)</f>
        <v>0</v>
      </c>
      <c r="AC17" s="175">
        <f t="array" ref="AC17">IF(AND($L17&lt;&gt;"",AC$8&lt;&gt;""),COUNTIFS($I$9:$I$59,$L17,$J$9:$J$59,AC$8),0)</f>
        <v>0</v>
      </c>
      <c r="AD17" s="175">
        <f t="array" ref="AD17">IF(AND($L17&lt;&gt;"",AD$8&lt;&gt;""),COUNTIFS($I$9:$I$59,$L17,$J$9:$J$59,AD$8),0)</f>
        <v>0</v>
      </c>
      <c r="AE17" s="175">
        <f t="array" ref="AE17">IF(AND($L17&lt;&gt;"",AE$8&lt;&gt;""),COUNTIFS($I$9:$I$59,$L17,$J$9:$J$59,AE$8),0)</f>
        <v>0</v>
      </c>
      <c r="AF17" s="175">
        <f t="array" ref="AF17">IF(AND($L17&lt;&gt;"",AF$8&lt;&gt;""),COUNTIFS($I$9:$I$59,$L17,$J$9:$J$59,AF$8),0)</f>
        <v>0</v>
      </c>
      <c r="AG17" s="175">
        <f t="array" ref="AG17">IF(AND($L17&lt;&gt;"",AG$8&lt;&gt;""),COUNTIFS($I$9:$I$59,$L17,$J$9:$J$59,AG$8),0)</f>
        <v>0</v>
      </c>
      <c r="AH17" s="175">
        <f t="array" ref="AH17">IF(AND($L17&lt;&gt;"",AH$8&lt;&gt;""),COUNTIFS($I$9:$I$59,$L17,$J$9:$J$59,AH$8),0)</f>
        <v>0</v>
      </c>
      <c r="AI17" s="175">
        <f t="array" ref="AI17">IF(AND($L17&lt;&gt;"",AI$8&lt;&gt;""),COUNTIFS($I$9:$I$59,$L17,$J$9:$J$59,AI$8),0)</f>
        <v>0</v>
      </c>
      <c r="AJ17" s="175">
        <f t="array" ref="AJ17">IF(AND($L17&lt;&gt;"",AJ$8&lt;&gt;""),COUNTIFS($I$9:$I$59,$L17,$J$9:$J$59,AJ$8),0)</f>
        <v>0</v>
      </c>
      <c r="AK17" s="175">
        <f t="array" ref="AK17">IF(AND($L17&lt;&gt;"",AK$8&lt;&gt;""),COUNTIFS($I$9:$I$59,$L17,$J$9:$J$59,AK$8),0)</f>
        <v>0</v>
      </c>
      <c r="AL17" s="175">
        <f t="array" ref="AL17">IF(AND($L17&lt;&gt;"",AL$8&lt;&gt;""),COUNTIFS($I$9:$I$59,$L17,$J$9:$J$59,AL$8),0)</f>
        <v>0</v>
      </c>
      <c r="AM17" s="175">
        <f t="array" ref="AM17">IF(AND($L17&lt;&gt;"",AM$8&lt;&gt;""),COUNTIFS($I$9:$I$59,$L17,$J$9:$J$59,AM$8),0)</f>
        <v>0</v>
      </c>
      <c r="AN17" s="175">
        <f t="array" ref="AN17">IF(AND($L17&lt;&gt;"",AN$8&lt;&gt;""),COUNTIFS($I$9:$I$59,$L17,$J$9:$J$59,AN$8),0)</f>
        <v>0</v>
      </c>
      <c r="AO17" s="175">
        <f t="array" ref="AO17">IF(AND($L17&lt;&gt;"",AO$8&lt;&gt;""),COUNTIFS($I$9:$I$59,$L17,$J$9:$J$59,AO$8),0)</f>
        <v>0</v>
      </c>
      <c r="AP17" s="175">
        <f t="array" ref="AP17">IF(AND($L17&lt;&gt;"",AP$8&lt;&gt;""),COUNTIFS($I$9:$I$59,$L17,$J$9:$J$59,AP$8),0)</f>
        <v>0</v>
      </c>
      <c r="AQ17" s="175">
        <f t="array" ref="AQ17">IF(AND($L17&lt;&gt;"",AQ$8&lt;&gt;""),COUNTIFS($I$9:$I$59,$L17,$J$9:$J$59,AQ$8),0)</f>
        <v>0</v>
      </c>
      <c r="AR17" s="175">
        <f t="array" ref="AR17">IF(AND($L17&lt;&gt;"",AR$8&lt;&gt;""),COUNTIFS($I$9:$I$59,$L17,$J$9:$J$59,AR$8),0)</f>
        <v>0</v>
      </c>
      <c r="AS17" s="175">
        <f t="array" ref="AS17">IF(AND($L17&lt;&gt;"",AS$8&lt;&gt;""),COUNTIFS($I$9:$I$59,$L17,$J$9:$J$59,AS$8),0)</f>
        <v>0</v>
      </c>
      <c r="AT17" s="175">
        <f t="array" ref="AT17">IF(AND($L17&lt;&gt;"",AT$8&lt;&gt;""),COUNTIFS($I$9:$I$59,$L17,$J$9:$J$59,AT$8),0)</f>
        <v>0</v>
      </c>
      <c r="AU17" s="175">
        <f t="array" ref="AU17">IF(AND($L17&lt;&gt;"",AU$8&lt;&gt;""),COUNTIFS($I$9:$I$59,$L17,$J$9:$J$59,AU$8),0)</f>
        <v>0</v>
      </c>
      <c r="AV17" s="175">
        <f t="array" ref="AV17">IF(AND($L17&lt;&gt;"",AV$8&lt;&gt;""),COUNTIFS($I$9:$I$59,$L17,$J$9:$J$59,AV$8),0)</f>
        <v>0</v>
      </c>
      <c r="AW17" s="175">
        <f t="array" ref="AW17">IF(AND($L17&lt;&gt;"",AW$8&lt;&gt;""),COUNTIFS($I$9:$I$59,$L17,$J$9:$J$59,AW$8),0)</f>
        <v>0</v>
      </c>
      <c r="AX17" s="175">
        <f t="array" ref="AX17">IF(AND($L17&lt;&gt;"",AX$8&lt;&gt;""),COUNTIFS($I$9:$I$59,$L17,$J$9:$J$59,AX$8),0)</f>
        <v>0</v>
      </c>
      <c r="AY17" s="175">
        <f t="array" ref="AY17">IF(AND($L17&lt;&gt;"",AY$8&lt;&gt;""),COUNTIFS($I$9:$I$59,$L17,$J$9:$J$59,AY$8),0)</f>
        <v>0</v>
      </c>
      <c r="AZ17" s="175">
        <f t="array" ref="AZ17">IF(AND($L17&lt;&gt;"",AZ$8&lt;&gt;""),COUNTIFS($I$9:$I$59,$L17,$J$9:$J$59,AZ$8),0)</f>
        <v>0</v>
      </c>
      <c r="BA17" s="175">
        <f t="array" ref="BA17">IF(AND($L17&lt;&gt;"",BA$8&lt;&gt;""),COUNTIFS($I$9:$I$59,$L17,$J$9:$J$59,BA$8),0)</f>
        <v>0</v>
      </c>
      <c r="BB17" s="175">
        <f t="array" ref="BB17">IF(AND($L17&lt;&gt;"",BB$8&lt;&gt;""),COUNTIFS($I$9:$I$59,$L17,$J$9:$J$59,BB$8),0)</f>
        <v>0</v>
      </c>
      <c r="BC17" s="175">
        <f t="array" ref="BC17">IF(AND($L17&lt;&gt;"",BC$8&lt;&gt;""),COUNTIFS($I$9:$I$59,$L17,$J$9:$J$59,BC$8),0)</f>
        <v>0</v>
      </c>
      <c r="BD17" s="175">
        <f t="array" ref="BD17">IF(AND($L17&lt;&gt;"",BD$8&lt;&gt;""),COUNTIFS($I$9:$I$59,$L17,$J$9:$J$59,BD$8),0)</f>
        <v>0</v>
      </c>
      <c r="BE17" s="175">
        <f t="array" ref="BE17">IF(AND($L17&lt;&gt;"",BE$8&lt;&gt;""),COUNTIFS($I$9:$I$59,$L17,$J$9:$J$59,BE$8),0)</f>
        <v>0</v>
      </c>
      <c r="BF17" s="175">
        <f t="array" ref="BF17">IF(AND($L17&lt;&gt;"",BF$8&lt;&gt;""),COUNTIFS($I$9:$I$59,$L17,$J$9:$J$59,BF$8),0)</f>
        <v>0</v>
      </c>
      <c r="BG17" s="175">
        <f t="array" ref="BG17">IF(AND($L17&lt;&gt;"",BG$8&lt;&gt;""),COUNTIFS($I$9:$I$59,$L17,$J$9:$J$59,BG$8),0)</f>
        <v>0</v>
      </c>
      <c r="BH17" s="175">
        <f t="array" ref="BH17">IF(AND($L17&lt;&gt;"",BH$8&lt;&gt;""),COUNTIFS($I$9:$I$59,$L17,$J$9:$J$59,BH$8),0)</f>
        <v>0</v>
      </c>
      <c r="BI17" s="175">
        <f t="array" ref="BI17">IF(AND($L17&lt;&gt;"",BI$8&lt;&gt;""),COUNTIFS($I$9:$I$59,$L17,$J$9:$J$59,BI$8),0)</f>
        <v>0</v>
      </c>
      <c r="BJ17" s="175">
        <f t="array" ref="BJ17">IF(AND($L17&lt;&gt;"",BJ$8&lt;&gt;""),COUNTIFS($I$9:$I$59,$L17,$J$9:$J$59,BJ$8),0)</f>
        <v>0</v>
      </c>
    </row>
    <row r="18" spans="1:62" x14ac:dyDescent="0.2">
      <c r="A18" s="14"/>
      <c r="B18" s="108" t="s">
        <v>46</v>
      </c>
      <c r="C18" s="141"/>
      <c r="D18" s="104"/>
      <c r="E18" s="20"/>
      <c r="F18" s="105"/>
      <c r="G18" s="253"/>
      <c r="H18" s="109"/>
      <c r="I18" s="239" t="str">
        <f t="shared" si="1"/>
        <v/>
      </c>
      <c r="J18" s="168" t="str">
        <f t="shared" si="0"/>
        <v/>
      </c>
      <c r="L18" s="174" t="str">
        <f t="array" ref="L18">IFERROR(INDEX($I$9:$I$59,MATCH(0,COUNTIF($L$8:$L17,$I$9:$I$59),0)),"")</f>
        <v/>
      </c>
      <c r="M18" s="175">
        <f t="array" ref="M18">IF(AND($L18&lt;&gt;"",M$8&lt;&gt;""),COUNTIFS($I$9:$I$59,$L18,$J$9:$J$59,M$8),0)</f>
        <v>0</v>
      </c>
      <c r="N18" s="175">
        <f t="array" ref="N18">IF(AND($L18&lt;&gt;"",N$8&lt;&gt;""),COUNTIFS($I$9:$I$59,$L18,$J$9:$J$59,N$8),0)</f>
        <v>0</v>
      </c>
      <c r="O18" s="175">
        <f t="array" ref="O18">IF(AND($L18&lt;&gt;"",O$8&lt;&gt;""),COUNTIFS($I$9:$I$59,$L18,$J$9:$J$59,O$8),0)</f>
        <v>0</v>
      </c>
      <c r="P18" s="175">
        <f t="array" ref="P18">IF(AND($L18&lt;&gt;"",P$8&lt;&gt;""),COUNTIFS($I$9:$I$59,$L18,$J$9:$J$59,P$8),0)</f>
        <v>0</v>
      </c>
      <c r="Q18" s="175">
        <f t="array" ref="Q18">IF(AND($L18&lt;&gt;"",Q$8&lt;&gt;""),COUNTIFS($I$9:$I$59,$L18,$J$9:$J$59,Q$8),0)</f>
        <v>0</v>
      </c>
      <c r="R18" s="175">
        <f t="array" ref="R18">IF(AND($L18&lt;&gt;"",R$8&lt;&gt;""),COUNTIFS($I$9:$I$59,$L18,$J$9:$J$59,R$8),0)</f>
        <v>0</v>
      </c>
      <c r="S18" s="175">
        <f t="array" ref="S18">IF(AND($L18&lt;&gt;"",S$8&lt;&gt;""),COUNTIFS($I$9:$I$59,$L18,$J$9:$J$59,S$8),0)</f>
        <v>0</v>
      </c>
      <c r="T18" s="175">
        <f t="array" ref="T18">IF(AND($L18&lt;&gt;"",T$8&lt;&gt;""),COUNTIFS($I$9:$I$59,$L18,$J$9:$J$59,T$8),0)</f>
        <v>0</v>
      </c>
      <c r="U18" s="175">
        <f t="array" ref="U18">IF(AND($L18&lt;&gt;"",U$8&lt;&gt;""),COUNTIFS($I$9:$I$59,$L18,$J$9:$J$59,U$8),0)</f>
        <v>0</v>
      </c>
      <c r="V18" s="175">
        <f t="array" ref="V18">IF(AND($L18&lt;&gt;"",V$8&lt;&gt;""),COUNTIFS($I$9:$I$59,$L18,$J$9:$J$59,V$8),0)</f>
        <v>0</v>
      </c>
      <c r="W18" s="175">
        <f t="array" ref="W18">IF(AND($L18&lt;&gt;"",W$8&lt;&gt;""),COUNTIFS($I$9:$I$59,$L18,$J$9:$J$59,W$8),0)</f>
        <v>0</v>
      </c>
      <c r="X18" s="175">
        <f t="array" ref="X18">IF(AND($L18&lt;&gt;"",X$8&lt;&gt;""),COUNTIFS($I$9:$I$59,$L18,$J$9:$J$59,X$8),0)</f>
        <v>0</v>
      </c>
      <c r="Y18" s="175">
        <f t="array" ref="Y18">IF(AND($L18&lt;&gt;"",Y$8&lt;&gt;""),COUNTIFS($I$9:$I$59,$L18,$J$9:$J$59,Y$8),0)</f>
        <v>0</v>
      </c>
      <c r="Z18" s="175">
        <f t="array" ref="Z18">IF(AND($L18&lt;&gt;"",Z$8&lt;&gt;""),COUNTIFS($I$9:$I$59,$L18,$J$9:$J$59,Z$8),0)</f>
        <v>0</v>
      </c>
      <c r="AA18" s="175">
        <f t="array" ref="AA18">IF(AND($L18&lt;&gt;"",AA$8&lt;&gt;""),COUNTIFS($I$9:$I$59,$L18,$J$9:$J$59,AA$8),0)</f>
        <v>0</v>
      </c>
      <c r="AB18" s="175">
        <f t="array" ref="AB18">IF(AND($L18&lt;&gt;"",AB$8&lt;&gt;""),COUNTIFS($I$9:$I$59,$L18,$J$9:$J$59,AB$8),0)</f>
        <v>0</v>
      </c>
      <c r="AC18" s="175">
        <f t="array" ref="AC18">IF(AND($L18&lt;&gt;"",AC$8&lt;&gt;""),COUNTIFS($I$9:$I$59,$L18,$J$9:$J$59,AC$8),0)</f>
        <v>0</v>
      </c>
      <c r="AD18" s="175">
        <f t="array" ref="AD18">IF(AND($L18&lt;&gt;"",AD$8&lt;&gt;""),COUNTIFS($I$9:$I$59,$L18,$J$9:$J$59,AD$8),0)</f>
        <v>0</v>
      </c>
      <c r="AE18" s="175">
        <f t="array" ref="AE18">IF(AND($L18&lt;&gt;"",AE$8&lt;&gt;""),COUNTIFS($I$9:$I$59,$L18,$J$9:$J$59,AE$8),0)</f>
        <v>0</v>
      </c>
      <c r="AF18" s="175">
        <f t="array" ref="AF18">IF(AND($L18&lt;&gt;"",AF$8&lt;&gt;""),COUNTIFS($I$9:$I$59,$L18,$J$9:$J$59,AF$8),0)</f>
        <v>0</v>
      </c>
      <c r="AG18" s="175">
        <f t="array" ref="AG18">IF(AND($L18&lt;&gt;"",AG$8&lt;&gt;""),COUNTIFS($I$9:$I$59,$L18,$J$9:$J$59,AG$8),0)</f>
        <v>0</v>
      </c>
      <c r="AH18" s="175">
        <f t="array" ref="AH18">IF(AND($L18&lt;&gt;"",AH$8&lt;&gt;""),COUNTIFS($I$9:$I$59,$L18,$J$9:$J$59,AH$8),0)</f>
        <v>0</v>
      </c>
      <c r="AI18" s="175">
        <f t="array" ref="AI18">IF(AND($L18&lt;&gt;"",AI$8&lt;&gt;""),COUNTIFS($I$9:$I$59,$L18,$J$9:$J$59,AI$8),0)</f>
        <v>0</v>
      </c>
      <c r="AJ18" s="175">
        <f t="array" ref="AJ18">IF(AND($L18&lt;&gt;"",AJ$8&lt;&gt;""),COUNTIFS($I$9:$I$59,$L18,$J$9:$J$59,AJ$8),0)</f>
        <v>0</v>
      </c>
      <c r="AK18" s="175">
        <f t="array" ref="AK18">IF(AND($L18&lt;&gt;"",AK$8&lt;&gt;""),COUNTIFS($I$9:$I$59,$L18,$J$9:$J$59,AK$8),0)</f>
        <v>0</v>
      </c>
      <c r="AL18" s="175">
        <f t="array" ref="AL18">IF(AND($L18&lt;&gt;"",AL$8&lt;&gt;""),COUNTIFS($I$9:$I$59,$L18,$J$9:$J$59,AL$8),0)</f>
        <v>0</v>
      </c>
      <c r="AM18" s="175">
        <f t="array" ref="AM18">IF(AND($L18&lt;&gt;"",AM$8&lt;&gt;""),COUNTIFS($I$9:$I$59,$L18,$J$9:$J$59,AM$8),0)</f>
        <v>0</v>
      </c>
      <c r="AN18" s="175">
        <f t="array" ref="AN18">IF(AND($L18&lt;&gt;"",AN$8&lt;&gt;""),COUNTIFS($I$9:$I$59,$L18,$J$9:$J$59,AN$8),0)</f>
        <v>0</v>
      </c>
      <c r="AO18" s="175">
        <f t="array" ref="AO18">IF(AND($L18&lt;&gt;"",AO$8&lt;&gt;""),COUNTIFS($I$9:$I$59,$L18,$J$9:$J$59,AO$8),0)</f>
        <v>0</v>
      </c>
      <c r="AP18" s="175">
        <f t="array" ref="AP18">IF(AND($L18&lt;&gt;"",AP$8&lt;&gt;""),COUNTIFS($I$9:$I$59,$L18,$J$9:$J$59,AP$8),0)</f>
        <v>0</v>
      </c>
      <c r="AQ18" s="175">
        <f t="array" ref="AQ18">IF(AND($L18&lt;&gt;"",AQ$8&lt;&gt;""),COUNTIFS($I$9:$I$59,$L18,$J$9:$J$59,AQ$8),0)</f>
        <v>0</v>
      </c>
      <c r="AR18" s="175">
        <f t="array" ref="AR18">IF(AND($L18&lt;&gt;"",AR$8&lt;&gt;""),COUNTIFS($I$9:$I$59,$L18,$J$9:$J$59,AR$8),0)</f>
        <v>0</v>
      </c>
      <c r="AS18" s="175">
        <f t="array" ref="AS18">IF(AND($L18&lt;&gt;"",AS$8&lt;&gt;""),COUNTIFS($I$9:$I$59,$L18,$J$9:$J$59,AS$8),0)</f>
        <v>0</v>
      </c>
      <c r="AT18" s="175">
        <f t="array" ref="AT18">IF(AND($L18&lt;&gt;"",AT$8&lt;&gt;""),COUNTIFS($I$9:$I$59,$L18,$J$9:$J$59,AT$8),0)</f>
        <v>0</v>
      </c>
      <c r="AU18" s="175">
        <f t="array" ref="AU18">IF(AND($L18&lt;&gt;"",AU$8&lt;&gt;""),COUNTIFS($I$9:$I$59,$L18,$J$9:$J$59,AU$8),0)</f>
        <v>0</v>
      </c>
      <c r="AV18" s="175">
        <f t="array" ref="AV18">IF(AND($L18&lt;&gt;"",AV$8&lt;&gt;""),COUNTIFS($I$9:$I$59,$L18,$J$9:$J$59,AV$8),0)</f>
        <v>0</v>
      </c>
      <c r="AW18" s="175">
        <f t="array" ref="AW18">IF(AND($L18&lt;&gt;"",AW$8&lt;&gt;""),COUNTIFS($I$9:$I$59,$L18,$J$9:$J$59,AW$8),0)</f>
        <v>0</v>
      </c>
      <c r="AX18" s="175">
        <f t="array" ref="AX18">IF(AND($L18&lt;&gt;"",AX$8&lt;&gt;""),COUNTIFS($I$9:$I$59,$L18,$J$9:$J$59,AX$8),0)</f>
        <v>0</v>
      </c>
      <c r="AY18" s="175">
        <f t="array" ref="AY18">IF(AND($L18&lt;&gt;"",AY$8&lt;&gt;""),COUNTIFS($I$9:$I$59,$L18,$J$9:$J$59,AY$8),0)</f>
        <v>0</v>
      </c>
      <c r="AZ18" s="175">
        <f t="array" ref="AZ18">IF(AND($L18&lt;&gt;"",AZ$8&lt;&gt;""),COUNTIFS($I$9:$I$59,$L18,$J$9:$J$59,AZ$8),0)</f>
        <v>0</v>
      </c>
      <c r="BA18" s="175">
        <f t="array" ref="BA18">IF(AND($L18&lt;&gt;"",BA$8&lt;&gt;""),COUNTIFS($I$9:$I$59,$L18,$J$9:$J$59,BA$8),0)</f>
        <v>0</v>
      </c>
      <c r="BB18" s="175">
        <f t="array" ref="BB18">IF(AND($L18&lt;&gt;"",BB$8&lt;&gt;""),COUNTIFS($I$9:$I$59,$L18,$J$9:$J$59,BB$8),0)</f>
        <v>0</v>
      </c>
      <c r="BC18" s="175">
        <f t="array" ref="BC18">IF(AND($L18&lt;&gt;"",BC$8&lt;&gt;""),COUNTIFS($I$9:$I$59,$L18,$J$9:$J$59,BC$8),0)</f>
        <v>0</v>
      </c>
      <c r="BD18" s="175">
        <f t="array" ref="BD18">IF(AND($L18&lt;&gt;"",BD$8&lt;&gt;""),COUNTIFS($I$9:$I$59,$L18,$J$9:$J$59,BD$8),0)</f>
        <v>0</v>
      </c>
      <c r="BE18" s="175">
        <f t="array" ref="BE18">IF(AND($L18&lt;&gt;"",BE$8&lt;&gt;""),COUNTIFS($I$9:$I$59,$L18,$J$9:$J$59,BE$8),0)</f>
        <v>0</v>
      </c>
      <c r="BF18" s="175">
        <f t="array" ref="BF18">IF(AND($L18&lt;&gt;"",BF$8&lt;&gt;""),COUNTIFS($I$9:$I$59,$L18,$J$9:$J$59,BF$8),0)</f>
        <v>0</v>
      </c>
      <c r="BG18" s="175">
        <f t="array" ref="BG18">IF(AND($L18&lt;&gt;"",BG$8&lt;&gt;""),COUNTIFS($I$9:$I$59,$L18,$J$9:$J$59,BG$8),0)</f>
        <v>0</v>
      </c>
      <c r="BH18" s="175">
        <f t="array" ref="BH18">IF(AND($L18&lt;&gt;"",BH$8&lt;&gt;""),COUNTIFS($I$9:$I$59,$L18,$J$9:$J$59,BH$8),0)</f>
        <v>0</v>
      </c>
      <c r="BI18" s="175">
        <f t="array" ref="BI18">IF(AND($L18&lt;&gt;"",BI$8&lt;&gt;""),COUNTIFS($I$9:$I$59,$L18,$J$9:$J$59,BI$8),0)</f>
        <v>0</v>
      </c>
      <c r="BJ18" s="175">
        <f t="array" ref="BJ18">IF(AND($L18&lt;&gt;"",BJ$8&lt;&gt;""),COUNTIFS($I$9:$I$59,$L18,$J$9:$J$59,BJ$8),0)</f>
        <v>0</v>
      </c>
    </row>
    <row r="19" spans="1:62" x14ac:dyDescent="0.2">
      <c r="A19" s="14"/>
      <c r="B19" s="108" t="s">
        <v>47</v>
      </c>
      <c r="C19" s="141"/>
      <c r="D19" s="104"/>
      <c r="E19" s="20"/>
      <c r="F19" s="105"/>
      <c r="G19" s="253"/>
      <c r="H19" s="109"/>
      <c r="I19" s="239" t="str">
        <f t="shared" si="1"/>
        <v/>
      </c>
      <c r="J19" s="168" t="str">
        <f t="shared" si="0"/>
        <v/>
      </c>
      <c r="L19" s="174" t="str">
        <f t="array" ref="L19">IFERROR(INDEX($I$9:$I$59,MATCH(0,COUNTIF($L$8:$L18,$I$9:$I$59),0)),"")</f>
        <v/>
      </c>
      <c r="M19" s="175">
        <f t="array" ref="M19">IF(AND($L19&lt;&gt;"",M$8&lt;&gt;""),COUNTIFS($I$9:$I$59,$L19,$J$9:$J$59,M$8),0)</f>
        <v>0</v>
      </c>
      <c r="N19" s="175">
        <f t="array" ref="N19">IF(AND($L19&lt;&gt;"",N$8&lt;&gt;""),COUNTIFS($I$9:$I$59,$L19,$J$9:$J$59,N$8),0)</f>
        <v>0</v>
      </c>
      <c r="O19" s="175">
        <f t="array" ref="O19">IF(AND($L19&lt;&gt;"",O$8&lt;&gt;""),COUNTIFS($I$9:$I$59,$L19,$J$9:$J$59,O$8),0)</f>
        <v>0</v>
      </c>
      <c r="P19" s="175">
        <f t="array" ref="P19">IF(AND($L19&lt;&gt;"",P$8&lt;&gt;""),COUNTIFS($I$9:$I$59,$L19,$J$9:$J$59,P$8),0)</f>
        <v>0</v>
      </c>
      <c r="Q19" s="175">
        <f t="array" ref="Q19">IF(AND($L19&lt;&gt;"",Q$8&lt;&gt;""),COUNTIFS($I$9:$I$59,$L19,$J$9:$J$59,Q$8),0)</f>
        <v>0</v>
      </c>
      <c r="R19" s="175">
        <f t="array" ref="R19">IF(AND($L19&lt;&gt;"",R$8&lt;&gt;""),COUNTIFS($I$9:$I$59,$L19,$J$9:$J$59,R$8),0)</f>
        <v>0</v>
      </c>
      <c r="S19" s="175">
        <f t="array" ref="S19">IF(AND($L19&lt;&gt;"",S$8&lt;&gt;""),COUNTIFS($I$9:$I$59,$L19,$J$9:$J$59,S$8),0)</f>
        <v>0</v>
      </c>
      <c r="T19" s="175">
        <f t="array" ref="T19">IF(AND($L19&lt;&gt;"",T$8&lt;&gt;""),COUNTIFS($I$9:$I$59,$L19,$J$9:$J$59,T$8),0)</f>
        <v>0</v>
      </c>
      <c r="U19" s="175">
        <f t="array" ref="U19">IF(AND($L19&lt;&gt;"",U$8&lt;&gt;""),COUNTIFS($I$9:$I$59,$L19,$J$9:$J$59,U$8),0)</f>
        <v>0</v>
      </c>
      <c r="V19" s="175">
        <f t="array" ref="V19">IF(AND($L19&lt;&gt;"",V$8&lt;&gt;""),COUNTIFS($I$9:$I$59,$L19,$J$9:$J$59,V$8),0)</f>
        <v>0</v>
      </c>
      <c r="W19" s="175">
        <f t="array" ref="W19">IF(AND($L19&lt;&gt;"",W$8&lt;&gt;""),COUNTIFS($I$9:$I$59,$L19,$J$9:$J$59,W$8),0)</f>
        <v>0</v>
      </c>
      <c r="X19" s="175">
        <f t="array" ref="X19">IF(AND($L19&lt;&gt;"",X$8&lt;&gt;""),COUNTIFS($I$9:$I$59,$L19,$J$9:$J$59,X$8),0)</f>
        <v>0</v>
      </c>
      <c r="Y19" s="175">
        <f t="array" ref="Y19">IF(AND($L19&lt;&gt;"",Y$8&lt;&gt;""),COUNTIFS($I$9:$I$59,$L19,$J$9:$J$59,Y$8),0)</f>
        <v>0</v>
      </c>
      <c r="Z19" s="175">
        <f t="array" ref="Z19">IF(AND($L19&lt;&gt;"",Z$8&lt;&gt;""),COUNTIFS($I$9:$I$59,$L19,$J$9:$J$59,Z$8),0)</f>
        <v>0</v>
      </c>
      <c r="AA19" s="175">
        <f t="array" ref="AA19">IF(AND($L19&lt;&gt;"",AA$8&lt;&gt;""),COUNTIFS($I$9:$I$59,$L19,$J$9:$J$59,AA$8),0)</f>
        <v>0</v>
      </c>
      <c r="AB19" s="175">
        <f t="array" ref="AB19">IF(AND($L19&lt;&gt;"",AB$8&lt;&gt;""),COUNTIFS($I$9:$I$59,$L19,$J$9:$J$59,AB$8),0)</f>
        <v>0</v>
      </c>
      <c r="AC19" s="175">
        <f t="array" ref="AC19">IF(AND($L19&lt;&gt;"",AC$8&lt;&gt;""),COUNTIFS($I$9:$I$59,$L19,$J$9:$J$59,AC$8),0)</f>
        <v>0</v>
      </c>
      <c r="AD19" s="175">
        <f t="array" ref="AD19">IF(AND($L19&lt;&gt;"",AD$8&lt;&gt;""),COUNTIFS($I$9:$I$59,$L19,$J$9:$J$59,AD$8),0)</f>
        <v>0</v>
      </c>
      <c r="AE19" s="175">
        <f t="array" ref="AE19">IF(AND($L19&lt;&gt;"",AE$8&lt;&gt;""),COUNTIFS($I$9:$I$59,$L19,$J$9:$J$59,AE$8),0)</f>
        <v>0</v>
      </c>
      <c r="AF19" s="175">
        <f t="array" ref="AF19">IF(AND($L19&lt;&gt;"",AF$8&lt;&gt;""),COUNTIFS($I$9:$I$59,$L19,$J$9:$J$59,AF$8),0)</f>
        <v>0</v>
      </c>
      <c r="AG19" s="175">
        <f t="array" ref="AG19">IF(AND($L19&lt;&gt;"",AG$8&lt;&gt;""),COUNTIFS($I$9:$I$59,$L19,$J$9:$J$59,AG$8),0)</f>
        <v>0</v>
      </c>
      <c r="AH19" s="175">
        <f t="array" ref="AH19">IF(AND($L19&lt;&gt;"",AH$8&lt;&gt;""),COUNTIFS($I$9:$I$59,$L19,$J$9:$J$59,AH$8),0)</f>
        <v>0</v>
      </c>
      <c r="AI19" s="175">
        <f t="array" ref="AI19">IF(AND($L19&lt;&gt;"",AI$8&lt;&gt;""),COUNTIFS($I$9:$I$59,$L19,$J$9:$J$59,AI$8),0)</f>
        <v>0</v>
      </c>
      <c r="AJ19" s="175">
        <f t="array" ref="AJ19">IF(AND($L19&lt;&gt;"",AJ$8&lt;&gt;""),COUNTIFS($I$9:$I$59,$L19,$J$9:$J$59,AJ$8),0)</f>
        <v>0</v>
      </c>
      <c r="AK19" s="175">
        <f t="array" ref="AK19">IF(AND($L19&lt;&gt;"",AK$8&lt;&gt;""),COUNTIFS($I$9:$I$59,$L19,$J$9:$J$59,AK$8),0)</f>
        <v>0</v>
      </c>
      <c r="AL19" s="175">
        <f t="array" ref="AL19">IF(AND($L19&lt;&gt;"",AL$8&lt;&gt;""),COUNTIFS($I$9:$I$59,$L19,$J$9:$J$59,AL$8),0)</f>
        <v>0</v>
      </c>
      <c r="AM19" s="175">
        <f t="array" ref="AM19">IF(AND($L19&lt;&gt;"",AM$8&lt;&gt;""),COUNTIFS($I$9:$I$59,$L19,$J$9:$J$59,AM$8),0)</f>
        <v>0</v>
      </c>
      <c r="AN19" s="175">
        <f t="array" ref="AN19">IF(AND($L19&lt;&gt;"",AN$8&lt;&gt;""),COUNTIFS($I$9:$I$59,$L19,$J$9:$J$59,AN$8),0)</f>
        <v>0</v>
      </c>
      <c r="AO19" s="175">
        <f t="array" ref="AO19">IF(AND($L19&lt;&gt;"",AO$8&lt;&gt;""),COUNTIFS($I$9:$I$59,$L19,$J$9:$J$59,AO$8),0)</f>
        <v>0</v>
      </c>
      <c r="AP19" s="175">
        <f t="array" ref="AP19">IF(AND($L19&lt;&gt;"",AP$8&lt;&gt;""),COUNTIFS($I$9:$I$59,$L19,$J$9:$J$59,AP$8),0)</f>
        <v>0</v>
      </c>
      <c r="AQ19" s="175">
        <f t="array" ref="AQ19">IF(AND($L19&lt;&gt;"",AQ$8&lt;&gt;""),COUNTIFS($I$9:$I$59,$L19,$J$9:$J$59,AQ$8),0)</f>
        <v>0</v>
      </c>
      <c r="AR19" s="175">
        <f t="array" ref="AR19">IF(AND($L19&lt;&gt;"",AR$8&lt;&gt;""),COUNTIFS($I$9:$I$59,$L19,$J$9:$J$59,AR$8),0)</f>
        <v>0</v>
      </c>
      <c r="AS19" s="175">
        <f t="array" ref="AS19">IF(AND($L19&lt;&gt;"",AS$8&lt;&gt;""),COUNTIFS($I$9:$I$59,$L19,$J$9:$J$59,AS$8),0)</f>
        <v>0</v>
      </c>
      <c r="AT19" s="175">
        <f t="array" ref="AT19">IF(AND($L19&lt;&gt;"",AT$8&lt;&gt;""),COUNTIFS($I$9:$I$59,$L19,$J$9:$J$59,AT$8),0)</f>
        <v>0</v>
      </c>
      <c r="AU19" s="175">
        <f t="array" ref="AU19">IF(AND($L19&lt;&gt;"",AU$8&lt;&gt;""),COUNTIFS($I$9:$I$59,$L19,$J$9:$J$59,AU$8),0)</f>
        <v>0</v>
      </c>
      <c r="AV19" s="175">
        <f t="array" ref="AV19">IF(AND($L19&lt;&gt;"",AV$8&lt;&gt;""),COUNTIFS($I$9:$I$59,$L19,$J$9:$J$59,AV$8),0)</f>
        <v>0</v>
      </c>
      <c r="AW19" s="175">
        <f t="array" ref="AW19">IF(AND($L19&lt;&gt;"",AW$8&lt;&gt;""),COUNTIFS($I$9:$I$59,$L19,$J$9:$J$59,AW$8),0)</f>
        <v>0</v>
      </c>
      <c r="AX19" s="175">
        <f t="array" ref="AX19">IF(AND($L19&lt;&gt;"",AX$8&lt;&gt;""),COUNTIFS($I$9:$I$59,$L19,$J$9:$J$59,AX$8),0)</f>
        <v>0</v>
      </c>
      <c r="AY19" s="175">
        <f t="array" ref="AY19">IF(AND($L19&lt;&gt;"",AY$8&lt;&gt;""),COUNTIFS($I$9:$I$59,$L19,$J$9:$J$59,AY$8),0)</f>
        <v>0</v>
      </c>
      <c r="AZ19" s="175">
        <f t="array" ref="AZ19">IF(AND($L19&lt;&gt;"",AZ$8&lt;&gt;""),COUNTIFS($I$9:$I$59,$L19,$J$9:$J$59,AZ$8),0)</f>
        <v>0</v>
      </c>
      <c r="BA19" s="175">
        <f t="array" ref="BA19">IF(AND($L19&lt;&gt;"",BA$8&lt;&gt;""),COUNTIFS($I$9:$I$59,$L19,$J$9:$J$59,BA$8),0)</f>
        <v>0</v>
      </c>
      <c r="BB19" s="175">
        <f t="array" ref="BB19">IF(AND($L19&lt;&gt;"",BB$8&lt;&gt;""),COUNTIFS($I$9:$I$59,$L19,$J$9:$J$59,BB$8),0)</f>
        <v>0</v>
      </c>
      <c r="BC19" s="175">
        <f t="array" ref="BC19">IF(AND($L19&lt;&gt;"",BC$8&lt;&gt;""),COUNTIFS($I$9:$I$59,$L19,$J$9:$J$59,BC$8),0)</f>
        <v>0</v>
      </c>
      <c r="BD19" s="175">
        <f t="array" ref="BD19">IF(AND($L19&lt;&gt;"",BD$8&lt;&gt;""),COUNTIFS($I$9:$I$59,$L19,$J$9:$J$59,BD$8),0)</f>
        <v>0</v>
      </c>
      <c r="BE19" s="175">
        <f t="array" ref="BE19">IF(AND($L19&lt;&gt;"",BE$8&lt;&gt;""),COUNTIFS($I$9:$I$59,$L19,$J$9:$J$59,BE$8),0)</f>
        <v>0</v>
      </c>
      <c r="BF19" s="175">
        <f t="array" ref="BF19">IF(AND($L19&lt;&gt;"",BF$8&lt;&gt;""),COUNTIFS($I$9:$I$59,$L19,$J$9:$J$59,BF$8),0)</f>
        <v>0</v>
      </c>
      <c r="BG19" s="175">
        <f t="array" ref="BG19">IF(AND($L19&lt;&gt;"",BG$8&lt;&gt;""),COUNTIFS($I$9:$I$59,$L19,$J$9:$J$59,BG$8),0)</f>
        <v>0</v>
      </c>
      <c r="BH19" s="175">
        <f t="array" ref="BH19">IF(AND($L19&lt;&gt;"",BH$8&lt;&gt;""),COUNTIFS($I$9:$I$59,$L19,$J$9:$J$59,BH$8),0)</f>
        <v>0</v>
      </c>
      <c r="BI19" s="175">
        <f t="array" ref="BI19">IF(AND($L19&lt;&gt;"",BI$8&lt;&gt;""),COUNTIFS($I$9:$I$59,$L19,$J$9:$J$59,BI$8),0)</f>
        <v>0</v>
      </c>
      <c r="BJ19" s="175">
        <f t="array" ref="BJ19">IF(AND($L19&lt;&gt;"",BJ$8&lt;&gt;""),COUNTIFS($I$9:$I$59,$L19,$J$9:$J$59,BJ$8),0)</f>
        <v>0</v>
      </c>
    </row>
    <row r="20" spans="1:62" x14ac:dyDescent="0.2">
      <c r="A20" s="14"/>
      <c r="B20" s="108" t="s">
        <v>48</v>
      </c>
      <c r="C20" s="141"/>
      <c r="D20" s="104"/>
      <c r="E20" s="20"/>
      <c r="F20" s="105"/>
      <c r="G20" s="253"/>
      <c r="H20" s="109"/>
      <c r="I20" s="239" t="str">
        <f t="shared" si="1"/>
        <v/>
      </c>
      <c r="J20" s="168" t="str">
        <f t="shared" si="0"/>
        <v/>
      </c>
      <c r="L20" s="174" t="str">
        <f t="array" ref="L20">IFERROR(INDEX($I$9:$I$59,MATCH(0,COUNTIF($L$8:$L19,$I$9:$I$59),0)),"")</f>
        <v/>
      </c>
      <c r="M20" s="175">
        <f t="array" ref="M20">IF(AND($L20&lt;&gt;"",M$8&lt;&gt;""),COUNTIFS($I$9:$I$59,$L20,$J$9:$J$59,M$8),0)</f>
        <v>0</v>
      </c>
      <c r="N20" s="175">
        <f t="array" ref="N20">IF(AND($L20&lt;&gt;"",N$8&lt;&gt;""),COUNTIFS($I$9:$I$59,$L20,$J$9:$J$59,N$8),0)</f>
        <v>0</v>
      </c>
      <c r="O20" s="175">
        <f t="array" ref="O20">IF(AND($L20&lt;&gt;"",O$8&lt;&gt;""),COUNTIFS($I$9:$I$59,$L20,$J$9:$J$59,O$8),0)</f>
        <v>0</v>
      </c>
      <c r="P20" s="175">
        <f t="array" ref="P20">IF(AND($L20&lt;&gt;"",P$8&lt;&gt;""),COUNTIFS($I$9:$I$59,$L20,$J$9:$J$59,P$8),0)</f>
        <v>0</v>
      </c>
      <c r="Q20" s="175">
        <f t="array" ref="Q20">IF(AND($L20&lt;&gt;"",Q$8&lt;&gt;""),COUNTIFS($I$9:$I$59,$L20,$J$9:$J$59,Q$8),0)</f>
        <v>0</v>
      </c>
      <c r="R20" s="175">
        <f t="array" ref="R20">IF(AND($L20&lt;&gt;"",R$8&lt;&gt;""),COUNTIFS($I$9:$I$59,$L20,$J$9:$J$59,R$8),0)</f>
        <v>0</v>
      </c>
      <c r="S20" s="175">
        <f t="array" ref="S20">IF(AND($L20&lt;&gt;"",S$8&lt;&gt;""),COUNTIFS($I$9:$I$59,$L20,$J$9:$J$59,S$8),0)</f>
        <v>0</v>
      </c>
      <c r="T20" s="175">
        <f t="array" ref="T20">IF(AND($L20&lt;&gt;"",T$8&lt;&gt;""),COUNTIFS($I$9:$I$59,$L20,$J$9:$J$59,T$8),0)</f>
        <v>0</v>
      </c>
      <c r="U20" s="175">
        <f t="array" ref="U20">IF(AND($L20&lt;&gt;"",U$8&lt;&gt;""),COUNTIFS($I$9:$I$59,$L20,$J$9:$J$59,U$8),0)</f>
        <v>0</v>
      </c>
      <c r="V20" s="175">
        <f t="array" ref="V20">IF(AND($L20&lt;&gt;"",V$8&lt;&gt;""),COUNTIFS($I$9:$I$59,$L20,$J$9:$J$59,V$8),0)</f>
        <v>0</v>
      </c>
      <c r="W20" s="175">
        <f t="array" ref="W20">IF(AND($L20&lt;&gt;"",W$8&lt;&gt;""),COUNTIFS($I$9:$I$59,$L20,$J$9:$J$59,W$8),0)</f>
        <v>0</v>
      </c>
      <c r="X20" s="175">
        <f t="array" ref="X20">IF(AND($L20&lt;&gt;"",X$8&lt;&gt;""),COUNTIFS($I$9:$I$59,$L20,$J$9:$J$59,X$8),0)</f>
        <v>0</v>
      </c>
      <c r="Y20" s="175">
        <f t="array" ref="Y20">IF(AND($L20&lt;&gt;"",Y$8&lt;&gt;""),COUNTIFS($I$9:$I$59,$L20,$J$9:$J$59,Y$8),0)</f>
        <v>0</v>
      </c>
      <c r="Z20" s="175">
        <f t="array" ref="Z20">IF(AND($L20&lt;&gt;"",Z$8&lt;&gt;""),COUNTIFS($I$9:$I$59,$L20,$J$9:$J$59,Z$8),0)</f>
        <v>0</v>
      </c>
      <c r="AA20" s="175">
        <f t="array" ref="AA20">IF(AND($L20&lt;&gt;"",AA$8&lt;&gt;""),COUNTIFS($I$9:$I$59,$L20,$J$9:$J$59,AA$8),0)</f>
        <v>0</v>
      </c>
      <c r="AB20" s="175">
        <f t="array" ref="AB20">IF(AND($L20&lt;&gt;"",AB$8&lt;&gt;""),COUNTIFS($I$9:$I$59,$L20,$J$9:$J$59,AB$8),0)</f>
        <v>0</v>
      </c>
      <c r="AC20" s="175">
        <f t="array" ref="AC20">IF(AND($L20&lt;&gt;"",AC$8&lt;&gt;""),COUNTIFS($I$9:$I$59,$L20,$J$9:$J$59,AC$8),0)</f>
        <v>0</v>
      </c>
      <c r="AD20" s="175">
        <f t="array" ref="AD20">IF(AND($L20&lt;&gt;"",AD$8&lt;&gt;""),COUNTIFS($I$9:$I$59,$L20,$J$9:$J$59,AD$8),0)</f>
        <v>0</v>
      </c>
      <c r="AE20" s="175">
        <f t="array" ref="AE20">IF(AND($L20&lt;&gt;"",AE$8&lt;&gt;""),COUNTIFS($I$9:$I$59,$L20,$J$9:$J$59,AE$8),0)</f>
        <v>0</v>
      </c>
      <c r="AF20" s="175">
        <f t="array" ref="AF20">IF(AND($L20&lt;&gt;"",AF$8&lt;&gt;""),COUNTIFS($I$9:$I$59,$L20,$J$9:$J$59,AF$8),0)</f>
        <v>0</v>
      </c>
      <c r="AG20" s="175">
        <f t="array" ref="AG20">IF(AND($L20&lt;&gt;"",AG$8&lt;&gt;""),COUNTIFS($I$9:$I$59,$L20,$J$9:$J$59,AG$8),0)</f>
        <v>0</v>
      </c>
      <c r="AH20" s="175">
        <f t="array" ref="AH20">IF(AND($L20&lt;&gt;"",AH$8&lt;&gt;""),COUNTIFS($I$9:$I$59,$L20,$J$9:$J$59,AH$8),0)</f>
        <v>0</v>
      </c>
      <c r="AI20" s="175">
        <f t="array" ref="AI20">IF(AND($L20&lt;&gt;"",AI$8&lt;&gt;""),COUNTIFS($I$9:$I$59,$L20,$J$9:$J$59,AI$8),0)</f>
        <v>0</v>
      </c>
      <c r="AJ20" s="175">
        <f t="array" ref="AJ20">IF(AND($L20&lt;&gt;"",AJ$8&lt;&gt;""),COUNTIFS($I$9:$I$59,$L20,$J$9:$J$59,AJ$8),0)</f>
        <v>0</v>
      </c>
      <c r="AK20" s="175">
        <f t="array" ref="AK20">IF(AND($L20&lt;&gt;"",AK$8&lt;&gt;""),COUNTIFS($I$9:$I$59,$L20,$J$9:$J$59,AK$8),0)</f>
        <v>0</v>
      </c>
      <c r="AL20" s="175">
        <f t="array" ref="AL20">IF(AND($L20&lt;&gt;"",AL$8&lt;&gt;""),COUNTIFS($I$9:$I$59,$L20,$J$9:$J$59,AL$8),0)</f>
        <v>0</v>
      </c>
      <c r="AM20" s="175">
        <f t="array" ref="AM20">IF(AND($L20&lt;&gt;"",AM$8&lt;&gt;""),COUNTIFS($I$9:$I$59,$L20,$J$9:$J$59,AM$8),0)</f>
        <v>0</v>
      </c>
      <c r="AN20" s="175">
        <f t="array" ref="AN20">IF(AND($L20&lt;&gt;"",AN$8&lt;&gt;""),COUNTIFS($I$9:$I$59,$L20,$J$9:$J$59,AN$8),0)</f>
        <v>0</v>
      </c>
      <c r="AO20" s="175">
        <f t="array" ref="AO20">IF(AND($L20&lt;&gt;"",AO$8&lt;&gt;""),COUNTIFS($I$9:$I$59,$L20,$J$9:$J$59,AO$8),0)</f>
        <v>0</v>
      </c>
      <c r="AP20" s="175">
        <f t="array" ref="AP20">IF(AND($L20&lt;&gt;"",AP$8&lt;&gt;""),COUNTIFS($I$9:$I$59,$L20,$J$9:$J$59,AP$8),0)</f>
        <v>0</v>
      </c>
      <c r="AQ20" s="175">
        <f t="array" ref="AQ20">IF(AND($L20&lt;&gt;"",AQ$8&lt;&gt;""),COUNTIFS($I$9:$I$59,$L20,$J$9:$J$59,AQ$8),0)</f>
        <v>0</v>
      </c>
      <c r="AR20" s="175">
        <f t="array" ref="AR20">IF(AND($L20&lt;&gt;"",AR$8&lt;&gt;""),COUNTIFS($I$9:$I$59,$L20,$J$9:$J$59,AR$8),0)</f>
        <v>0</v>
      </c>
      <c r="AS20" s="175">
        <f t="array" ref="AS20">IF(AND($L20&lt;&gt;"",AS$8&lt;&gt;""),COUNTIFS($I$9:$I$59,$L20,$J$9:$J$59,AS$8),0)</f>
        <v>0</v>
      </c>
      <c r="AT20" s="175">
        <f t="array" ref="AT20">IF(AND($L20&lt;&gt;"",AT$8&lt;&gt;""),COUNTIFS($I$9:$I$59,$L20,$J$9:$J$59,AT$8),0)</f>
        <v>0</v>
      </c>
      <c r="AU20" s="175">
        <f t="array" ref="AU20">IF(AND($L20&lt;&gt;"",AU$8&lt;&gt;""),COUNTIFS($I$9:$I$59,$L20,$J$9:$J$59,AU$8),0)</f>
        <v>0</v>
      </c>
      <c r="AV20" s="175">
        <f t="array" ref="AV20">IF(AND($L20&lt;&gt;"",AV$8&lt;&gt;""),COUNTIFS($I$9:$I$59,$L20,$J$9:$J$59,AV$8),0)</f>
        <v>0</v>
      </c>
      <c r="AW20" s="175">
        <f t="array" ref="AW20">IF(AND($L20&lt;&gt;"",AW$8&lt;&gt;""),COUNTIFS($I$9:$I$59,$L20,$J$9:$J$59,AW$8),0)</f>
        <v>0</v>
      </c>
      <c r="AX20" s="175">
        <f t="array" ref="AX20">IF(AND($L20&lt;&gt;"",AX$8&lt;&gt;""),COUNTIFS($I$9:$I$59,$L20,$J$9:$J$59,AX$8),0)</f>
        <v>0</v>
      </c>
      <c r="AY20" s="175">
        <f t="array" ref="AY20">IF(AND($L20&lt;&gt;"",AY$8&lt;&gt;""),COUNTIFS($I$9:$I$59,$L20,$J$9:$J$59,AY$8),0)</f>
        <v>0</v>
      </c>
      <c r="AZ20" s="175">
        <f t="array" ref="AZ20">IF(AND($L20&lt;&gt;"",AZ$8&lt;&gt;""),COUNTIFS($I$9:$I$59,$L20,$J$9:$J$59,AZ$8),0)</f>
        <v>0</v>
      </c>
      <c r="BA20" s="175">
        <f t="array" ref="BA20">IF(AND($L20&lt;&gt;"",BA$8&lt;&gt;""),COUNTIFS($I$9:$I$59,$L20,$J$9:$J$59,BA$8),0)</f>
        <v>0</v>
      </c>
      <c r="BB20" s="175">
        <f t="array" ref="BB20">IF(AND($L20&lt;&gt;"",BB$8&lt;&gt;""),COUNTIFS($I$9:$I$59,$L20,$J$9:$J$59,BB$8),0)</f>
        <v>0</v>
      </c>
      <c r="BC20" s="175">
        <f t="array" ref="BC20">IF(AND($L20&lt;&gt;"",BC$8&lt;&gt;""),COUNTIFS($I$9:$I$59,$L20,$J$9:$J$59,BC$8),0)</f>
        <v>0</v>
      </c>
      <c r="BD20" s="175">
        <f t="array" ref="BD20">IF(AND($L20&lt;&gt;"",BD$8&lt;&gt;""),COUNTIFS($I$9:$I$59,$L20,$J$9:$J$59,BD$8),0)</f>
        <v>0</v>
      </c>
      <c r="BE20" s="175">
        <f t="array" ref="BE20">IF(AND($L20&lt;&gt;"",BE$8&lt;&gt;""),COUNTIFS($I$9:$I$59,$L20,$J$9:$J$59,BE$8),0)</f>
        <v>0</v>
      </c>
      <c r="BF20" s="175">
        <f t="array" ref="BF20">IF(AND($L20&lt;&gt;"",BF$8&lt;&gt;""),COUNTIFS($I$9:$I$59,$L20,$J$9:$J$59,BF$8),0)</f>
        <v>0</v>
      </c>
      <c r="BG20" s="175">
        <f t="array" ref="BG20">IF(AND($L20&lt;&gt;"",BG$8&lt;&gt;""),COUNTIFS($I$9:$I$59,$L20,$J$9:$J$59,BG$8),0)</f>
        <v>0</v>
      </c>
      <c r="BH20" s="175">
        <f t="array" ref="BH20">IF(AND($L20&lt;&gt;"",BH$8&lt;&gt;""),COUNTIFS($I$9:$I$59,$L20,$J$9:$J$59,BH$8),0)</f>
        <v>0</v>
      </c>
      <c r="BI20" s="175">
        <f t="array" ref="BI20">IF(AND($L20&lt;&gt;"",BI$8&lt;&gt;""),COUNTIFS($I$9:$I$59,$L20,$J$9:$J$59,BI$8),0)</f>
        <v>0</v>
      </c>
      <c r="BJ20" s="175">
        <f t="array" ref="BJ20">IF(AND($L20&lt;&gt;"",BJ$8&lt;&gt;""),COUNTIFS($I$9:$I$59,$L20,$J$9:$J$59,BJ$8),0)</f>
        <v>0</v>
      </c>
    </row>
    <row r="21" spans="1:62" x14ac:dyDescent="0.2">
      <c r="A21" s="14"/>
      <c r="B21" s="108" t="s">
        <v>49</v>
      </c>
      <c r="C21" s="141"/>
      <c r="D21" s="104"/>
      <c r="E21" s="20"/>
      <c r="F21" s="105"/>
      <c r="G21" s="253"/>
      <c r="H21" s="109"/>
      <c r="I21" s="239" t="str">
        <f t="shared" si="1"/>
        <v/>
      </c>
      <c r="J21" s="168" t="str">
        <f t="shared" si="0"/>
        <v/>
      </c>
      <c r="L21" s="174" t="str">
        <f t="array" ref="L21">IFERROR(INDEX($I$9:$I$59,MATCH(0,COUNTIF($L$8:$L20,$I$9:$I$59),0)),"")</f>
        <v/>
      </c>
      <c r="M21" s="175">
        <f t="array" ref="M21">IF(AND($L21&lt;&gt;"",M$8&lt;&gt;""),COUNTIFS($I$9:$I$59,$L21,$J$9:$J$59,M$8),0)</f>
        <v>0</v>
      </c>
      <c r="N21" s="175">
        <f t="array" ref="N21">IF(AND($L21&lt;&gt;"",N$8&lt;&gt;""),COUNTIFS($I$9:$I$59,$L21,$J$9:$J$59,N$8),0)</f>
        <v>0</v>
      </c>
      <c r="O21" s="175">
        <f t="array" ref="O21">IF(AND($L21&lt;&gt;"",O$8&lt;&gt;""),COUNTIFS($I$9:$I$59,$L21,$J$9:$J$59,O$8),0)</f>
        <v>0</v>
      </c>
      <c r="P21" s="175">
        <f t="array" ref="P21">IF(AND($L21&lt;&gt;"",P$8&lt;&gt;""),COUNTIFS($I$9:$I$59,$L21,$J$9:$J$59,P$8),0)</f>
        <v>0</v>
      </c>
      <c r="Q21" s="175">
        <f t="array" ref="Q21">IF(AND($L21&lt;&gt;"",Q$8&lt;&gt;""),COUNTIFS($I$9:$I$59,$L21,$J$9:$J$59,Q$8),0)</f>
        <v>0</v>
      </c>
      <c r="R21" s="175">
        <f t="array" ref="R21">IF(AND($L21&lt;&gt;"",R$8&lt;&gt;""),COUNTIFS($I$9:$I$59,$L21,$J$9:$J$59,R$8),0)</f>
        <v>0</v>
      </c>
      <c r="S21" s="175">
        <f t="array" ref="S21">IF(AND($L21&lt;&gt;"",S$8&lt;&gt;""),COUNTIFS($I$9:$I$59,$L21,$J$9:$J$59,S$8),0)</f>
        <v>0</v>
      </c>
      <c r="T21" s="175">
        <f t="array" ref="T21">IF(AND($L21&lt;&gt;"",T$8&lt;&gt;""),COUNTIFS($I$9:$I$59,$L21,$J$9:$J$59,T$8),0)</f>
        <v>0</v>
      </c>
      <c r="U21" s="175">
        <f t="array" ref="U21">IF(AND($L21&lt;&gt;"",U$8&lt;&gt;""),COUNTIFS($I$9:$I$59,$L21,$J$9:$J$59,U$8),0)</f>
        <v>0</v>
      </c>
      <c r="V21" s="175">
        <f t="array" ref="V21">IF(AND($L21&lt;&gt;"",V$8&lt;&gt;""),COUNTIFS($I$9:$I$59,$L21,$J$9:$J$59,V$8),0)</f>
        <v>0</v>
      </c>
      <c r="W21" s="175">
        <f t="array" ref="W21">IF(AND($L21&lt;&gt;"",W$8&lt;&gt;""),COUNTIFS($I$9:$I$59,$L21,$J$9:$J$59,W$8),0)</f>
        <v>0</v>
      </c>
      <c r="X21" s="175">
        <f t="array" ref="X21">IF(AND($L21&lt;&gt;"",X$8&lt;&gt;""),COUNTIFS($I$9:$I$59,$L21,$J$9:$J$59,X$8),0)</f>
        <v>0</v>
      </c>
      <c r="Y21" s="175">
        <f t="array" ref="Y21">IF(AND($L21&lt;&gt;"",Y$8&lt;&gt;""),COUNTIFS($I$9:$I$59,$L21,$J$9:$J$59,Y$8),0)</f>
        <v>0</v>
      </c>
      <c r="Z21" s="175">
        <f t="array" ref="Z21">IF(AND($L21&lt;&gt;"",Z$8&lt;&gt;""),COUNTIFS($I$9:$I$59,$L21,$J$9:$J$59,Z$8),0)</f>
        <v>0</v>
      </c>
      <c r="AA21" s="175">
        <f t="array" ref="AA21">IF(AND($L21&lt;&gt;"",AA$8&lt;&gt;""),COUNTIFS($I$9:$I$59,$L21,$J$9:$J$59,AA$8),0)</f>
        <v>0</v>
      </c>
      <c r="AB21" s="175">
        <f t="array" ref="AB21">IF(AND($L21&lt;&gt;"",AB$8&lt;&gt;""),COUNTIFS($I$9:$I$59,$L21,$J$9:$J$59,AB$8),0)</f>
        <v>0</v>
      </c>
      <c r="AC21" s="175">
        <f t="array" ref="AC21">IF(AND($L21&lt;&gt;"",AC$8&lt;&gt;""),COUNTIFS($I$9:$I$59,$L21,$J$9:$J$59,AC$8),0)</f>
        <v>0</v>
      </c>
      <c r="AD21" s="175">
        <f t="array" ref="AD21">IF(AND($L21&lt;&gt;"",AD$8&lt;&gt;""),COUNTIFS($I$9:$I$59,$L21,$J$9:$J$59,AD$8),0)</f>
        <v>0</v>
      </c>
      <c r="AE21" s="175">
        <f t="array" ref="AE21">IF(AND($L21&lt;&gt;"",AE$8&lt;&gt;""),COUNTIFS($I$9:$I$59,$L21,$J$9:$J$59,AE$8),0)</f>
        <v>0</v>
      </c>
      <c r="AF21" s="175">
        <f t="array" ref="AF21">IF(AND($L21&lt;&gt;"",AF$8&lt;&gt;""),COUNTIFS($I$9:$I$59,$L21,$J$9:$J$59,AF$8),0)</f>
        <v>0</v>
      </c>
      <c r="AG21" s="175">
        <f t="array" ref="AG21">IF(AND($L21&lt;&gt;"",AG$8&lt;&gt;""),COUNTIFS($I$9:$I$59,$L21,$J$9:$J$59,AG$8),0)</f>
        <v>0</v>
      </c>
      <c r="AH21" s="175">
        <f t="array" ref="AH21">IF(AND($L21&lt;&gt;"",AH$8&lt;&gt;""),COUNTIFS($I$9:$I$59,$L21,$J$9:$J$59,AH$8),0)</f>
        <v>0</v>
      </c>
      <c r="AI21" s="175">
        <f t="array" ref="AI21">IF(AND($L21&lt;&gt;"",AI$8&lt;&gt;""),COUNTIFS($I$9:$I$59,$L21,$J$9:$J$59,AI$8),0)</f>
        <v>0</v>
      </c>
      <c r="AJ21" s="175">
        <f t="array" ref="AJ21">IF(AND($L21&lt;&gt;"",AJ$8&lt;&gt;""),COUNTIFS($I$9:$I$59,$L21,$J$9:$J$59,AJ$8),0)</f>
        <v>0</v>
      </c>
      <c r="AK21" s="175">
        <f t="array" ref="AK21">IF(AND($L21&lt;&gt;"",AK$8&lt;&gt;""),COUNTIFS($I$9:$I$59,$L21,$J$9:$J$59,AK$8),0)</f>
        <v>0</v>
      </c>
      <c r="AL21" s="175">
        <f t="array" ref="AL21">IF(AND($L21&lt;&gt;"",AL$8&lt;&gt;""),COUNTIFS($I$9:$I$59,$L21,$J$9:$J$59,AL$8),0)</f>
        <v>0</v>
      </c>
      <c r="AM21" s="175">
        <f t="array" ref="AM21">IF(AND($L21&lt;&gt;"",AM$8&lt;&gt;""),COUNTIFS($I$9:$I$59,$L21,$J$9:$J$59,AM$8),0)</f>
        <v>0</v>
      </c>
      <c r="AN21" s="175">
        <f t="array" ref="AN21">IF(AND($L21&lt;&gt;"",AN$8&lt;&gt;""),COUNTIFS($I$9:$I$59,$L21,$J$9:$J$59,AN$8),0)</f>
        <v>0</v>
      </c>
      <c r="AO21" s="175">
        <f t="array" ref="AO21">IF(AND($L21&lt;&gt;"",AO$8&lt;&gt;""),COUNTIFS($I$9:$I$59,$L21,$J$9:$J$59,AO$8),0)</f>
        <v>0</v>
      </c>
      <c r="AP21" s="175">
        <f t="array" ref="AP21">IF(AND($L21&lt;&gt;"",AP$8&lt;&gt;""),COUNTIFS($I$9:$I$59,$L21,$J$9:$J$59,AP$8),0)</f>
        <v>0</v>
      </c>
      <c r="AQ21" s="175">
        <f t="array" ref="AQ21">IF(AND($L21&lt;&gt;"",AQ$8&lt;&gt;""),COUNTIFS($I$9:$I$59,$L21,$J$9:$J$59,AQ$8),0)</f>
        <v>0</v>
      </c>
      <c r="AR21" s="175">
        <f t="array" ref="AR21">IF(AND($L21&lt;&gt;"",AR$8&lt;&gt;""),COUNTIFS($I$9:$I$59,$L21,$J$9:$J$59,AR$8),0)</f>
        <v>0</v>
      </c>
      <c r="AS21" s="175">
        <f t="array" ref="AS21">IF(AND($L21&lt;&gt;"",AS$8&lt;&gt;""),COUNTIFS($I$9:$I$59,$L21,$J$9:$J$59,AS$8),0)</f>
        <v>0</v>
      </c>
      <c r="AT21" s="175">
        <f t="array" ref="AT21">IF(AND($L21&lt;&gt;"",AT$8&lt;&gt;""),COUNTIFS($I$9:$I$59,$L21,$J$9:$J$59,AT$8),0)</f>
        <v>0</v>
      </c>
      <c r="AU21" s="175">
        <f t="array" ref="AU21">IF(AND($L21&lt;&gt;"",AU$8&lt;&gt;""),COUNTIFS($I$9:$I$59,$L21,$J$9:$J$59,AU$8),0)</f>
        <v>0</v>
      </c>
      <c r="AV21" s="175">
        <f t="array" ref="AV21">IF(AND($L21&lt;&gt;"",AV$8&lt;&gt;""),COUNTIFS($I$9:$I$59,$L21,$J$9:$J$59,AV$8),0)</f>
        <v>0</v>
      </c>
      <c r="AW21" s="175">
        <f t="array" ref="AW21">IF(AND($L21&lt;&gt;"",AW$8&lt;&gt;""),COUNTIFS($I$9:$I$59,$L21,$J$9:$J$59,AW$8),0)</f>
        <v>0</v>
      </c>
      <c r="AX21" s="175">
        <f t="array" ref="AX21">IF(AND($L21&lt;&gt;"",AX$8&lt;&gt;""),COUNTIFS($I$9:$I$59,$L21,$J$9:$J$59,AX$8),0)</f>
        <v>0</v>
      </c>
      <c r="AY21" s="175">
        <f t="array" ref="AY21">IF(AND($L21&lt;&gt;"",AY$8&lt;&gt;""),COUNTIFS($I$9:$I$59,$L21,$J$9:$J$59,AY$8),0)</f>
        <v>0</v>
      </c>
      <c r="AZ21" s="175">
        <f t="array" ref="AZ21">IF(AND($L21&lt;&gt;"",AZ$8&lt;&gt;""),COUNTIFS($I$9:$I$59,$L21,$J$9:$J$59,AZ$8),0)</f>
        <v>0</v>
      </c>
      <c r="BA21" s="175">
        <f t="array" ref="BA21">IF(AND($L21&lt;&gt;"",BA$8&lt;&gt;""),COUNTIFS($I$9:$I$59,$L21,$J$9:$J$59,BA$8),0)</f>
        <v>0</v>
      </c>
      <c r="BB21" s="175">
        <f t="array" ref="BB21">IF(AND($L21&lt;&gt;"",BB$8&lt;&gt;""),COUNTIFS($I$9:$I$59,$L21,$J$9:$J$59,BB$8),0)</f>
        <v>0</v>
      </c>
      <c r="BC21" s="175">
        <f t="array" ref="BC21">IF(AND($L21&lt;&gt;"",BC$8&lt;&gt;""),COUNTIFS($I$9:$I$59,$L21,$J$9:$J$59,BC$8),0)</f>
        <v>0</v>
      </c>
      <c r="BD21" s="175">
        <f t="array" ref="BD21">IF(AND($L21&lt;&gt;"",BD$8&lt;&gt;""),COUNTIFS($I$9:$I$59,$L21,$J$9:$J$59,BD$8),0)</f>
        <v>0</v>
      </c>
      <c r="BE21" s="175">
        <f t="array" ref="BE21">IF(AND($L21&lt;&gt;"",BE$8&lt;&gt;""),COUNTIFS($I$9:$I$59,$L21,$J$9:$J$59,BE$8),0)</f>
        <v>0</v>
      </c>
      <c r="BF21" s="175">
        <f t="array" ref="BF21">IF(AND($L21&lt;&gt;"",BF$8&lt;&gt;""),COUNTIFS($I$9:$I$59,$L21,$J$9:$J$59,BF$8),0)</f>
        <v>0</v>
      </c>
      <c r="BG21" s="175">
        <f t="array" ref="BG21">IF(AND($L21&lt;&gt;"",BG$8&lt;&gt;""),COUNTIFS($I$9:$I$59,$L21,$J$9:$J$59,BG$8),0)</f>
        <v>0</v>
      </c>
      <c r="BH21" s="175">
        <f t="array" ref="BH21">IF(AND($L21&lt;&gt;"",BH$8&lt;&gt;""),COUNTIFS($I$9:$I$59,$L21,$J$9:$J$59,BH$8),0)</f>
        <v>0</v>
      </c>
      <c r="BI21" s="175">
        <f t="array" ref="BI21">IF(AND($L21&lt;&gt;"",BI$8&lt;&gt;""),COUNTIFS($I$9:$I$59,$L21,$J$9:$J$59,BI$8),0)</f>
        <v>0</v>
      </c>
      <c r="BJ21" s="175">
        <f t="array" ref="BJ21">IF(AND($L21&lt;&gt;"",BJ$8&lt;&gt;""),COUNTIFS($I$9:$I$59,$L21,$J$9:$J$59,BJ$8),0)</f>
        <v>0</v>
      </c>
    </row>
    <row r="22" spans="1:62" x14ac:dyDescent="0.2">
      <c r="A22" s="14"/>
      <c r="B22" s="108" t="s">
        <v>50</v>
      </c>
      <c r="C22" s="147"/>
      <c r="D22" s="104"/>
      <c r="E22" s="20"/>
      <c r="F22" s="105"/>
      <c r="G22" s="253"/>
      <c r="H22" s="109"/>
      <c r="I22" s="239" t="str">
        <f t="shared" si="1"/>
        <v/>
      </c>
      <c r="J22" s="168" t="str">
        <f t="shared" si="0"/>
        <v/>
      </c>
      <c r="L22" s="174" t="str">
        <f t="array" ref="L22">IFERROR(INDEX($I$9:$I$59,MATCH(0,COUNTIF($L$8:$L21,$I$9:$I$59),0)),"")</f>
        <v/>
      </c>
      <c r="M22" s="175">
        <f t="array" ref="M22">IF(AND($L22&lt;&gt;"",M$8&lt;&gt;""),COUNTIFS($I$9:$I$59,$L22,$J$9:$J$59,M$8),0)</f>
        <v>0</v>
      </c>
      <c r="N22" s="175">
        <f t="array" ref="N22">IF(AND($L22&lt;&gt;"",N$8&lt;&gt;""),COUNTIFS($I$9:$I$59,$L22,$J$9:$J$59,N$8),0)</f>
        <v>0</v>
      </c>
      <c r="O22" s="175">
        <f t="array" ref="O22">IF(AND($L22&lt;&gt;"",O$8&lt;&gt;""),COUNTIFS($I$9:$I$59,$L22,$J$9:$J$59,O$8),0)</f>
        <v>0</v>
      </c>
      <c r="P22" s="175">
        <f t="array" ref="P22">IF(AND($L22&lt;&gt;"",P$8&lt;&gt;""),COUNTIFS($I$9:$I$59,$L22,$J$9:$J$59,P$8),0)</f>
        <v>0</v>
      </c>
      <c r="Q22" s="175">
        <f t="array" ref="Q22">IF(AND($L22&lt;&gt;"",Q$8&lt;&gt;""),COUNTIFS($I$9:$I$59,$L22,$J$9:$J$59,Q$8),0)</f>
        <v>0</v>
      </c>
      <c r="R22" s="175">
        <f t="array" ref="R22">IF(AND($L22&lt;&gt;"",R$8&lt;&gt;""),COUNTIFS($I$9:$I$59,$L22,$J$9:$J$59,R$8),0)</f>
        <v>0</v>
      </c>
      <c r="S22" s="175">
        <f t="array" ref="S22">IF(AND($L22&lt;&gt;"",S$8&lt;&gt;""),COUNTIFS($I$9:$I$59,$L22,$J$9:$J$59,S$8),0)</f>
        <v>0</v>
      </c>
      <c r="T22" s="175">
        <f t="array" ref="T22">IF(AND($L22&lt;&gt;"",T$8&lt;&gt;""),COUNTIFS($I$9:$I$59,$L22,$J$9:$J$59,T$8),0)</f>
        <v>0</v>
      </c>
      <c r="U22" s="175">
        <f t="array" ref="U22">IF(AND($L22&lt;&gt;"",U$8&lt;&gt;""),COUNTIFS($I$9:$I$59,$L22,$J$9:$J$59,U$8),0)</f>
        <v>0</v>
      </c>
      <c r="V22" s="175">
        <f t="array" ref="V22">IF(AND($L22&lt;&gt;"",V$8&lt;&gt;""),COUNTIFS($I$9:$I$59,$L22,$J$9:$J$59,V$8),0)</f>
        <v>0</v>
      </c>
      <c r="W22" s="175">
        <f t="array" ref="W22">IF(AND($L22&lt;&gt;"",W$8&lt;&gt;""),COUNTIFS($I$9:$I$59,$L22,$J$9:$J$59,W$8),0)</f>
        <v>0</v>
      </c>
      <c r="X22" s="175">
        <f t="array" ref="X22">IF(AND($L22&lt;&gt;"",X$8&lt;&gt;""),COUNTIFS($I$9:$I$59,$L22,$J$9:$J$59,X$8),0)</f>
        <v>0</v>
      </c>
      <c r="Y22" s="175">
        <f t="array" ref="Y22">IF(AND($L22&lt;&gt;"",Y$8&lt;&gt;""),COUNTIFS($I$9:$I$59,$L22,$J$9:$J$59,Y$8),0)</f>
        <v>0</v>
      </c>
      <c r="Z22" s="175">
        <f t="array" ref="Z22">IF(AND($L22&lt;&gt;"",Z$8&lt;&gt;""),COUNTIFS($I$9:$I$59,$L22,$J$9:$J$59,Z$8),0)</f>
        <v>0</v>
      </c>
      <c r="AA22" s="175">
        <f t="array" ref="AA22">IF(AND($L22&lt;&gt;"",AA$8&lt;&gt;""),COUNTIFS($I$9:$I$59,$L22,$J$9:$J$59,AA$8),0)</f>
        <v>0</v>
      </c>
      <c r="AB22" s="175">
        <f t="array" ref="AB22">IF(AND($L22&lt;&gt;"",AB$8&lt;&gt;""),COUNTIFS($I$9:$I$59,$L22,$J$9:$J$59,AB$8),0)</f>
        <v>0</v>
      </c>
      <c r="AC22" s="175">
        <f t="array" ref="AC22">IF(AND($L22&lt;&gt;"",AC$8&lt;&gt;""),COUNTIFS($I$9:$I$59,$L22,$J$9:$J$59,AC$8),0)</f>
        <v>0</v>
      </c>
      <c r="AD22" s="175">
        <f t="array" ref="AD22">IF(AND($L22&lt;&gt;"",AD$8&lt;&gt;""),COUNTIFS($I$9:$I$59,$L22,$J$9:$J$59,AD$8),0)</f>
        <v>0</v>
      </c>
      <c r="AE22" s="175">
        <f t="array" ref="AE22">IF(AND($L22&lt;&gt;"",AE$8&lt;&gt;""),COUNTIFS($I$9:$I$59,$L22,$J$9:$J$59,AE$8),0)</f>
        <v>0</v>
      </c>
      <c r="AF22" s="175">
        <f t="array" ref="AF22">IF(AND($L22&lt;&gt;"",AF$8&lt;&gt;""),COUNTIFS($I$9:$I$59,$L22,$J$9:$J$59,AF$8),0)</f>
        <v>0</v>
      </c>
      <c r="AG22" s="175">
        <f t="array" ref="AG22">IF(AND($L22&lt;&gt;"",AG$8&lt;&gt;""),COUNTIFS($I$9:$I$59,$L22,$J$9:$J$59,AG$8),0)</f>
        <v>0</v>
      </c>
      <c r="AH22" s="175">
        <f t="array" ref="AH22">IF(AND($L22&lt;&gt;"",AH$8&lt;&gt;""),COUNTIFS($I$9:$I$59,$L22,$J$9:$J$59,AH$8),0)</f>
        <v>0</v>
      </c>
      <c r="AI22" s="175">
        <f t="array" ref="AI22">IF(AND($L22&lt;&gt;"",AI$8&lt;&gt;""),COUNTIFS($I$9:$I$59,$L22,$J$9:$J$59,AI$8),0)</f>
        <v>0</v>
      </c>
      <c r="AJ22" s="175">
        <f t="array" ref="AJ22">IF(AND($L22&lt;&gt;"",AJ$8&lt;&gt;""),COUNTIFS($I$9:$I$59,$L22,$J$9:$J$59,AJ$8),0)</f>
        <v>0</v>
      </c>
      <c r="AK22" s="175">
        <f t="array" ref="AK22">IF(AND($L22&lt;&gt;"",AK$8&lt;&gt;""),COUNTIFS($I$9:$I$59,$L22,$J$9:$J$59,AK$8),0)</f>
        <v>0</v>
      </c>
      <c r="AL22" s="175">
        <f t="array" ref="AL22">IF(AND($L22&lt;&gt;"",AL$8&lt;&gt;""),COUNTIFS($I$9:$I$59,$L22,$J$9:$J$59,AL$8),0)</f>
        <v>0</v>
      </c>
      <c r="AM22" s="175">
        <f t="array" ref="AM22">IF(AND($L22&lt;&gt;"",AM$8&lt;&gt;""),COUNTIFS($I$9:$I$59,$L22,$J$9:$J$59,AM$8),0)</f>
        <v>0</v>
      </c>
      <c r="AN22" s="175">
        <f t="array" ref="AN22">IF(AND($L22&lt;&gt;"",AN$8&lt;&gt;""),COUNTIFS($I$9:$I$59,$L22,$J$9:$J$59,AN$8),0)</f>
        <v>0</v>
      </c>
      <c r="AO22" s="175">
        <f t="array" ref="AO22">IF(AND($L22&lt;&gt;"",AO$8&lt;&gt;""),COUNTIFS($I$9:$I$59,$L22,$J$9:$J$59,AO$8),0)</f>
        <v>0</v>
      </c>
      <c r="AP22" s="175">
        <f t="array" ref="AP22">IF(AND($L22&lt;&gt;"",AP$8&lt;&gt;""),COUNTIFS($I$9:$I$59,$L22,$J$9:$J$59,AP$8),0)</f>
        <v>0</v>
      </c>
      <c r="AQ22" s="175">
        <f t="array" ref="AQ22">IF(AND($L22&lt;&gt;"",AQ$8&lt;&gt;""),COUNTIFS($I$9:$I$59,$L22,$J$9:$J$59,AQ$8),0)</f>
        <v>0</v>
      </c>
      <c r="AR22" s="175">
        <f t="array" ref="AR22">IF(AND($L22&lt;&gt;"",AR$8&lt;&gt;""),COUNTIFS($I$9:$I$59,$L22,$J$9:$J$59,AR$8),0)</f>
        <v>0</v>
      </c>
      <c r="AS22" s="175">
        <f t="array" ref="AS22">IF(AND($L22&lt;&gt;"",AS$8&lt;&gt;""),COUNTIFS($I$9:$I$59,$L22,$J$9:$J$59,AS$8),0)</f>
        <v>0</v>
      </c>
      <c r="AT22" s="175">
        <f t="array" ref="AT22">IF(AND($L22&lt;&gt;"",AT$8&lt;&gt;""),COUNTIFS($I$9:$I$59,$L22,$J$9:$J$59,AT$8),0)</f>
        <v>0</v>
      </c>
      <c r="AU22" s="175">
        <f t="array" ref="AU22">IF(AND($L22&lt;&gt;"",AU$8&lt;&gt;""),COUNTIFS($I$9:$I$59,$L22,$J$9:$J$59,AU$8),0)</f>
        <v>0</v>
      </c>
      <c r="AV22" s="175">
        <f t="array" ref="AV22">IF(AND($L22&lt;&gt;"",AV$8&lt;&gt;""),COUNTIFS($I$9:$I$59,$L22,$J$9:$J$59,AV$8),0)</f>
        <v>0</v>
      </c>
      <c r="AW22" s="175">
        <f t="array" ref="AW22">IF(AND($L22&lt;&gt;"",AW$8&lt;&gt;""),COUNTIFS($I$9:$I$59,$L22,$J$9:$J$59,AW$8),0)</f>
        <v>0</v>
      </c>
      <c r="AX22" s="175">
        <f t="array" ref="AX22">IF(AND($L22&lt;&gt;"",AX$8&lt;&gt;""),COUNTIFS($I$9:$I$59,$L22,$J$9:$J$59,AX$8),0)</f>
        <v>0</v>
      </c>
      <c r="AY22" s="175">
        <f t="array" ref="AY22">IF(AND($L22&lt;&gt;"",AY$8&lt;&gt;""),COUNTIFS($I$9:$I$59,$L22,$J$9:$J$59,AY$8),0)</f>
        <v>0</v>
      </c>
      <c r="AZ22" s="175">
        <f t="array" ref="AZ22">IF(AND($L22&lt;&gt;"",AZ$8&lt;&gt;""),COUNTIFS($I$9:$I$59,$L22,$J$9:$J$59,AZ$8),0)</f>
        <v>0</v>
      </c>
      <c r="BA22" s="175">
        <f t="array" ref="BA22">IF(AND($L22&lt;&gt;"",BA$8&lt;&gt;""),COUNTIFS($I$9:$I$59,$L22,$J$9:$J$59,BA$8),0)</f>
        <v>0</v>
      </c>
      <c r="BB22" s="175">
        <f t="array" ref="BB22">IF(AND($L22&lt;&gt;"",BB$8&lt;&gt;""),COUNTIFS($I$9:$I$59,$L22,$J$9:$J$59,BB$8),0)</f>
        <v>0</v>
      </c>
      <c r="BC22" s="175">
        <f t="array" ref="BC22">IF(AND($L22&lt;&gt;"",BC$8&lt;&gt;""),COUNTIFS($I$9:$I$59,$L22,$J$9:$J$59,BC$8),0)</f>
        <v>0</v>
      </c>
      <c r="BD22" s="175">
        <f t="array" ref="BD22">IF(AND($L22&lt;&gt;"",BD$8&lt;&gt;""),COUNTIFS($I$9:$I$59,$L22,$J$9:$J$59,BD$8),0)</f>
        <v>0</v>
      </c>
      <c r="BE22" s="175">
        <f t="array" ref="BE22">IF(AND($L22&lt;&gt;"",BE$8&lt;&gt;""),COUNTIFS($I$9:$I$59,$L22,$J$9:$J$59,BE$8),0)</f>
        <v>0</v>
      </c>
      <c r="BF22" s="175">
        <f t="array" ref="BF22">IF(AND($L22&lt;&gt;"",BF$8&lt;&gt;""),COUNTIFS($I$9:$I$59,$L22,$J$9:$J$59,BF$8),0)</f>
        <v>0</v>
      </c>
      <c r="BG22" s="175">
        <f t="array" ref="BG22">IF(AND($L22&lt;&gt;"",BG$8&lt;&gt;""),COUNTIFS($I$9:$I$59,$L22,$J$9:$J$59,BG$8),0)</f>
        <v>0</v>
      </c>
      <c r="BH22" s="175">
        <f t="array" ref="BH22">IF(AND($L22&lt;&gt;"",BH$8&lt;&gt;""),COUNTIFS($I$9:$I$59,$L22,$J$9:$J$59,BH$8),0)</f>
        <v>0</v>
      </c>
      <c r="BI22" s="175">
        <f t="array" ref="BI22">IF(AND($L22&lt;&gt;"",BI$8&lt;&gt;""),COUNTIFS($I$9:$I$59,$L22,$J$9:$J$59,BI$8),0)</f>
        <v>0</v>
      </c>
      <c r="BJ22" s="175">
        <f t="array" ref="BJ22">IF(AND($L22&lt;&gt;"",BJ$8&lt;&gt;""),COUNTIFS($I$9:$I$59,$L22,$J$9:$J$59,BJ$8),0)</f>
        <v>0</v>
      </c>
    </row>
    <row r="23" spans="1:62" x14ac:dyDescent="0.2">
      <c r="A23" s="14"/>
      <c r="B23" s="108" t="s">
        <v>51</v>
      </c>
      <c r="C23" s="141"/>
      <c r="D23" s="104"/>
      <c r="E23" s="20"/>
      <c r="F23" s="105"/>
      <c r="G23" s="253"/>
      <c r="H23" s="245"/>
      <c r="I23" s="239" t="str">
        <f t="shared" si="1"/>
        <v/>
      </c>
      <c r="J23" s="168" t="str">
        <f t="shared" si="0"/>
        <v/>
      </c>
      <c r="L23" s="174" t="str">
        <f t="array" ref="L23">IFERROR(INDEX($I$9:$I$59,MATCH(0,COUNTIF($L$8:$L22,$I$9:$I$59),0)),"")</f>
        <v/>
      </c>
      <c r="M23" s="175">
        <f t="array" ref="M23">IF(AND($L23&lt;&gt;"",M$8&lt;&gt;""),COUNTIFS($I$9:$I$59,$L23,$J$9:$J$59,M$8),0)</f>
        <v>0</v>
      </c>
      <c r="N23" s="175">
        <f t="array" ref="N23">IF(AND($L23&lt;&gt;"",N$8&lt;&gt;""),COUNTIFS($I$9:$I$59,$L23,$J$9:$J$59,N$8),0)</f>
        <v>0</v>
      </c>
      <c r="O23" s="175">
        <f t="array" ref="O23">IF(AND($L23&lt;&gt;"",O$8&lt;&gt;""),COUNTIFS($I$9:$I$59,$L23,$J$9:$J$59,O$8),0)</f>
        <v>0</v>
      </c>
      <c r="P23" s="175">
        <f t="array" ref="P23">IF(AND($L23&lt;&gt;"",P$8&lt;&gt;""),COUNTIFS($I$9:$I$59,$L23,$J$9:$J$59,P$8),0)</f>
        <v>0</v>
      </c>
      <c r="Q23" s="175">
        <f t="array" ref="Q23">IF(AND($L23&lt;&gt;"",Q$8&lt;&gt;""),COUNTIFS($I$9:$I$59,$L23,$J$9:$J$59,Q$8),0)</f>
        <v>0</v>
      </c>
      <c r="R23" s="175">
        <f t="array" ref="R23">IF(AND($L23&lt;&gt;"",R$8&lt;&gt;""),COUNTIFS($I$9:$I$59,$L23,$J$9:$J$59,R$8),0)</f>
        <v>0</v>
      </c>
      <c r="S23" s="175">
        <f t="array" ref="S23">IF(AND($L23&lt;&gt;"",S$8&lt;&gt;""),COUNTIFS($I$9:$I$59,$L23,$J$9:$J$59,S$8),0)</f>
        <v>0</v>
      </c>
      <c r="T23" s="175">
        <f t="array" ref="T23">IF(AND($L23&lt;&gt;"",T$8&lt;&gt;""),COUNTIFS($I$9:$I$59,$L23,$J$9:$J$59,T$8),0)</f>
        <v>0</v>
      </c>
      <c r="U23" s="175">
        <f t="array" ref="U23">IF(AND($L23&lt;&gt;"",U$8&lt;&gt;""),COUNTIFS($I$9:$I$59,$L23,$J$9:$J$59,U$8),0)</f>
        <v>0</v>
      </c>
      <c r="V23" s="175">
        <f t="array" ref="V23">IF(AND($L23&lt;&gt;"",V$8&lt;&gt;""),COUNTIFS($I$9:$I$59,$L23,$J$9:$J$59,V$8),0)</f>
        <v>0</v>
      </c>
      <c r="W23" s="175">
        <f t="array" ref="W23">IF(AND($L23&lt;&gt;"",W$8&lt;&gt;""),COUNTIFS($I$9:$I$59,$L23,$J$9:$J$59,W$8),0)</f>
        <v>0</v>
      </c>
      <c r="X23" s="175">
        <f t="array" ref="X23">IF(AND($L23&lt;&gt;"",X$8&lt;&gt;""),COUNTIFS($I$9:$I$59,$L23,$J$9:$J$59,X$8),0)</f>
        <v>0</v>
      </c>
      <c r="Y23" s="175">
        <f t="array" ref="Y23">IF(AND($L23&lt;&gt;"",Y$8&lt;&gt;""),COUNTIFS($I$9:$I$59,$L23,$J$9:$J$59,Y$8),0)</f>
        <v>0</v>
      </c>
      <c r="Z23" s="175">
        <f t="array" ref="Z23">IF(AND($L23&lt;&gt;"",Z$8&lt;&gt;""),COUNTIFS($I$9:$I$59,$L23,$J$9:$J$59,Z$8),0)</f>
        <v>0</v>
      </c>
      <c r="AA23" s="175">
        <f t="array" ref="AA23">IF(AND($L23&lt;&gt;"",AA$8&lt;&gt;""),COUNTIFS($I$9:$I$59,$L23,$J$9:$J$59,AA$8),0)</f>
        <v>0</v>
      </c>
      <c r="AB23" s="175">
        <f t="array" ref="AB23">IF(AND($L23&lt;&gt;"",AB$8&lt;&gt;""),COUNTIFS($I$9:$I$59,$L23,$J$9:$J$59,AB$8),0)</f>
        <v>0</v>
      </c>
      <c r="AC23" s="175">
        <f t="array" ref="AC23">IF(AND($L23&lt;&gt;"",AC$8&lt;&gt;""),COUNTIFS($I$9:$I$59,$L23,$J$9:$J$59,AC$8),0)</f>
        <v>0</v>
      </c>
      <c r="AD23" s="175">
        <f t="array" ref="AD23">IF(AND($L23&lt;&gt;"",AD$8&lt;&gt;""),COUNTIFS($I$9:$I$59,$L23,$J$9:$J$59,AD$8),0)</f>
        <v>0</v>
      </c>
      <c r="AE23" s="175">
        <f t="array" ref="AE23">IF(AND($L23&lt;&gt;"",AE$8&lt;&gt;""),COUNTIFS($I$9:$I$59,$L23,$J$9:$J$59,AE$8),0)</f>
        <v>0</v>
      </c>
      <c r="AF23" s="175">
        <f t="array" ref="AF23">IF(AND($L23&lt;&gt;"",AF$8&lt;&gt;""),COUNTIFS($I$9:$I$59,$L23,$J$9:$J$59,AF$8),0)</f>
        <v>0</v>
      </c>
      <c r="AG23" s="175">
        <f t="array" ref="AG23">IF(AND($L23&lt;&gt;"",AG$8&lt;&gt;""),COUNTIFS($I$9:$I$59,$L23,$J$9:$J$59,AG$8),0)</f>
        <v>0</v>
      </c>
      <c r="AH23" s="175">
        <f t="array" ref="AH23">IF(AND($L23&lt;&gt;"",AH$8&lt;&gt;""),COUNTIFS($I$9:$I$59,$L23,$J$9:$J$59,AH$8),0)</f>
        <v>0</v>
      </c>
      <c r="AI23" s="175">
        <f t="array" ref="AI23">IF(AND($L23&lt;&gt;"",AI$8&lt;&gt;""),COUNTIFS($I$9:$I$59,$L23,$J$9:$J$59,AI$8),0)</f>
        <v>0</v>
      </c>
      <c r="AJ23" s="175">
        <f t="array" ref="AJ23">IF(AND($L23&lt;&gt;"",AJ$8&lt;&gt;""),COUNTIFS($I$9:$I$59,$L23,$J$9:$J$59,AJ$8),0)</f>
        <v>0</v>
      </c>
      <c r="AK23" s="175">
        <f t="array" ref="AK23">IF(AND($L23&lt;&gt;"",AK$8&lt;&gt;""),COUNTIFS($I$9:$I$59,$L23,$J$9:$J$59,AK$8),0)</f>
        <v>0</v>
      </c>
      <c r="AL23" s="175">
        <f t="array" ref="AL23">IF(AND($L23&lt;&gt;"",AL$8&lt;&gt;""),COUNTIFS($I$9:$I$59,$L23,$J$9:$J$59,AL$8),0)</f>
        <v>0</v>
      </c>
      <c r="AM23" s="175">
        <f t="array" ref="AM23">IF(AND($L23&lt;&gt;"",AM$8&lt;&gt;""),COUNTIFS($I$9:$I$59,$L23,$J$9:$J$59,AM$8),0)</f>
        <v>0</v>
      </c>
      <c r="AN23" s="175">
        <f t="array" ref="AN23">IF(AND($L23&lt;&gt;"",AN$8&lt;&gt;""),COUNTIFS($I$9:$I$59,$L23,$J$9:$J$59,AN$8),0)</f>
        <v>0</v>
      </c>
      <c r="AO23" s="175">
        <f t="array" ref="AO23">IF(AND($L23&lt;&gt;"",AO$8&lt;&gt;""),COUNTIFS($I$9:$I$59,$L23,$J$9:$J$59,AO$8),0)</f>
        <v>0</v>
      </c>
      <c r="AP23" s="175">
        <f t="array" ref="AP23">IF(AND($L23&lt;&gt;"",AP$8&lt;&gt;""),COUNTIFS($I$9:$I$59,$L23,$J$9:$J$59,AP$8),0)</f>
        <v>0</v>
      </c>
      <c r="AQ23" s="175">
        <f t="array" ref="AQ23">IF(AND($L23&lt;&gt;"",AQ$8&lt;&gt;""),COUNTIFS($I$9:$I$59,$L23,$J$9:$J$59,AQ$8),0)</f>
        <v>0</v>
      </c>
      <c r="AR23" s="175">
        <f t="array" ref="AR23">IF(AND($L23&lt;&gt;"",AR$8&lt;&gt;""),COUNTIFS($I$9:$I$59,$L23,$J$9:$J$59,AR$8),0)</f>
        <v>0</v>
      </c>
      <c r="AS23" s="175">
        <f t="array" ref="AS23">IF(AND($L23&lt;&gt;"",AS$8&lt;&gt;""),COUNTIFS($I$9:$I$59,$L23,$J$9:$J$59,AS$8),0)</f>
        <v>0</v>
      </c>
      <c r="AT23" s="175">
        <f t="array" ref="AT23">IF(AND($L23&lt;&gt;"",AT$8&lt;&gt;""),COUNTIFS($I$9:$I$59,$L23,$J$9:$J$59,AT$8),0)</f>
        <v>0</v>
      </c>
      <c r="AU23" s="175">
        <f t="array" ref="AU23">IF(AND($L23&lt;&gt;"",AU$8&lt;&gt;""),COUNTIFS($I$9:$I$59,$L23,$J$9:$J$59,AU$8),0)</f>
        <v>0</v>
      </c>
      <c r="AV23" s="175">
        <f t="array" ref="AV23">IF(AND($L23&lt;&gt;"",AV$8&lt;&gt;""),COUNTIFS($I$9:$I$59,$L23,$J$9:$J$59,AV$8),0)</f>
        <v>0</v>
      </c>
      <c r="AW23" s="175">
        <f t="array" ref="AW23">IF(AND($L23&lt;&gt;"",AW$8&lt;&gt;""),COUNTIFS($I$9:$I$59,$L23,$J$9:$J$59,AW$8),0)</f>
        <v>0</v>
      </c>
      <c r="AX23" s="175">
        <f t="array" ref="AX23">IF(AND($L23&lt;&gt;"",AX$8&lt;&gt;""),COUNTIFS($I$9:$I$59,$L23,$J$9:$J$59,AX$8),0)</f>
        <v>0</v>
      </c>
      <c r="AY23" s="175">
        <f t="array" ref="AY23">IF(AND($L23&lt;&gt;"",AY$8&lt;&gt;""),COUNTIFS($I$9:$I$59,$L23,$J$9:$J$59,AY$8),0)</f>
        <v>0</v>
      </c>
      <c r="AZ23" s="175">
        <f t="array" ref="AZ23">IF(AND($L23&lt;&gt;"",AZ$8&lt;&gt;""),COUNTIFS($I$9:$I$59,$L23,$J$9:$J$59,AZ$8),0)</f>
        <v>0</v>
      </c>
      <c r="BA23" s="175">
        <f t="array" ref="BA23">IF(AND($L23&lt;&gt;"",BA$8&lt;&gt;""),COUNTIFS($I$9:$I$59,$L23,$J$9:$J$59,BA$8),0)</f>
        <v>0</v>
      </c>
      <c r="BB23" s="175">
        <f t="array" ref="BB23">IF(AND($L23&lt;&gt;"",BB$8&lt;&gt;""),COUNTIFS($I$9:$I$59,$L23,$J$9:$J$59,BB$8),0)</f>
        <v>0</v>
      </c>
      <c r="BC23" s="175">
        <f t="array" ref="BC23">IF(AND($L23&lt;&gt;"",BC$8&lt;&gt;""),COUNTIFS($I$9:$I$59,$L23,$J$9:$J$59,BC$8),0)</f>
        <v>0</v>
      </c>
      <c r="BD23" s="175">
        <f t="array" ref="BD23">IF(AND($L23&lt;&gt;"",BD$8&lt;&gt;""),COUNTIFS($I$9:$I$59,$L23,$J$9:$J$59,BD$8),0)</f>
        <v>0</v>
      </c>
      <c r="BE23" s="175">
        <f t="array" ref="BE23">IF(AND($L23&lt;&gt;"",BE$8&lt;&gt;""),COUNTIFS($I$9:$I$59,$L23,$J$9:$J$59,BE$8),0)</f>
        <v>0</v>
      </c>
      <c r="BF23" s="175">
        <f t="array" ref="BF23">IF(AND($L23&lt;&gt;"",BF$8&lt;&gt;""),COUNTIFS($I$9:$I$59,$L23,$J$9:$J$59,BF$8),0)</f>
        <v>0</v>
      </c>
      <c r="BG23" s="175">
        <f t="array" ref="BG23">IF(AND($L23&lt;&gt;"",BG$8&lt;&gt;""),COUNTIFS($I$9:$I$59,$L23,$J$9:$J$59,BG$8),0)</f>
        <v>0</v>
      </c>
      <c r="BH23" s="175">
        <f t="array" ref="BH23">IF(AND($L23&lt;&gt;"",BH$8&lt;&gt;""),COUNTIFS($I$9:$I$59,$L23,$J$9:$J$59,BH$8),0)</f>
        <v>0</v>
      </c>
      <c r="BI23" s="175">
        <f t="array" ref="BI23">IF(AND($L23&lt;&gt;"",BI$8&lt;&gt;""),COUNTIFS($I$9:$I$59,$L23,$J$9:$J$59,BI$8),0)</f>
        <v>0</v>
      </c>
      <c r="BJ23" s="175">
        <f t="array" ref="BJ23">IF(AND($L23&lt;&gt;"",BJ$8&lt;&gt;""),COUNTIFS($I$9:$I$59,$L23,$J$9:$J$59,BJ$8),0)</f>
        <v>0</v>
      </c>
    </row>
    <row r="24" spans="1:62" x14ac:dyDescent="0.2">
      <c r="A24" s="14"/>
      <c r="B24" s="108" t="s">
        <v>52</v>
      </c>
      <c r="C24" s="147"/>
      <c r="D24" s="104"/>
      <c r="E24" s="20"/>
      <c r="F24" s="105"/>
      <c r="G24" s="253"/>
      <c r="H24" s="109"/>
      <c r="I24" s="239" t="str">
        <f t="shared" si="1"/>
        <v/>
      </c>
      <c r="J24" s="168" t="str">
        <f>IF(D24&lt;&gt;"",D24&amp;"-"&amp;IF(F24&lt;IF(D24="WALKIN",1000,100),0,"")&amp;F24&amp;"x"&amp;G24&amp;" "&amp;E24,"")</f>
        <v/>
      </c>
      <c r="L24" s="174" t="str">
        <f t="array" ref="L24">IFERROR(INDEX($I$9:$I$59,MATCH(0,COUNTIF($L$8:$L23,$I$9:$I$59),0)),"")</f>
        <v/>
      </c>
      <c r="M24" s="175">
        <f t="array" ref="M24">IF(AND($L24&lt;&gt;"",M$8&lt;&gt;""),COUNTIFS($I$9:$I$59,$L24,$J$9:$J$59,M$8),0)</f>
        <v>0</v>
      </c>
      <c r="N24" s="175">
        <f t="array" ref="N24">IF(AND($L24&lt;&gt;"",N$8&lt;&gt;""),COUNTIFS($I$9:$I$59,$L24,$J$9:$J$59,N$8),0)</f>
        <v>0</v>
      </c>
      <c r="O24" s="175">
        <f t="array" ref="O24">IF(AND($L24&lt;&gt;"",O$8&lt;&gt;""),COUNTIFS($I$9:$I$59,$L24,$J$9:$J$59,O$8),0)</f>
        <v>0</v>
      </c>
      <c r="P24" s="175">
        <f t="array" ref="P24">IF(AND($L24&lt;&gt;"",P$8&lt;&gt;""),COUNTIFS($I$9:$I$59,$L24,$J$9:$J$59,P$8),0)</f>
        <v>0</v>
      </c>
      <c r="Q24" s="175">
        <f t="array" ref="Q24">IF(AND($L24&lt;&gt;"",Q$8&lt;&gt;""),COUNTIFS($I$9:$I$59,$L24,$J$9:$J$59,Q$8),0)</f>
        <v>0</v>
      </c>
      <c r="R24" s="175">
        <f t="array" ref="R24">IF(AND($L24&lt;&gt;"",R$8&lt;&gt;""),COUNTIFS($I$9:$I$59,$L24,$J$9:$J$59,R$8),0)</f>
        <v>0</v>
      </c>
      <c r="S24" s="175">
        <f t="array" ref="S24">IF(AND($L24&lt;&gt;"",S$8&lt;&gt;""),COUNTIFS($I$9:$I$59,$L24,$J$9:$J$59,S$8),0)</f>
        <v>0</v>
      </c>
      <c r="T24" s="175">
        <f t="array" ref="T24">IF(AND($L24&lt;&gt;"",T$8&lt;&gt;""),COUNTIFS($I$9:$I$59,$L24,$J$9:$J$59,T$8),0)</f>
        <v>0</v>
      </c>
      <c r="U24" s="175">
        <f t="array" ref="U24">IF(AND($L24&lt;&gt;"",U$8&lt;&gt;""),COUNTIFS($I$9:$I$59,$L24,$J$9:$J$59,U$8),0)</f>
        <v>0</v>
      </c>
      <c r="V24" s="175">
        <f t="array" ref="V24">IF(AND($L24&lt;&gt;"",V$8&lt;&gt;""),COUNTIFS($I$9:$I$59,$L24,$J$9:$J$59,V$8),0)</f>
        <v>0</v>
      </c>
      <c r="W24" s="175">
        <f t="array" ref="W24">IF(AND($L24&lt;&gt;"",W$8&lt;&gt;""),COUNTIFS($I$9:$I$59,$L24,$J$9:$J$59,W$8),0)</f>
        <v>0</v>
      </c>
      <c r="X24" s="175">
        <f t="array" ref="X24">IF(AND($L24&lt;&gt;"",X$8&lt;&gt;""),COUNTIFS($I$9:$I$59,$L24,$J$9:$J$59,X$8),0)</f>
        <v>0</v>
      </c>
      <c r="Y24" s="175">
        <f t="array" ref="Y24">IF(AND($L24&lt;&gt;"",Y$8&lt;&gt;""),COUNTIFS($I$9:$I$59,$L24,$J$9:$J$59,Y$8),0)</f>
        <v>0</v>
      </c>
      <c r="Z24" s="175">
        <f t="array" ref="Z24">IF(AND($L24&lt;&gt;"",Z$8&lt;&gt;""),COUNTIFS($I$9:$I$59,$L24,$J$9:$J$59,Z$8),0)</f>
        <v>0</v>
      </c>
      <c r="AA24" s="175">
        <f t="array" ref="AA24">IF(AND($L24&lt;&gt;"",AA$8&lt;&gt;""),COUNTIFS($I$9:$I$59,$L24,$J$9:$J$59,AA$8),0)</f>
        <v>0</v>
      </c>
      <c r="AB24" s="175">
        <f t="array" ref="AB24">IF(AND($L24&lt;&gt;"",AB$8&lt;&gt;""),COUNTIFS($I$9:$I$59,$L24,$J$9:$J$59,AB$8),0)</f>
        <v>0</v>
      </c>
      <c r="AC24" s="175">
        <f t="array" ref="AC24">IF(AND($L24&lt;&gt;"",AC$8&lt;&gt;""),COUNTIFS($I$9:$I$59,$L24,$J$9:$J$59,AC$8),0)</f>
        <v>0</v>
      </c>
      <c r="AD24" s="175">
        <f t="array" ref="AD24">IF(AND($L24&lt;&gt;"",AD$8&lt;&gt;""),COUNTIFS($I$9:$I$59,$L24,$J$9:$J$59,AD$8),0)</f>
        <v>0</v>
      </c>
      <c r="AE24" s="175">
        <f t="array" ref="AE24">IF(AND($L24&lt;&gt;"",AE$8&lt;&gt;""),COUNTIFS($I$9:$I$59,$L24,$J$9:$J$59,AE$8),0)</f>
        <v>0</v>
      </c>
      <c r="AF24" s="175">
        <f t="array" ref="AF24">IF(AND($L24&lt;&gt;"",AF$8&lt;&gt;""),COUNTIFS($I$9:$I$59,$L24,$J$9:$J$59,AF$8),0)</f>
        <v>0</v>
      </c>
      <c r="AG24" s="175">
        <f t="array" ref="AG24">IF(AND($L24&lt;&gt;"",AG$8&lt;&gt;""),COUNTIFS($I$9:$I$59,$L24,$J$9:$J$59,AG$8),0)</f>
        <v>0</v>
      </c>
      <c r="AH24" s="175">
        <f t="array" ref="AH24">IF(AND($L24&lt;&gt;"",AH$8&lt;&gt;""),COUNTIFS($I$9:$I$59,$L24,$J$9:$J$59,AH$8),0)</f>
        <v>0</v>
      </c>
      <c r="AI24" s="175">
        <f t="array" ref="AI24">IF(AND($L24&lt;&gt;"",AI$8&lt;&gt;""),COUNTIFS($I$9:$I$59,$L24,$J$9:$J$59,AI$8),0)</f>
        <v>0</v>
      </c>
      <c r="AJ24" s="175">
        <f t="array" ref="AJ24">IF(AND($L24&lt;&gt;"",AJ$8&lt;&gt;""),COUNTIFS($I$9:$I$59,$L24,$J$9:$J$59,AJ$8),0)</f>
        <v>0</v>
      </c>
      <c r="AK24" s="175">
        <f t="array" ref="AK24">IF(AND($L24&lt;&gt;"",AK$8&lt;&gt;""),COUNTIFS($I$9:$I$59,$L24,$J$9:$J$59,AK$8),0)</f>
        <v>0</v>
      </c>
      <c r="AL24" s="175">
        <f t="array" ref="AL24">IF(AND($L24&lt;&gt;"",AL$8&lt;&gt;""),COUNTIFS($I$9:$I$59,$L24,$J$9:$J$59,AL$8),0)</f>
        <v>0</v>
      </c>
      <c r="AM24" s="175">
        <f t="array" ref="AM24">IF(AND($L24&lt;&gt;"",AM$8&lt;&gt;""),COUNTIFS($I$9:$I$59,$L24,$J$9:$J$59,AM$8),0)</f>
        <v>0</v>
      </c>
      <c r="AN24" s="175">
        <f t="array" ref="AN24">IF(AND($L24&lt;&gt;"",AN$8&lt;&gt;""),COUNTIFS($I$9:$I$59,$L24,$J$9:$J$59,AN$8),0)</f>
        <v>0</v>
      </c>
      <c r="AO24" s="175">
        <f t="array" ref="AO24">IF(AND($L24&lt;&gt;"",AO$8&lt;&gt;""),COUNTIFS($I$9:$I$59,$L24,$J$9:$J$59,AO$8),0)</f>
        <v>0</v>
      </c>
      <c r="AP24" s="175">
        <f t="array" ref="AP24">IF(AND($L24&lt;&gt;"",AP$8&lt;&gt;""),COUNTIFS($I$9:$I$59,$L24,$J$9:$J$59,AP$8),0)</f>
        <v>0</v>
      </c>
      <c r="AQ24" s="175">
        <f t="array" ref="AQ24">IF(AND($L24&lt;&gt;"",AQ$8&lt;&gt;""),COUNTIFS($I$9:$I$59,$L24,$J$9:$J$59,AQ$8),0)</f>
        <v>0</v>
      </c>
      <c r="AR24" s="175">
        <f t="array" ref="AR24">IF(AND($L24&lt;&gt;"",AR$8&lt;&gt;""),COUNTIFS($I$9:$I$59,$L24,$J$9:$J$59,AR$8),0)</f>
        <v>0</v>
      </c>
      <c r="AS24" s="175">
        <f t="array" ref="AS24">IF(AND($L24&lt;&gt;"",AS$8&lt;&gt;""),COUNTIFS($I$9:$I$59,$L24,$J$9:$J$59,AS$8),0)</f>
        <v>0</v>
      </c>
      <c r="AT24" s="175">
        <f t="array" ref="AT24">IF(AND($L24&lt;&gt;"",AT$8&lt;&gt;""),COUNTIFS($I$9:$I$59,$L24,$J$9:$J$59,AT$8),0)</f>
        <v>0</v>
      </c>
      <c r="AU24" s="175">
        <f t="array" ref="AU24">IF(AND($L24&lt;&gt;"",AU$8&lt;&gt;""),COUNTIFS($I$9:$I$59,$L24,$J$9:$J$59,AU$8),0)</f>
        <v>0</v>
      </c>
      <c r="AV24" s="175">
        <f t="array" ref="AV24">IF(AND($L24&lt;&gt;"",AV$8&lt;&gt;""),COUNTIFS($I$9:$I$59,$L24,$J$9:$J$59,AV$8),0)</f>
        <v>0</v>
      </c>
      <c r="AW24" s="175">
        <f t="array" ref="AW24">IF(AND($L24&lt;&gt;"",AW$8&lt;&gt;""),COUNTIFS($I$9:$I$59,$L24,$J$9:$J$59,AW$8),0)</f>
        <v>0</v>
      </c>
      <c r="AX24" s="175">
        <f t="array" ref="AX24">IF(AND($L24&lt;&gt;"",AX$8&lt;&gt;""),COUNTIFS($I$9:$I$59,$L24,$J$9:$J$59,AX$8),0)</f>
        <v>0</v>
      </c>
      <c r="AY24" s="175">
        <f t="array" ref="AY24">IF(AND($L24&lt;&gt;"",AY$8&lt;&gt;""),COUNTIFS($I$9:$I$59,$L24,$J$9:$J$59,AY$8),0)</f>
        <v>0</v>
      </c>
      <c r="AZ24" s="175">
        <f t="array" ref="AZ24">IF(AND($L24&lt;&gt;"",AZ$8&lt;&gt;""),COUNTIFS($I$9:$I$59,$L24,$J$9:$J$59,AZ$8),0)</f>
        <v>0</v>
      </c>
      <c r="BA24" s="175">
        <f t="array" ref="BA24">IF(AND($L24&lt;&gt;"",BA$8&lt;&gt;""),COUNTIFS($I$9:$I$59,$L24,$J$9:$J$59,BA$8),0)</f>
        <v>0</v>
      </c>
      <c r="BB24" s="175">
        <f t="array" ref="BB24">IF(AND($L24&lt;&gt;"",BB$8&lt;&gt;""),COUNTIFS($I$9:$I$59,$L24,$J$9:$J$59,BB$8),0)</f>
        <v>0</v>
      </c>
      <c r="BC24" s="175">
        <f t="array" ref="BC24">IF(AND($L24&lt;&gt;"",BC$8&lt;&gt;""),COUNTIFS($I$9:$I$59,$L24,$J$9:$J$59,BC$8),0)</f>
        <v>0</v>
      </c>
      <c r="BD24" s="175">
        <f t="array" ref="BD24">IF(AND($L24&lt;&gt;"",BD$8&lt;&gt;""),COUNTIFS($I$9:$I$59,$L24,$J$9:$J$59,BD$8),0)</f>
        <v>0</v>
      </c>
      <c r="BE24" s="175">
        <f t="array" ref="BE24">IF(AND($L24&lt;&gt;"",BE$8&lt;&gt;""),COUNTIFS($I$9:$I$59,$L24,$J$9:$J$59,BE$8),0)</f>
        <v>0</v>
      </c>
      <c r="BF24" s="175">
        <f t="array" ref="BF24">IF(AND($L24&lt;&gt;"",BF$8&lt;&gt;""),COUNTIFS($I$9:$I$59,$L24,$J$9:$J$59,BF$8),0)</f>
        <v>0</v>
      </c>
      <c r="BG24" s="175">
        <f t="array" ref="BG24">IF(AND($L24&lt;&gt;"",BG$8&lt;&gt;""),COUNTIFS($I$9:$I$59,$L24,$J$9:$J$59,BG$8),0)</f>
        <v>0</v>
      </c>
      <c r="BH24" s="175">
        <f t="array" ref="BH24">IF(AND($L24&lt;&gt;"",BH$8&lt;&gt;""),COUNTIFS($I$9:$I$59,$L24,$J$9:$J$59,BH$8),0)</f>
        <v>0</v>
      </c>
      <c r="BI24" s="175">
        <f t="array" ref="BI24">IF(AND($L24&lt;&gt;"",BI$8&lt;&gt;""),COUNTIFS($I$9:$I$59,$L24,$J$9:$J$59,BI$8),0)</f>
        <v>0</v>
      </c>
      <c r="BJ24" s="175">
        <f t="array" ref="BJ24">IF(AND($L24&lt;&gt;"",BJ$8&lt;&gt;""),COUNTIFS($I$9:$I$59,$L24,$J$9:$J$59,BJ$8),0)</f>
        <v>0</v>
      </c>
    </row>
    <row r="25" spans="1:62" x14ac:dyDescent="0.2">
      <c r="A25" s="14"/>
      <c r="B25" s="108" t="s">
        <v>53</v>
      </c>
      <c r="C25" s="141"/>
      <c r="D25" s="104"/>
      <c r="E25" s="20"/>
      <c r="F25" s="105"/>
      <c r="G25" s="253"/>
      <c r="H25" s="109"/>
      <c r="I25" s="239" t="str">
        <f t="shared" si="1"/>
        <v/>
      </c>
      <c r="J25" s="168" t="str">
        <f t="shared" ref="J25:J58" si="2">IF(D25&lt;&gt;"",D25&amp;"-"&amp;IF(F25&lt;IF(D25="WALKIN",1000,100),0,"")&amp;F25&amp;"x"&amp;G25&amp;" "&amp;E25,"")</f>
        <v/>
      </c>
      <c r="L25" s="174" t="str">
        <f t="array" ref="L25">IFERROR(INDEX($I$9:$I$59,MATCH(0,COUNTIF($L$8:$L24,$I$9:$I$59),0)),"")</f>
        <v/>
      </c>
      <c r="M25" s="175">
        <f t="array" ref="M25">IF(AND($L25&lt;&gt;"",M$8&lt;&gt;""),COUNTIFS($I$9:$I$59,$L25,$J$9:$J$59,M$8),0)</f>
        <v>0</v>
      </c>
      <c r="N25" s="175">
        <f t="array" ref="N25">IF(AND($L25&lt;&gt;"",N$8&lt;&gt;""),COUNTIFS($I$9:$I$59,$L25,$J$9:$J$59,N$8),0)</f>
        <v>0</v>
      </c>
      <c r="O25" s="175">
        <f t="array" ref="O25">IF(AND($L25&lt;&gt;"",O$8&lt;&gt;""),COUNTIFS($I$9:$I$59,$L25,$J$9:$J$59,O$8),0)</f>
        <v>0</v>
      </c>
      <c r="P25" s="175">
        <f t="array" ref="P25">IF(AND($L25&lt;&gt;"",P$8&lt;&gt;""),COUNTIFS($I$9:$I$59,$L25,$J$9:$J$59,P$8),0)</f>
        <v>0</v>
      </c>
      <c r="Q25" s="175">
        <f t="array" ref="Q25">IF(AND($L25&lt;&gt;"",Q$8&lt;&gt;""),COUNTIFS($I$9:$I$59,$L25,$J$9:$J$59,Q$8),0)</f>
        <v>0</v>
      </c>
      <c r="R25" s="175">
        <f t="array" ref="R25">IF(AND($L25&lt;&gt;"",R$8&lt;&gt;""),COUNTIFS($I$9:$I$59,$L25,$J$9:$J$59,R$8),0)</f>
        <v>0</v>
      </c>
      <c r="S25" s="175">
        <f t="array" ref="S25">IF(AND($L25&lt;&gt;"",S$8&lt;&gt;""),COUNTIFS($I$9:$I$59,$L25,$J$9:$J$59,S$8),0)</f>
        <v>0</v>
      </c>
      <c r="T25" s="175">
        <f t="array" ref="T25">IF(AND($L25&lt;&gt;"",T$8&lt;&gt;""),COUNTIFS($I$9:$I$59,$L25,$J$9:$J$59,T$8),0)</f>
        <v>0</v>
      </c>
      <c r="U25" s="175">
        <f t="array" ref="U25">IF(AND($L25&lt;&gt;"",U$8&lt;&gt;""),COUNTIFS($I$9:$I$59,$L25,$J$9:$J$59,U$8),0)</f>
        <v>0</v>
      </c>
      <c r="V25" s="175">
        <f t="array" ref="V25">IF(AND($L25&lt;&gt;"",V$8&lt;&gt;""),COUNTIFS($I$9:$I$59,$L25,$J$9:$J$59,V$8),0)</f>
        <v>0</v>
      </c>
      <c r="W25" s="175">
        <f t="array" ref="W25">IF(AND($L25&lt;&gt;"",W$8&lt;&gt;""),COUNTIFS($I$9:$I$59,$L25,$J$9:$J$59,W$8),0)</f>
        <v>0</v>
      </c>
      <c r="X25" s="175">
        <f t="array" ref="X25">IF(AND($L25&lt;&gt;"",X$8&lt;&gt;""),COUNTIFS($I$9:$I$59,$L25,$J$9:$J$59,X$8),0)</f>
        <v>0</v>
      </c>
      <c r="Y25" s="175">
        <f t="array" ref="Y25">IF(AND($L25&lt;&gt;"",Y$8&lt;&gt;""),COUNTIFS($I$9:$I$59,$L25,$J$9:$J$59,Y$8),0)</f>
        <v>0</v>
      </c>
      <c r="Z25" s="175">
        <f t="array" ref="Z25">IF(AND($L25&lt;&gt;"",Z$8&lt;&gt;""),COUNTIFS($I$9:$I$59,$L25,$J$9:$J$59,Z$8),0)</f>
        <v>0</v>
      </c>
      <c r="AA25" s="175">
        <f t="array" ref="AA25">IF(AND($L25&lt;&gt;"",AA$8&lt;&gt;""),COUNTIFS($I$9:$I$59,$L25,$J$9:$J$59,AA$8),0)</f>
        <v>0</v>
      </c>
      <c r="AB25" s="175">
        <f t="array" ref="AB25">IF(AND($L25&lt;&gt;"",AB$8&lt;&gt;""),COUNTIFS($I$9:$I$59,$L25,$J$9:$J$59,AB$8),0)</f>
        <v>0</v>
      </c>
      <c r="AC25" s="175">
        <f t="array" ref="AC25">IF(AND($L25&lt;&gt;"",AC$8&lt;&gt;""),COUNTIFS($I$9:$I$59,$L25,$J$9:$J$59,AC$8),0)</f>
        <v>0</v>
      </c>
      <c r="AD25" s="175">
        <f t="array" ref="AD25">IF(AND($L25&lt;&gt;"",AD$8&lt;&gt;""),COUNTIFS($I$9:$I$59,$L25,$J$9:$J$59,AD$8),0)</f>
        <v>0</v>
      </c>
      <c r="AE25" s="175">
        <f t="array" ref="AE25">IF(AND($L25&lt;&gt;"",AE$8&lt;&gt;""),COUNTIFS($I$9:$I$59,$L25,$J$9:$J$59,AE$8),0)</f>
        <v>0</v>
      </c>
      <c r="AF25" s="175">
        <f t="array" ref="AF25">IF(AND($L25&lt;&gt;"",AF$8&lt;&gt;""),COUNTIFS($I$9:$I$59,$L25,$J$9:$J$59,AF$8),0)</f>
        <v>0</v>
      </c>
      <c r="AG25" s="175">
        <f t="array" ref="AG25">IF(AND($L25&lt;&gt;"",AG$8&lt;&gt;""),COUNTIFS($I$9:$I$59,$L25,$J$9:$J$59,AG$8),0)</f>
        <v>0</v>
      </c>
      <c r="AH25" s="175">
        <f t="array" ref="AH25">IF(AND($L25&lt;&gt;"",AH$8&lt;&gt;""),COUNTIFS($I$9:$I$59,$L25,$J$9:$J$59,AH$8),0)</f>
        <v>0</v>
      </c>
      <c r="AI25" s="175">
        <f t="array" ref="AI25">IF(AND($L25&lt;&gt;"",AI$8&lt;&gt;""),COUNTIFS($I$9:$I$59,$L25,$J$9:$J$59,AI$8),0)</f>
        <v>0</v>
      </c>
      <c r="AJ25" s="175">
        <f t="array" ref="AJ25">IF(AND($L25&lt;&gt;"",AJ$8&lt;&gt;""),COUNTIFS($I$9:$I$59,$L25,$J$9:$J$59,AJ$8),0)</f>
        <v>0</v>
      </c>
      <c r="AK25" s="175">
        <f t="array" ref="AK25">IF(AND($L25&lt;&gt;"",AK$8&lt;&gt;""),COUNTIFS($I$9:$I$59,$L25,$J$9:$J$59,AK$8),0)</f>
        <v>0</v>
      </c>
      <c r="AL25" s="175">
        <f t="array" ref="AL25">IF(AND($L25&lt;&gt;"",AL$8&lt;&gt;""),COUNTIFS($I$9:$I$59,$L25,$J$9:$J$59,AL$8),0)</f>
        <v>0</v>
      </c>
      <c r="AM25" s="175">
        <f t="array" ref="AM25">IF(AND($L25&lt;&gt;"",AM$8&lt;&gt;""),COUNTIFS($I$9:$I$59,$L25,$J$9:$J$59,AM$8),0)</f>
        <v>0</v>
      </c>
      <c r="AN25" s="175">
        <f t="array" ref="AN25">IF(AND($L25&lt;&gt;"",AN$8&lt;&gt;""),COUNTIFS($I$9:$I$59,$L25,$J$9:$J$59,AN$8),0)</f>
        <v>0</v>
      </c>
      <c r="AO25" s="175">
        <f t="array" ref="AO25">IF(AND($L25&lt;&gt;"",AO$8&lt;&gt;""),COUNTIFS($I$9:$I$59,$L25,$J$9:$J$59,AO$8),0)</f>
        <v>0</v>
      </c>
      <c r="AP25" s="175">
        <f t="array" ref="AP25">IF(AND($L25&lt;&gt;"",AP$8&lt;&gt;""),COUNTIFS($I$9:$I$59,$L25,$J$9:$J$59,AP$8),0)</f>
        <v>0</v>
      </c>
      <c r="AQ25" s="175">
        <f t="array" ref="AQ25">IF(AND($L25&lt;&gt;"",AQ$8&lt;&gt;""),COUNTIFS($I$9:$I$59,$L25,$J$9:$J$59,AQ$8),0)</f>
        <v>0</v>
      </c>
      <c r="AR25" s="175">
        <f t="array" ref="AR25">IF(AND($L25&lt;&gt;"",AR$8&lt;&gt;""),COUNTIFS($I$9:$I$59,$L25,$J$9:$J$59,AR$8),0)</f>
        <v>0</v>
      </c>
      <c r="AS25" s="175">
        <f t="array" ref="AS25">IF(AND($L25&lt;&gt;"",AS$8&lt;&gt;""),COUNTIFS($I$9:$I$59,$L25,$J$9:$J$59,AS$8),0)</f>
        <v>0</v>
      </c>
      <c r="AT25" s="175">
        <f t="array" ref="AT25">IF(AND($L25&lt;&gt;"",AT$8&lt;&gt;""),COUNTIFS($I$9:$I$59,$L25,$J$9:$J$59,AT$8),0)</f>
        <v>0</v>
      </c>
      <c r="AU25" s="175">
        <f t="array" ref="AU25">IF(AND($L25&lt;&gt;"",AU$8&lt;&gt;""),COUNTIFS($I$9:$I$59,$L25,$J$9:$J$59,AU$8),0)</f>
        <v>0</v>
      </c>
      <c r="AV25" s="175">
        <f t="array" ref="AV25">IF(AND($L25&lt;&gt;"",AV$8&lt;&gt;""),COUNTIFS($I$9:$I$59,$L25,$J$9:$J$59,AV$8),0)</f>
        <v>0</v>
      </c>
      <c r="AW25" s="175">
        <f t="array" ref="AW25">IF(AND($L25&lt;&gt;"",AW$8&lt;&gt;""),COUNTIFS($I$9:$I$59,$L25,$J$9:$J$59,AW$8),0)</f>
        <v>0</v>
      </c>
      <c r="AX25" s="175">
        <f t="array" ref="AX25">IF(AND($L25&lt;&gt;"",AX$8&lt;&gt;""),COUNTIFS($I$9:$I$59,$L25,$J$9:$J$59,AX$8),0)</f>
        <v>0</v>
      </c>
      <c r="AY25" s="175">
        <f t="array" ref="AY25">IF(AND($L25&lt;&gt;"",AY$8&lt;&gt;""),COUNTIFS($I$9:$I$59,$L25,$J$9:$J$59,AY$8),0)</f>
        <v>0</v>
      </c>
      <c r="AZ25" s="175">
        <f t="array" ref="AZ25">IF(AND($L25&lt;&gt;"",AZ$8&lt;&gt;""),COUNTIFS($I$9:$I$59,$L25,$J$9:$J$59,AZ$8),0)</f>
        <v>0</v>
      </c>
      <c r="BA25" s="175">
        <f t="array" ref="BA25">IF(AND($L25&lt;&gt;"",BA$8&lt;&gt;""),COUNTIFS($I$9:$I$59,$L25,$J$9:$J$59,BA$8),0)</f>
        <v>0</v>
      </c>
      <c r="BB25" s="175">
        <f t="array" ref="BB25">IF(AND($L25&lt;&gt;"",BB$8&lt;&gt;""),COUNTIFS($I$9:$I$59,$L25,$J$9:$J$59,BB$8),0)</f>
        <v>0</v>
      </c>
      <c r="BC25" s="175">
        <f t="array" ref="BC25">IF(AND($L25&lt;&gt;"",BC$8&lt;&gt;""),COUNTIFS($I$9:$I$59,$L25,$J$9:$J$59,BC$8),0)</f>
        <v>0</v>
      </c>
      <c r="BD25" s="175">
        <f t="array" ref="BD25">IF(AND($L25&lt;&gt;"",BD$8&lt;&gt;""),COUNTIFS($I$9:$I$59,$L25,$J$9:$J$59,BD$8),0)</f>
        <v>0</v>
      </c>
      <c r="BE25" s="175">
        <f t="array" ref="BE25">IF(AND($L25&lt;&gt;"",BE$8&lt;&gt;""),COUNTIFS($I$9:$I$59,$L25,$J$9:$J$59,BE$8),0)</f>
        <v>0</v>
      </c>
      <c r="BF25" s="175">
        <f t="array" ref="BF25">IF(AND($L25&lt;&gt;"",BF$8&lt;&gt;""),COUNTIFS($I$9:$I$59,$L25,$J$9:$J$59,BF$8),0)</f>
        <v>0</v>
      </c>
      <c r="BG25" s="175">
        <f t="array" ref="BG25">IF(AND($L25&lt;&gt;"",BG$8&lt;&gt;""),COUNTIFS($I$9:$I$59,$L25,$J$9:$J$59,BG$8),0)</f>
        <v>0</v>
      </c>
      <c r="BH25" s="175">
        <f t="array" ref="BH25">IF(AND($L25&lt;&gt;"",BH$8&lt;&gt;""),COUNTIFS($I$9:$I$59,$L25,$J$9:$J$59,BH$8),0)</f>
        <v>0</v>
      </c>
      <c r="BI25" s="175">
        <f t="array" ref="BI25">IF(AND($L25&lt;&gt;"",BI$8&lt;&gt;""),COUNTIFS($I$9:$I$59,$L25,$J$9:$J$59,BI$8),0)</f>
        <v>0</v>
      </c>
      <c r="BJ25" s="175">
        <f t="array" ref="BJ25">IF(AND($L25&lt;&gt;"",BJ$8&lt;&gt;""),COUNTIFS($I$9:$I$59,$L25,$J$9:$J$59,BJ$8),0)</f>
        <v>0</v>
      </c>
    </row>
    <row r="26" spans="1:62" x14ac:dyDescent="0.2">
      <c r="A26" s="14"/>
      <c r="B26" s="108" t="s">
        <v>54</v>
      </c>
      <c r="C26" s="141"/>
      <c r="D26" s="104"/>
      <c r="E26" s="20"/>
      <c r="F26" s="105"/>
      <c r="G26" s="253"/>
      <c r="H26" s="109"/>
      <c r="I26" s="239" t="str">
        <f t="shared" si="1"/>
        <v/>
      </c>
      <c r="J26" s="168" t="str">
        <f t="shared" si="2"/>
        <v/>
      </c>
      <c r="L26" s="174" t="str">
        <f t="array" ref="L26">IFERROR(INDEX($I$9:$I$59,MATCH(0,COUNTIF($L$8:$L25,$I$9:$I$59),0)),"")</f>
        <v/>
      </c>
      <c r="M26" s="175">
        <f t="array" ref="M26">IF(AND($L26&lt;&gt;"",M$8&lt;&gt;""),COUNTIFS($I$9:$I$59,$L26,$J$9:$J$59,M$8),0)</f>
        <v>0</v>
      </c>
      <c r="N26" s="175">
        <f t="array" ref="N26">IF(AND($L26&lt;&gt;"",N$8&lt;&gt;""),COUNTIFS($I$9:$I$59,$L26,$J$9:$J$59,N$8),0)</f>
        <v>0</v>
      </c>
      <c r="O26" s="175">
        <f t="array" ref="O26">IF(AND($L26&lt;&gt;"",O$8&lt;&gt;""),COUNTIFS($I$9:$I$59,$L26,$J$9:$J$59,O$8),0)</f>
        <v>0</v>
      </c>
      <c r="P26" s="175">
        <f t="array" ref="P26">IF(AND($L26&lt;&gt;"",P$8&lt;&gt;""),COUNTIFS($I$9:$I$59,$L26,$J$9:$J$59,P$8),0)</f>
        <v>0</v>
      </c>
      <c r="Q26" s="175">
        <f t="array" ref="Q26">IF(AND($L26&lt;&gt;"",Q$8&lt;&gt;""),COUNTIFS($I$9:$I$59,$L26,$J$9:$J$59,Q$8),0)</f>
        <v>0</v>
      </c>
      <c r="R26" s="175">
        <f t="array" ref="R26">IF(AND($L26&lt;&gt;"",R$8&lt;&gt;""),COUNTIFS($I$9:$I$59,$L26,$J$9:$J$59,R$8),0)</f>
        <v>0</v>
      </c>
      <c r="S26" s="175">
        <f t="array" ref="S26">IF(AND($L26&lt;&gt;"",S$8&lt;&gt;""),COUNTIFS($I$9:$I$59,$L26,$J$9:$J$59,S$8),0)</f>
        <v>0</v>
      </c>
      <c r="T26" s="175">
        <f t="array" ref="T26">IF(AND($L26&lt;&gt;"",T$8&lt;&gt;""),COUNTIFS($I$9:$I$59,$L26,$J$9:$J$59,T$8),0)</f>
        <v>0</v>
      </c>
      <c r="U26" s="175">
        <f t="array" ref="U26">IF(AND($L26&lt;&gt;"",U$8&lt;&gt;""),COUNTIFS($I$9:$I$59,$L26,$J$9:$J$59,U$8),0)</f>
        <v>0</v>
      </c>
      <c r="V26" s="175">
        <f t="array" ref="V26">IF(AND($L26&lt;&gt;"",V$8&lt;&gt;""),COUNTIFS($I$9:$I$59,$L26,$J$9:$J$59,V$8),0)</f>
        <v>0</v>
      </c>
      <c r="W26" s="175">
        <f t="array" ref="W26">IF(AND($L26&lt;&gt;"",W$8&lt;&gt;""),COUNTIFS($I$9:$I$59,$L26,$J$9:$J$59,W$8),0)</f>
        <v>0</v>
      </c>
      <c r="X26" s="175">
        <f t="array" ref="X26">IF(AND($L26&lt;&gt;"",X$8&lt;&gt;""),COUNTIFS($I$9:$I$59,$L26,$J$9:$J$59,X$8),0)</f>
        <v>0</v>
      </c>
      <c r="Y26" s="175">
        <f t="array" ref="Y26">IF(AND($L26&lt;&gt;"",Y$8&lt;&gt;""),COUNTIFS($I$9:$I$59,$L26,$J$9:$J$59,Y$8),0)</f>
        <v>0</v>
      </c>
      <c r="Z26" s="175">
        <f t="array" ref="Z26">IF(AND($L26&lt;&gt;"",Z$8&lt;&gt;""),COUNTIFS($I$9:$I$59,$L26,$J$9:$J$59,Z$8),0)</f>
        <v>0</v>
      </c>
      <c r="AA26" s="175">
        <f t="array" ref="AA26">IF(AND($L26&lt;&gt;"",AA$8&lt;&gt;""),COUNTIFS($I$9:$I$59,$L26,$J$9:$J$59,AA$8),0)</f>
        <v>0</v>
      </c>
      <c r="AB26" s="175">
        <f t="array" ref="AB26">IF(AND($L26&lt;&gt;"",AB$8&lt;&gt;""),COUNTIFS($I$9:$I$59,$L26,$J$9:$J$59,AB$8),0)</f>
        <v>0</v>
      </c>
      <c r="AC26" s="175">
        <f t="array" ref="AC26">IF(AND($L26&lt;&gt;"",AC$8&lt;&gt;""),COUNTIFS($I$9:$I$59,$L26,$J$9:$J$59,AC$8),0)</f>
        <v>0</v>
      </c>
      <c r="AD26" s="175">
        <f t="array" ref="AD26">IF(AND($L26&lt;&gt;"",AD$8&lt;&gt;""),COUNTIFS($I$9:$I$59,$L26,$J$9:$J$59,AD$8),0)</f>
        <v>0</v>
      </c>
      <c r="AE26" s="175">
        <f t="array" ref="AE26">IF(AND($L26&lt;&gt;"",AE$8&lt;&gt;""),COUNTIFS($I$9:$I$59,$L26,$J$9:$J$59,AE$8),0)</f>
        <v>0</v>
      </c>
      <c r="AF26" s="175">
        <f t="array" ref="AF26">IF(AND($L26&lt;&gt;"",AF$8&lt;&gt;""),COUNTIFS($I$9:$I$59,$L26,$J$9:$J$59,AF$8),0)</f>
        <v>0</v>
      </c>
      <c r="AG26" s="175">
        <f t="array" ref="AG26">IF(AND($L26&lt;&gt;"",AG$8&lt;&gt;""),COUNTIFS($I$9:$I$59,$L26,$J$9:$J$59,AG$8),0)</f>
        <v>0</v>
      </c>
      <c r="AH26" s="175">
        <f t="array" ref="AH26">IF(AND($L26&lt;&gt;"",AH$8&lt;&gt;""),COUNTIFS($I$9:$I$59,$L26,$J$9:$J$59,AH$8),0)</f>
        <v>0</v>
      </c>
      <c r="AI26" s="175">
        <f t="array" ref="AI26">IF(AND($L26&lt;&gt;"",AI$8&lt;&gt;""),COUNTIFS($I$9:$I$59,$L26,$J$9:$J$59,AI$8),0)</f>
        <v>0</v>
      </c>
      <c r="AJ26" s="175">
        <f t="array" ref="AJ26">IF(AND($L26&lt;&gt;"",AJ$8&lt;&gt;""),COUNTIFS($I$9:$I$59,$L26,$J$9:$J$59,AJ$8),0)</f>
        <v>0</v>
      </c>
      <c r="AK26" s="175">
        <f t="array" ref="AK26">IF(AND($L26&lt;&gt;"",AK$8&lt;&gt;""),COUNTIFS($I$9:$I$59,$L26,$J$9:$J$59,AK$8),0)</f>
        <v>0</v>
      </c>
      <c r="AL26" s="175">
        <f t="array" ref="AL26">IF(AND($L26&lt;&gt;"",AL$8&lt;&gt;""),COUNTIFS($I$9:$I$59,$L26,$J$9:$J$59,AL$8),0)</f>
        <v>0</v>
      </c>
      <c r="AM26" s="175">
        <f t="array" ref="AM26">IF(AND($L26&lt;&gt;"",AM$8&lt;&gt;""),COUNTIFS($I$9:$I$59,$L26,$J$9:$J$59,AM$8),0)</f>
        <v>0</v>
      </c>
      <c r="AN26" s="175">
        <f t="array" ref="AN26">IF(AND($L26&lt;&gt;"",AN$8&lt;&gt;""),COUNTIFS($I$9:$I$59,$L26,$J$9:$J$59,AN$8),0)</f>
        <v>0</v>
      </c>
      <c r="AO26" s="175">
        <f t="array" ref="AO26">IF(AND($L26&lt;&gt;"",AO$8&lt;&gt;""),COUNTIFS($I$9:$I$59,$L26,$J$9:$J$59,AO$8),0)</f>
        <v>0</v>
      </c>
      <c r="AP26" s="175">
        <f t="array" ref="AP26">IF(AND($L26&lt;&gt;"",AP$8&lt;&gt;""),COUNTIFS($I$9:$I$59,$L26,$J$9:$J$59,AP$8),0)</f>
        <v>0</v>
      </c>
      <c r="AQ26" s="175">
        <f t="array" ref="AQ26">IF(AND($L26&lt;&gt;"",AQ$8&lt;&gt;""),COUNTIFS($I$9:$I$59,$L26,$J$9:$J$59,AQ$8),0)</f>
        <v>0</v>
      </c>
      <c r="AR26" s="175">
        <f t="array" ref="AR26">IF(AND($L26&lt;&gt;"",AR$8&lt;&gt;""),COUNTIFS($I$9:$I$59,$L26,$J$9:$J$59,AR$8),0)</f>
        <v>0</v>
      </c>
      <c r="AS26" s="175">
        <f t="array" ref="AS26">IF(AND($L26&lt;&gt;"",AS$8&lt;&gt;""),COUNTIFS($I$9:$I$59,$L26,$J$9:$J$59,AS$8),0)</f>
        <v>0</v>
      </c>
      <c r="AT26" s="175">
        <f t="array" ref="AT26">IF(AND($L26&lt;&gt;"",AT$8&lt;&gt;""),COUNTIFS($I$9:$I$59,$L26,$J$9:$J$59,AT$8),0)</f>
        <v>0</v>
      </c>
      <c r="AU26" s="175">
        <f t="array" ref="AU26">IF(AND($L26&lt;&gt;"",AU$8&lt;&gt;""),COUNTIFS($I$9:$I$59,$L26,$J$9:$J$59,AU$8),0)</f>
        <v>0</v>
      </c>
      <c r="AV26" s="175">
        <f t="array" ref="AV26">IF(AND($L26&lt;&gt;"",AV$8&lt;&gt;""),COUNTIFS($I$9:$I$59,$L26,$J$9:$J$59,AV$8),0)</f>
        <v>0</v>
      </c>
      <c r="AW26" s="175">
        <f t="array" ref="AW26">IF(AND($L26&lt;&gt;"",AW$8&lt;&gt;""),COUNTIFS($I$9:$I$59,$L26,$J$9:$J$59,AW$8),0)</f>
        <v>0</v>
      </c>
      <c r="AX26" s="175">
        <f t="array" ref="AX26">IF(AND($L26&lt;&gt;"",AX$8&lt;&gt;""),COUNTIFS($I$9:$I$59,$L26,$J$9:$J$59,AX$8),0)</f>
        <v>0</v>
      </c>
      <c r="AY26" s="175">
        <f t="array" ref="AY26">IF(AND($L26&lt;&gt;"",AY$8&lt;&gt;""),COUNTIFS($I$9:$I$59,$L26,$J$9:$J$59,AY$8),0)</f>
        <v>0</v>
      </c>
      <c r="AZ26" s="175">
        <f t="array" ref="AZ26">IF(AND($L26&lt;&gt;"",AZ$8&lt;&gt;""),COUNTIFS($I$9:$I$59,$L26,$J$9:$J$59,AZ$8),0)</f>
        <v>0</v>
      </c>
      <c r="BA26" s="175">
        <f t="array" ref="BA26">IF(AND($L26&lt;&gt;"",BA$8&lt;&gt;""),COUNTIFS($I$9:$I$59,$L26,$J$9:$J$59,BA$8),0)</f>
        <v>0</v>
      </c>
      <c r="BB26" s="175">
        <f t="array" ref="BB26">IF(AND($L26&lt;&gt;"",BB$8&lt;&gt;""),COUNTIFS($I$9:$I$59,$L26,$J$9:$J$59,BB$8),0)</f>
        <v>0</v>
      </c>
      <c r="BC26" s="175">
        <f t="array" ref="BC26">IF(AND($L26&lt;&gt;"",BC$8&lt;&gt;""),COUNTIFS($I$9:$I$59,$L26,$J$9:$J$59,BC$8),0)</f>
        <v>0</v>
      </c>
      <c r="BD26" s="175">
        <f t="array" ref="BD26">IF(AND($L26&lt;&gt;"",BD$8&lt;&gt;""),COUNTIFS($I$9:$I$59,$L26,$J$9:$J$59,BD$8),0)</f>
        <v>0</v>
      </c>
      <c r="BE26" s="175">
        <f t="array" ref="BE26">IF(AND($L26&lt;&gt;"",BE$8&lt;&gt;""),COUNTIFS($I$9:$I$59,$L26,$J$9:$J$59,BE$8),0)</f>
        <v>0</v>
      </c>
      <c r="BF26" s="175">
        <f t="array" ref="BF26">IF(AND($L26&lt;&gt;"",BF$8&lt;&gt;""),COUNTIFS($I$9:$I$59,$L26,$J$9:$J$59,BF$8),0)</f>
        <v>0</v>
      </c>
      <c r="BG26" s="175">
        <f t="array" ref="BG26">IF(AND($L26&lt;&gt;"",BG$8&lt;&gt;""),COUNTIFS($I$9:$I$59,$L26,$J$9:$J$59,BG$8),0)</f>
        <v>0</v>
      </c>
      <c r="BH26" s="175">
        <f t="array" ref="BH26">IF(AND($L26&lt;&gt;"",BH$8&lt;&gt;""),COUNTIFS($I$9:$I$59,$L26,$J$9:$J$59,BH$8),0)</f>
        <v>0</v>
      </c>
      <c r="BI26" s="175">
        <f t="array" ref="BI26">IF(AND($L26&lt;&gt;"",BI$8&lt;&gt;""),COUNTIFS($I$9:$I$59,$L26,$J$9:$J$59,BI$8),0)</f>
        <v>0</v>
      </c>
      <c r="BJ26" s="175">
        <f t="array" ref="BJ26">IF(AND($L26&lt;&gt;"",BJ$8&lt;&gt;""),COUNTIFS($I$9:$I$59,$L26,$J$9:$J$59,BJ$8),0)</f>
        <v>0</v>
      </c>
    </row>
    <row r="27" spans="1:62" x14ac:dyDescent="0.2">
      <c r="A27" s="14"/>
      <c r="B27" s="108" t="s">
        <v>55</v>
      </c>
      <c r="C27" s="141"/>
      <c r="D27" s="104"/>
      <c r="E27" s="20"/>
      <c r="F27" s="105"/>
      <c r="G27" s="253"/>
      <c r="H27" s="109"/>
      <c r="I27" s="239" t="str">
        <f t="shared" si="1"/>
        <v/>
      </c>
      <c r="J27" s="168" t="str">
        <f t="shared" si="2"/>
        <v/>
      </c>
      <c r="L27" s="174" t="str">
        <f t="array" ref="L27">IFERROR(INDEX($I$9:$I$59,MATCH(0,COUNTIF($L$8:$L26,$I$9:$I$59),0)),"")</f>
        <v/>
      </c>
      <c r="M27" s="175">
        <f t="array" ref="M27">IF(AND($L27&lt;&gt;"",M$8&lt;&gt;""),COUNTIFS($I$9:$I$59,$L27,$J$9:$J$59,M$8),0)</f>
        <v>0</v>
      </c>
      <c r="N27" s="175">
        <f t="array" ref="N27">IF(AND($L27&lt;&gt;"",N$8&lt;&gt;""),COUNTIFS($I$9:$I$59,$L27,$J$9:$J$59,N$8),0)</f>
        <v>0</v>
      </c>
      <c r="O27" s="175">
        <f t="array" ref="O27">IF(AND($L27&lt;&gt;"",O$8&lt;&gt;""),COUNTIFS($I$9:$I$59,$L27,$J$9:$J$59,O$8),0)</f>
        <v>0</v>
      </c>
      <c r="P27" s="175">
        <f t="array" ref="P27">IF(AND($L27&lt;&gt;"",P$8&lt;&gt;""),COUNTIFS($I$9:$I$59,$L27,$J$9:$J$59,P$8),0)</f>
        <v>0</v>
      </c>
      <c r="Q27" s="175">
        <f t="array" ref="Q27">IF(AND($L27&lt;&gt;"",Q$8&lt;&gt;""),COUNTIFS($I$9:$I$59,$L27,$J$9:$J$59,Q$8),0)</f>
        <v>0</v>
      </c>
      <c r="R27" s="175">
        <f t="array" ref="R27">IF(AND($L27&lt;&gt;"",R$8&lt;&gt;""),COUNTIFS($I$9:$I$59,$L27,$J$9:$J$59,R$8),0)</f>
        <v>0</v>
      </c>
      <c r="S27" s="175">
        <f t="array" ref="S27">IF(AND($L27&lt;&gt;"",S$8&lt;&gt;""),COUNTIFS($I$9:$I$59,$L27,$J$9:$J$59,S$8),0)</f>
        <v>0</v>
      </c>
      <c r="T27" s="175">
        <f t="array" ref="T27">IF(AND($L27&lt;&gt;"",T$8&lt;&gt;""),COUNTIFS($I$9:$I$59,$L27,$J$9:$J$59,T$8),0)</f>
        <v>0</v>
      </c>
      <c r="U27" s="175">
        <f t="array" ref="U27">IF(AND($L27&lt;&gt;"",U$8&lt;&gt;""),COUNTIFS($I$9:$I$59,$L27,$J$9:$J$59,U$8),0)</f>
        <v>0</v>
      </c>
      <c r="V27" s="175">
        <f t="array" ref="V27">IF(AND($L27&lt;&gt;"",V$8&lt;&gt;""),COUNTIFS($I$9:$I$59,$L27,$J$9:$J$59,V$8),0)</f>
        <v>0</v>
      </c>
      <c r="W27" s="175">
        <f t="array" ref="W27">IF(AND($L27&lt;&gt;"",W$8&lt;&gt;""),COUNTIFS($I$9:$I$59,$L27,$J$9:$J$59,W$8),0)</f>
        <v>0</v>
      </c>
      <c r="X27" s="175">
        <f t="array" ref="X27">IF(AND($L27&lt;&gt;"",X$8&lt;&gt;""),COUNTIFS($I$9:$I$59,$L27,$J$9:$J$59,X$8),0)</f>
        <v>0</v>
      </c>
      <c r="Y27" s="175">
        <f t="array" ref="Y27">IF(AND($L27&lt;&gt;"",Y$8&lt;&gt;""),COUNTIFS($I$9:$I$59,$L27,$J$9:$J$59,Y$8),0)</f>
        <v>0</v>
      </c>
      <c r="Z27" s="175">
        <f t="array" ref="Z27">IF(AND($L27&lt;&gt;"",Z$8&lt;&gt;""),COUNTIFS($I$9:$I$59,$L27,$J$9:$J$59,Z$8),0)</f>
        <v>0</v>
      </c>
      <c r="AA27" s="175">
        <f t="array" ref="AA27">IF(AND($L27&lt;&gt;"",AA$8&lt;&gt;""),COUNTIFS($I$9:$I$59,$L27,$J$9:$J$59,AA$8),0)</f>
        <v>0</v>
      </c>
      <c r="AB27" s="175">
        <f t="array" ref="AB27">IF(AND($L27&lt;&gt;"",AB$8&lt;&gt;""),COUNTIFS($I$9:$I$59,$L27,$J$9:$J$59,AB$8),0)</f>
        <v>0</v>
      </c>
      <c r="AC27" s="175">
        <f t="array" ref="AC27">IF(AND($L27&lt;&gt;"",AC$8&lt;&gt;""),COUNTIFS($I$9:$I$59,$L27,$J$9:$J$59,AC$8),0)</f>
        <v>0</v>
      </c>
      <c r="AD27" s="175">
        <f t="array" ref="AD27">IF(AND($L27&lt;&gt;"",AD$8&lt;&gt;""),COUNTIFS($I$9:$I$59,$L27,$J$9:$J$59,AD$8),0)</f>
        <v>0</v>
      </c>
      <c r="AE27" s="175">
        <f t="array" ref="AE27">IF(AND($L27&lt;&gt;"",AE$8&lt;&gt;""),COUNTIFS($I$9:$I$59,$L27,$J$9:$J$59,AE$8),0)</f>
        <v>0</v>
      </c>
      <c r="AF27" s="175">
        <f t="array" ref="AF27">IF(AND($L27&lt;&gt;"",AF$8&lt;&gt;""),COUNTIFS($I$9:$I$59,$L27,$J$9:$J$59,AF$8),0)</f>
        <v>0</v>
      </c>
      <c r="AG27" s="175">
        <f t="array" ref="AG27">IF(AND($L27&lt;&gt;"",AG$8&lt;&gt;""),COUNTIFS($I$9:$I$59,$L27,$J$9:$J$59,AG$8),0)</f>
        <v>0</v>
      </c>
      <c r="AH27" s="175">
        <f t="array" ref="AH27">IF(AND($L27&lt;&gt;"",AH$8&lt;&gt;""),COUNTIFS($I$9:$I$59,$L27,$J$9:$J$59,AH$8),0)</f>
        <v>0</v>
      </c>
      <c r="AI27" s="175">
        <f t="array" ref="AI27">IF(AND($L27&lt;&gt;"",AI$8&lt;&gt;""),COUNTIFS($I$9:$I$59,$L27,$J$9:$J$59,AI$8),0)</f>
        <v>0</v>
      </c>
      <c r="AJ27" s="175">
        <f t="array" ref="AJ27">IF(AND($L27&lt;&gt;"",AJ$8&lt;&gt;""),COUNTIFS($I$9:$I$59,$L27,$J$9:$J$59,AJ$8),0)</f>
        <v>0</v>
      </c>
      <c r="AK27" s="175">
        <f t="array" ref="AK27">IF(AND($L27&lt;&gt;"",AK$8&lt;&gt;""),COUNTIFS($I$9:$I$59,$L27,$J$9:$J$59,AK$8),0)</f>
        <v>0</v>
      </c>
      <c r="AL27" s="175">
        <f t="array" ref="AL27">IF(AND($L27&lt;&gt;"",AL$8&lt;&gt;""),COUNTIFS($I$9:$I$59,$L27,$J$9:$J$59,AL$8),0)</f>
        <v>0</v>
      </c>
      <c r="AM27" s="175">
        <f t="array" ref="AM27">IF(AND($L27&lt;&gt;"",AM$8&lt;&gt;""),COUNTIFS($I$9:$I$59,$L27,$J$9:$J$59,AM$8),0)</f>
        <v>0</v>
      </c>
      <c r="AN27" s="175">
        <f t="array" ref="AN27">IF(AND($L27&lt;&gt;"",AN$8&lt;&gt;""),COUNTIFS($I$9:$I$59,$L27,$J$9:$J$59,AN$8),0)</f>
        <v>0</v>
      </c>
      <c r="AO27" s="175">
        <f t="array" ref="AO27">IF(AND($L27&lt;&gt;"",AO$8&lt;&gt;""),COUNTIFS($I$9:$I$59,$L27,$J$9:$J$59,AO$8),0)</f>
        <v>0</v>
      </c>
      <c r="AP27" s="175">
        <f t="array" ref="AP27">IF(AND($L27&lt;&gt;"",AP$8&lt;&gt;""),COUNTIFS($I$9:$I$59,$L27,$J$9:$J$59,AP$8),0)</f>
        <v>0</v>
      </c>
      <c r="AQ27" s="175">
        <f t="array" ref="AQ27">IF(AND($L27&lt;&gt;"",AQ$8&lt;&gt;""),COUNTIFS($I$9:$I$59,$L27,$J$9:$J$59,AQ$8),0)</f>
        <v>0</v>
      </c>
      <c r="AR27" s="175">
        <f t="array" ref="AR27">IF(AND($L27&lt;&gt;"",AR$8&lt;&gt;""),COUNTIFS($I$9:$I$59,$L27,$J$9:$J$59,AR$8),0)</f>
        <v>0</v>
      </c>
      <c r="AS27" s="175">
        <f t="array" ref="AS27">IF(AND($L27&lt;&gt;"",AS$8&lt;&gt;""),COUNTIFS($I$9:$I$59,$L27,$J$9:$J$59,AS$8),0)</f>
        <v>0</v>
      </c>
      <c r="AT27" s="175">
        <f t="array" ref="AT27">IF(AND($L27&lt;&gt;"",AT$8&lt;&gt;""),COUNTIFS($I$9:$I$59,$L27,$J$9:$J$59,AT$8),0)</f>
        <v>0</v>
      </c>
      <c r="AU27" s="175">
        <f t="array" ref="AU27">IF(AND($L27&lt;&gt;"",AU$8&lt;&gt;""),COUNTIFS($I$9:$I$59,$L27,$J$9:$J$59,AU$8),0)</f>
        <v>0</v>
      </c>
      <c r="AV27" s="175">
        <f t="array" ref="AV27">IF(AND($L27&lt;&gt;"",AV$8&lt;&gt;""),COUNTIFS($I$9:$I$59,$L27,$J$9:$J$59,AV$8),0)</f>
        <v>0</v>
      </c>
      <c r="AW27" s="175">
        <f t="array" ref="AW27">IF(AND($L27&lt;&gt;"",AW$8&lt;&gt;""),COUNTIFS($I$9:$I$59,$L27,$J$9:$J$59,AW$8),0)</f>
        <v>0</v>
      </c>
      <c r="AX27" s="175">
        <f t="array" ref="AX27">IF(AND($L27&lt;&gt;"",AX$8&lt;&gt;""),COUNTIFS($I$9:$I$59,$L27,$J$9:$J$59,AX$8),0)</f>
        <v>0</v>
      </c>
      <c r="AY27" s="175">
        <f t="array" ref="AY27">IF(AND($L27&lt;&gt;"",AY$8&lt;&gt;""),COUNTIFS($I$9:$I$59,$L27,$J$9:$J$59,AY$8),0)</f>
        <v>0</v>
      </c>
      <c r="AZ27" s="175">
        <f t="array" ref="AZ27">IF(AND($L27&lt;&gt;"",AZ$8&lt;&gt;""),COUNTIFS($I$9:$I$59,$L27,$J$9:$J$59,AZ$8),0)</f>
        <v>0</v>
      </c>
      <c r="BA27" s="175">
        <f t="array" ref="BA27">IF(AND($L27&lt;&gt;"",BA$8&lt;&gt;""),COUNTIFS($I$9:$I$59,$L27,$J$9:$J$59,BA$8),0)</f>
        <v>0</v>
      </c>
      <c r="BB27" s="175">
        <f t="array" ref="BB27">IF(AND($L27&lt;&gt;"",BB$8&lt;&gt;""),COUNTIFS($I$9:$I$59,$L27,$J$9:$J$59,BB$8),0)</f>
        <v>0</v>
      </c>
      <c r="BC27" s="175">
        <f t="array" ref="BC27">IF(AND($L27&lt;&gt;"",BC$8&lt;&gt;""),COUNTIFS($I$9:$I$59,$L27,$J$9:$J$59,BC$8),0)</f>
        <v>0</v>
      </c>
      <c r="BD27" s="175">
        <f t="array" ref="BD27">IF(AND($L27&lt;&gt;"",BD$8&lt;&gt;""),COUNTIFS($I$9:$I$59,$L27,$J$9:$J$59,BD$8),0)</f>
        <v>0</v>
      </c>
      <c r="BE27" s="175">
        <f t="array" ref="BE27">IF(AND($L27&lt;&gt;"",BE$8&lt;&gt;""),COUNTIFS($I$9:$I$59,$L27,$J$9:$J$59,BE$8),0)</f>
        <v>0</v>
      </c>
      <c r="BF27" s="175">
        <f t="array" ref="BF27">IF(AND($L27&lt;&gt;"",BF$8&lt;&gt;""),COUNTIFS($I$9:$I$59,$L27,$J$9:$J$59,BF$8),0)</f>
        <v>0</v>
      </c>
      <c r="BG27" s="175">
        <f t="array" ref="BG27">IF(AND($L27&lt;&gt;"",BG$8&lt;&gt;""),COUNTIFS($I$9:$I$59,$L27,$J$9:$J$59,BG$8),0)</f>
        <v>0</v>
      </c>
      <c r="BH27" s="175">
        <f t="array" ref="BH27">IF(AND($L27&lt;&gt;"",BH$8&lt;&gt;""),COUNTIFS($I$9:$I$59,$L27,$J$9:$J$59,BH$8),0)</f>
        <v>0</v>
      </c>
      <c r="BI27" s="175">
        <f t="array" ref="BI27">IF(AND($L27&lt;&gt;"",BI$8&lt;&gt;""),COUNTIFS($I$9:$I$59,$L27,$J$9:$J$59,BI$8),0)</f>
        <v>0</v>
      </c>
      <c r="BJ27" s="175">
        <f t="array" ref="BJ27">IF(AND($L27&lt;&gt;"",BJ$8&lt;&gt;""),COUNTIFS($I$9:$I$59,$L27,$J$9:$J$59,BJ$8),0)</f>
        <v>0</v>
      </c>
    </row>
    <row r="28" spans="1:62" x14ac:dyDescent="0.2">
      <c r="A28" s="14"/>
      <c r="B28" s="108" t="s">
        <v>56</v>
      </c>
      <c r="C28" s="141"/>
      <c r="D28" s="104"/>
      <c r="E28" s="20"/>
      <c r="F28" s="105"/>
      <c r="G28" s="253"/>
      <c r="H28" s="109"/>
      <c r="I28" s="239" t="str">
        <f t="shared" si="1"/>
        <v/>
      </c>
      <c r="J28" s="168" t="str">
        <f t="shared" si="2"/>
        <v/>
      </c>
      <c r="L28" s="174" t="str">
        <f t="array" ref="L28">IFERROR(INDEX($I$9:$I$59,MATCH(0,COUNTIF($L$8:$L27,$I$9:$I$59),0)),"")</f>
        <v/>
      </c>
      <c r="M28" s="175">
        <f t="array" ref="M28">IF(AND($L28&lt;&gt;"",M$8&lt;&gt;""),COUNTIFS($I$9:$I$59,$L28,$J$9:$J$59,M$8),0)</f>
        <v>0</v>
      </c>
      <c r="N28" s="175">
        <f t="array" ref="N28">IF(AND($L28&lt;&gt;"",N$8&lt;&gt;""),COUNTIFS($I$9:$I$59,$L28,$J$9:$J$59,N$8),0)</f>
        <v>0</v>
      </c>
      <c r="O28" s="175">
        <f t="array" ref="O28">IF(AND($L28&lt;&gt;"",O$8&lt;&gt;""),COUNTIFS($I$9:$I$59,$L28,$J$9:$J$59,O$8),0)</f>
        <v>0</v>
      </c>
      <c r="P28" s="175">
        <f t="array" ref="P28">IF(AND($L28&lt;&gt;"",P$8&lt;&gt;""),COUNTIFS($I$9:$I$59,$L28,$J$9:$J$59,P$8),0)</f>
        <v>0</v>
      </c>
      <c r="Q28" s="175">
        <f t="array" ref="Q28">IF(AND($L28&lt;&gt;"",Q$8&lt;&gt;""),COUNTIFS($I$9:$I$59,$L28,$J$9:$J$59,Q$8),0)</f>
        <v>0</v>
      </c>
      <c r="R28" s="175">
        <f t="array" ref="R28">IF(AND($L28&lt;&gt;"",R$8&lt;&gt;""),COUNTIFS($I$9:$I$59,$L28,$J$9:$J$59,R$8),0)</f>
        <v>0</v>
      </c>
      <c r="S28" s="175">
        <f t="array" ref="S28">IF(AND($L28&lt;&gt;"",S$8&lt;&gt;""),COUNTIFS($I$9:$I$59,$L28,$J$9:$J$59,S$8),0)</f>
        <v>0</v>
      </c>
      <c r="T28" s="175">
        <f t="array" ref="T28">IF(AND($L28&lt;&gt;"",T$8&lt;&gt;""),COUNTIFS($I$9:$I$59,$L28,$J$9:$J$59,T$8),0)</f>
        <v>0</v>
      </c>
      <c r="U28" s="175">
        <f t="array" ref="U28">IF(AND($L28&lt;&gt;"",U$8&lt;&gt;""),COUNTIFS($I$9:$I$59,$L28,$J$9:$J$59,U$8),0)</f>
        <v>0</v>
      </c>
      <c r="V28" s="175">
        <f t="array" ref="V28">IF(AND($L28&lt;&gt;"",V$8&lt;&gt;""),COUNTIFS($I$9:$I$59,$L28,$J$9:$J$59,V$8),0)</f>
        <v>0</v>
      </c>
      <c r="W28" s="175">
        <f t="array" ref="W28">IF(AND($L28&lt;&gt;"",W$8&lt;&gt;""),COUNTIFS($I$9:$I$59,$L28,$J$9:$J$59,W$8),0)</f>
        <v>0</v>
      </c>
      <c r="X28" s="175">
        <f t="array" ref="X28">IF(AND($L28&lt;&gt;"",X$8&lt;&gt;""),COUNTIFS($I$9:$I$59,$L28,$J$9:$J$59,X$8),0)</f>
        <v>0</v>
      </c>
      <c r="Y28" s="175">
        <f t="array" ref="Y28">IF(AND($L28&lt;&gt;"",Y$8&lt;&gt;""),COUNTIFS($I$9:$I$59,$L28,$J$9:$J$59,Y$8),0)</f>
        <v>0</v>
      </c>
      <c r="Z28" s="175">
        <f t="array" ref="Z28">IF(AND($L28&lt;&gt;"",Z$8&lt;&gt;""),COUNTIFS($I$9:$I$59,$L28,$J$9:$J$59,Z$8),0)</f>
        <v>0</v>
      </c>
      <c r="AA28" s="175">
        <f t="array" ref="AA28">IF(AND($L28&lt;&gt;"",AA$8&lt;&gt;""),COUNTIFS($I$9:$I$59,$L28,$J$9:$J$59,AA$8),0)</f>
        <v>0</v>
      </c>
      <c r="AB28" s="175">
        <f t="array" ref="AB28">IF(AND($L28&lt;&gt;"",AB$8&lt;&gt;""),COUNTIFS($I$9:$I$59,$L28,$J$9:$J$59,AB$8),0)</f>
        <v>0</v>
      </c>
      <c r="AC28" s="175">
        <f t="array" ref="AC28">IF(AND($L28&lt;&gt;"",AC$8&lt;&gt;""),COUNTIFS($I$9:$I$59,$L28,$J$9:$J$59,AC$8),0)</f>
        <v>0</v>
      </c>
      <c r="AD28" s="175">
        <f t="array" ref="AD28">IF(AND($L28&lt;&gt;"",AD$8&lt;&gt;""),COUNTIFS($I$9:$I$59,$L28,$J$9:$J$59,AD$8),0)</f>
        <v>0</v>
      </c>
      <c r="AE28" s="175">
        <f t="array" ref="AE28">IF(AND($L28&lt;&gt;"",AE$8&lt;&gt;""),COUNTIFS($I$9:$I$59,$L28,$J$9:$J$59,AE$8),0)</f>
        <v>0</v>
      </c>
      <c r="AF28" s="175">
        <f t="array" ref="AF28">IF(AND($L28&lt;&gt;"",AF$8&lt;&gt;""),COUNTIFS($I$9:$I$59,$L28,$J$9:$J$59,AF$8),0)</f>
        <v>0</v>
      </c>
      <c r="AG28" s="175">
        <f t="array" ref="AG28">IF(AND($L28&lt;&gt;"",AG$8&lt;&gt;""),COUNTIFS($I$9:$I$59,$L28,$J$9:$J$59,AG$8),0)</f>
        <v>0</v>
      </c>
      <c r="AH28" s="175">
        <f t="array" ref="AH28">IF(AND($L28&lt;&gt;"",AH$8&lt;&gt;""),COUNTIFS($I$9:$I$59,$L28,$J$9:$J$59,AH$8),0)</f>
        <v>0</v>
      </c>
      <c r="AI28" s="175">
        <f t="array" ref="AI28">IF(AND($L28&lt;&gt;"",AI$8&lt;&gt;""),COUNTIFS($I$9:$I$59,$L28,$J$9:$J$59,AI$8),0)</f>
        <v>0</v>
      </c>
      <c r="AJ28" s="175">
        <f t="array" ref="AJ28">IF(AND($L28&lt;&gt;"",AJ$8&lt;&gt;""),COUNTIFS($I$9:$I$59,$L28,$J$9:$J$59,AJ$8),0)</f>
        <v>0</v>
      </c>
      <c r="AK28" s="175">
        <f t="array" ref="AK28">IF(AND($L28&lt;&gt;"",AK$8&lt;&gt;""),COUNTIFS($I$9:$I$59,$L28,$J$9:$J$59,AK$8),0)</f>
        <v>0</v>
      </c>
      <c r="AL28" s="175">
        <f t="array" ref="AL28">IF(AND($L28&lt;&gt;"",AL$8&lt;&gt;""),COUNTIFS($I$9:$I$59,$L28,$J$9:$J$59,AL$8),0)</f>
        <v>0</v>
      </c>
      <c r="AM28" s="175">
        <f t="array" ref="AM28">IF(AND($L28&lt;&gt;"",AM$8&lt;&gt;""),COUNTIFS($I$9:$I$59,$L28,$J$9:$J$59,AM$8),0)</f>
        <v>0</v>
      </c>
      <c r="AN28" s="175">
        <f t="array" ref="AN28">IF(AND($L28&lt;&gt;"",AN$8&lt;&gt;""),COUNTIFS($I$9:$I$59,$L28,$J$9:$J$59,AN$8),0)</f>
        <v>0</v>
      </c>
      <c r="AO28" s="175">
        <f t="array" ref="AO28">IF(AND($L28&lt;&gt;"",AO$8&lt;&gt;""),COUNTIFS($I$9:$I$59,$L28,$J$9:$J$59,AO$8),0)</f>
        <v>0</v>
      </c>
      <c r="AP28" s="175">
        <f t="array" ref="AP28">IF(AND($L28&lt;&gt;"",AP$8&lt;&gt;""),COUNTIFS($I$9:$I$59,$L28,$J$9:$J$59,AP$8),0)</f>
        <v>0</v>
      </c>
      <c r="AQ28" s="175">
        <f t="array" ref="AQ28">IF(AND($L28&lt;&gt;"",AQ$8&lt;&gt;""),COUNTIFS($I$9:$I$59,$L28,$J$9:$J$59,AQ$8),0)</f>
        <v>0</v>
      </c>
      <c r="AR28" s="175">
        <f t="array" ref="AR28">IF(AND($L28&lt;&gt;"",AR$8&lt;&gt;""),COUNTIFS($I$9:$I$59,$L28,$J$9:$J$59,AR$8),0)</f>
        <v>0</v>
      </c>
      <c r="AS28" s="175">
        <f t="array" ref="AS28">IF(AND($L28&lt;&gt;"",AS$8&lt;&gt;""),COUNTIFS($I$9:$I$59,$L28,$J$9:$J$59,AS$8),0)</f>
        <v>0</v>
      </c>
      <c r="AT28" s="175">
        <f t="array" ref="AT28">IF(AND($L28&lt;&gt;"",AT$8&lt;&gt;""),COUNTIFS($I$9:$I$59,$L28,$J$9:$J$59,AT$8),0)</f>
        <v>0</v>
      </c>
      <c r="AU28" s="175">
        <f t="array" ref="AU28">IF(AND($L28&lt;&gt;"",AU$8&lt;&gt;""),COUNTIFS($I$9:$I$59,$L28,$J$9:$J$59,AU$8),0)</f>
        <v>0</v>
      </c>
      <c r="AV28" s="175">
        <f t="array" ref="AV28">IF(AND($L28&lt;&gt;"",AV$8&lt;&gt;""),COUNTIFS($I$9:$I$59,$L28,$J$9:$J$59,AV$8),0)</f>
        <v>0</v>
      </c>
      <c r="AW28" s="175">
        <f t="array" ref="AW28">IF(AND($L28&lt;&gt;"",AW$8&lt;&gt;""),COUNTIFS($I$9:$I$59,$L28,$J$9:$J$59,AW$8),0)</f>
        <v>0</v>
      </c>
      <c r="AX28" s="175">
        <f t="array" ref="AX28">IF(AND($L28&lt;&gt;"",AX$8&lt;&gt;""),COUNTIFS($I$9:$I$59,$L28,$J$9:$J$59,AX$8),0)</f>
        <v>0</v>
      </c>
      <c r="AY28" s="175">
        <f t="array" ref="AY28">IF(AND($L28&lt;&gt;"",AY$8&lt;&gt;""),COUNTIFS($I$9:$I$59,$L28,$J$9:$J$59,AY$8),0)</f>
        <v>0</v>
      </c>
      <c r="AZ28" s="175">
        <f t="array" ref="AZ28">IF(AND($L28&lt;&gt;"",AZ$8&lt;&gt;""),COUNTIFS($I$9:$I$59,$L28,$J$9:$J$59,AZ$8),0)</f>
        <v>0</v>
      </c>
      <c r="BA28" s="175">
        <f t="array" ref="BA28">IF(AND($L28&lt;&gt;"",BA$8&lt;&gt;""),COUNTIFS($I$9:$I$59,$L28,$J$9:$J$59,BA$8),0)</f>
        <v>0</v>
      </c>
      <c r="BB28" s="175">
        <f t="array" ref="BB28">IF(AND($L28&lt;&gt;"",BB$8&lt;&gt;""),COUNTIFS($I$9:$I$59,$L28,$J$9:$J$59,BB$8),0)</f>
        <v>0</v>
      </c>
      <c r="BC28" s="175">
        <f t="array" ref="BC28">IF(AND($L28&lt;&gt;"",BC$8&lt;&gt;""),COUNTIFS($I$9:$I$59,$L28,$J$9:$J$59,BC$8),0)</f>
        <v>0</v>
      </c>
      <c r="BD28" s="175">
        <f t="array" ref="BD28">IF(AND($L28&lt;&gt;"",BD$8&lt;&gt;""),COUNTIFS($I$9:$I$59,$L28,$J$9:$J$59,BD$8),0)</f>
        <v>0</v>
      </c>
      <c r="BE28" s="175">
        <f t="array" ref="BE28">IF(AND($L28&lt;&gt;"",BE$8&lt;&gt;""),COUNTIFS($I$9:$I$59,$L28,$J$9:$J$59,BE$8),0)</f>
        <v>0</v>
      </c>
      <c r="BF28" s="175">
        <f t="array" ref="BF28">IF(AND($L28&lt;&gt;"",BF$8&lt;&gt;""),COUNTIFS($I$9:$I$59,$L28,$J$9:$J$59,BF$8),0)</f>
        <v>0</v>
      </c>
      <c r="BG28" s="175">
        <f t="array" ref="BG28">IF(AND($L28&lt;&gt;"",BG$8&lt;&gt;""),COUNTIFS($I$9:$I$59,$L28,$J$9:$J$59,BG$8),0)</f>
        <v>0</v>
      </c>
      <c r="BH28" s="175">
        <f t="array" ref="BH28">IF(AND($L28&lt;&gt;"",BH$8&lt;&gt;""),COUNTIFS($I$9:$I$59,$L28,$J$9:$J$59,BH$8),0)</f>
        <v>0</v>
      </c>
      <c r="BI28" s="175">
        <f t="array" ref="BI28">IF(AND($L28&lt;&gt;"",BI$8&lt;&gt;""),COUNTIFS($I$9:$I$59,$L28,$J$9:$J$59,BI$8),0)</f>
        <v>0</v>
      </c>
      <c r="BJ28" s="175">
        <f t="array" ref="BJ28">IF(AND($L28&lt;&gt;"",BJ$8&lt;&gt;""),COUNTIFS($I$9:$I$59,$L28,$J$9:$J$59,BJ$8),0)</f>
        <v>0</v>
      </c>
    </row>
    <row r="29" spans="1:62" x14ac:dyDescent="0.2">
      <c r="A29" s="14"/>
      <c r="B29" s="108" t="s">
        <v>57</v>
      </c>
      <c r="C29" s="141"/>
      <c r="D29" s="104"/>
      <c r="E29" s="20"/>
      <c r="F29" s="105"/>
      <c r="G29" s="253"/>
      <c r="H29" s="109"/>
      <c r="I29" s="239" t="str">
        <f t="shared" si="1"/>
        <v/>
      </c>
      <c r="J29" s="168" t="str">
        <f t="shared" si="2"/>
        <v/>
      </c>
      <c r="L29" s="174" t="str">
        <f t="array" ref="L29">IFERROR(INDEX($I$9:$I$59,MATCH(0,COUNTIF($L$8:$L28,$I$9:$I$59),0)),"")</f>
        <v/>
      </c>
      <c r="M29" s="175">
        <f t="array" ref="M29">IF(AND($L29&lt;&gt;"",M$8&lt;&gt;""),COUNTIFS($I$9:$I$59,$L29,$J$9:$J$59,M$8),0)</f>
        <v>0</v>
      </c>
      <c r="N29" s="175">
        <f t="array" ref="N29">IF(AND($L29&lt;&gt;"",N$8&lt;&gt;""),COUNTIFS($I$9:$I$59,$L29,$J$9:$J$59,N$8),0)</f>
        <v>0</v>
      </c>
      <c r="O29" s="175">
        <f t="array" ref="O29">IF(AND($L29&lt;&gt;"",O$8&lt;&gt;""),COUNTIFS($I$9:$I$59,$L29,$J$9:$J$59,O$8),0)</f>
        <v>0</v>
      </c>
      <c r="P29" s="175">
        <f t="array" ref="P29">IF(AND($L29&lt;&gt;"",P$8&lt;&gt;""),COUNTIFS($I$9:$I$59,$L29,$J$9:$J$59,P$8),0)</f>
        <v>0</v>
      </c>
      <c r="Q29" s="175">
        <f t="array" ref="Q29">IF(AND($L29&lt;&gt;"",Q$8&lt;&gt;""),COUNTIFS($I$9:$I$59,$L29,$J$9:$J$59,Q$8),0)</f>
        <v>0</v>
      </c>
      <c r="R29" s="175">
        <f t="array" ref="R29">IF(AND($L29&lt;&gt;"",R$8&lt;&gt;""),COUNTIFS($I$9:$I$59,$L29,$J$9:$J$59,R$8),0)</f>
        <v>0</v>
      </c>
      <c r="S29" s="175">
        <f t="array" ref="S29">IF(AND($L29&lt;&gt;"",S$8&lt;&gt;""),COUNTIFS($I$9:$I$59,$L29,$J$9:$J$59,S$8),0)</f>
        <v>0</v>
      </c>
      <c r="T29" s="175">
        <f t="array" ref="T29">IF(AND($L29&lt;&gt;"",T$8&lt;&gt;""),COUNTIFS($I$9:$I$59,$L29,$J$9:$J$59,T$8),0)</f>
        <v>0</v>
      </c>
      <c r="U29" s="175">
        <f t="array" ref="U29">IF(AND($L29&lt;&gt;"",U$8&lt;&gt;""),COUNTIFS($I$9:$I$59,$L29,$J$9:$J$59,U$8),0)</f>
        <v>0</v>
      </c>
      <c r="V29" s="175">
        <f t="array" ref="V29">IF(AND($L29&lt;&gt;"",V$8&lt;&gt;""),COUNTIFS($I$9:$I$59,$L29,$J$9:$J$59,V$8),0)</f>
        <v>0</v>
      </c>
      <c r="W29" s="175">
        <f t="array" ref="W29">IF(AND($L29&lt;&gt;"",W$8&lt;&gt;""),COUNTIFS($I$9:$I$59,$L29,$J$9:$J$59,W$8),0)</f>
        <v>0</v>
      </c>
      <c r="X29" s="175">
        <f t="array" ref="X29">IF(AND($L29&lt;&gt;"",X$8&lt;&gt;""),COUNTIFS($I$9:$I$59,$L29,$J$9:$J$59,X$8),0)</f>
        <v>0</v>
      </c>
      <c r="Y29" s="175">
        <f t="array" ref="Y29">IF(AND($L29&lt;&gt;"",Y$8&lt;&gt;""),COUNTIFS($I$9:$I$59,$L29,$J$9:$J$59,Y$8),0)</f>
        <v>0</v>
      </c>
      <c r="Z29" s="175">
        <f t="array" ref="Z29">IF(AND($L29&lt;&gt;"",Z$8&lt;&gt;""),COUNTIFS($I$9:$I$59,$L29,$J$9:$J$59,Z$8),0)</f>
        <v>0</v>
      </c>
      <c r="AA29" s="175">
        <f t="array" ref="AA29">IF(AND($L29&lt;&gt;"",AA$8&lt;&gt;""),COUNTIFS($I$9:$I$59,$L29,$J$9:$J$59,AA$8),0)</f>
        <v>0</v>
      </c>
      <c r="AB29" s="175">
        <f t="array" ref="AB29">IF(AND($L29&lt;&gt;"",AB$8&lt;&gt;""),COUNTIFS($I$9:$I$59,$L29,$J$9:$J$59,AB$8),0)</f>
        <v>0</v>
      </c>
      <c r="AC29" s="175">
        <f t="array" ref="AC29">IF(AND($L29&lt;&gt;"",AC$8&lt;&gt;""),COUNTIFS($I$9:$I$59,$L29,$J$9:$J$59,AC$8),0)</f>
        <v>0</v>
      </c>
      <c r="AD29" s="175">
        <f t="array" ref="AD29">IF(AND($L29&lt;&gt;"",AD$8&lt;&gt;""),COUNTIFS($I$9:$I$59,$L29,$J$9:$J$59,AD$8),0)</f>
        <v>0</v>
      </c>
      <c r="AE29" s="175">
        <f t="array" ref="AE29">IF(AND($L29&lt;&gt;"",AE$8&lt;&gt;""),COUNTIFS($I$9:$I$59,$L29,$J$9:$J$59,AE$8),0)</f>
        <v>0</v>
      </c>
      <c r="AF29" s="175">
        <f t="array" ref="AF29">IF(AND($L29&lt;&gt;"",AF$8&lt;&gt;""),COUNTIFS($I$9:$I$59,$L29,$J$9:$J$59,AF$8),0)</f>
        <v>0</v>
      </c>
      <c r="AG29" s="175">
        <f t="array" ref="AG29">IF(AND($L29&lt;&gt;"",AG$8&lt;&gt;""),COUNTIFS($I$9:$I$59,$L29,$J$9:$J$59,AG$8),0)</f>
        <v>0</v>
      </c>
      <c r="AH29" s="175">
        <f t="array" ref="AH29">IF(AND($L29&lt;&gt;"",AH$8&lt;&gt;""),COUNTIFS($I$9:$I$59,$L29,$J$9:$J$59,AH$8),0)</f>
        <v>0</v>
      </c>
      <c r="AI29" s="175">
        <f t="array" ref="AI29">IF(AND($L29&lt;&gt;"",AI$8&lt;&gt;""),COUNTIFS($I$9:$I$59,$L29,$J$9:$J$59,AI$8),0)</f>
        <v>0</v>
      </c>
      <c r="AJ29" s="175">
        <f t="array" ref="AJ29">IF(AND($L29&lt;&gt;"",AJ$8&lt;&gt;""),COUNTIFS($I$9:$I$59,$L29,$J$9:$J$59,AJ$8),0)</f>
        <v>0</v>
      </c>
      <c r="AK29" s="175">
        <f t="array" ref="AK29">IF(AND($L29&lt;&gt;"",AK$8&lt;&gt;""),COUNTIFS($I$9:$I$59,$L29,$J$9:$J$59,AK$8),0)</f>
        <v>0</v>
      </c>
      <c r="AL29" s="175">
        <f t="array" ref="AL29">IF(AND($L29&lt;&gt;"",AL$8&lt;&gt;""),COUNTIFS($I$9:$I$59,$L29,$J$9:$J$59,AL$8),0)</f>
        <v>0</v>
      </c>
      <c r="AM29" s="175">
        <f t="array" ref="AM29">IF(AND($L29&lt;&gt;"",AM$8&lt;&gt;""),COUNTIFS($I$9:$I$59,$L29,$J$9:$J$59,AM$8),0)</f>
        <v>0</v>
      </c>
      <c r="AN29" s="175">
        <f t="array" ref="AN29">IF(AND($L29&lt;&gt;"",AN$8&lt;&gt;""),COUNTIFS($I$9:$I$59,$L29,$J$9:$J$59,AN$8),0)</f>
        <v>0</v>
      </c>
      <c r="AO29" s="175">
        <f t="array" ref="AO29">IF(AND($L29&lt;&gt;"",AO$8&lt;&gt;""),COUNTIFS($I$9:$I$59,$L29,$J$9:$J$59,AO$8),0)</f>
        <v>0</v>
      </c>
      <c r="AP29" s="175">
        <f t="array" ref="AP29">IF(AND($L29&lt;&gt;"",AP$8&lt;&gt;""),COUNTIFS($I$9:$I$59,$L29,$J$9:$J$59,AP$8),0)</f>
        <v>0</v>
      </c>
      <c r="AQ29" s="175">
        <f t="array" ref="AQ29">IF(AND($L29&lt;&gt;"",AQ$8&lt;&gt;""),COUNTIFS($I$9:$I$59,$L29,$J$9:$J$59,AQ$8),0)</f>
        <v>0</v>
      </c>
      <c r="AR29" s="175">
        <f t="array" ref="AR29">IF(AND($L29&lt;&gt;"",AR$8&lt;&gt;""),COUNTIFS($I$9:$I$59,$L29,$J$9:$J$59,AR$8),0)</f>
        <v>0</v>
      </c>
      <c r="AS29" s="175">
        <f t="array" ref="AS29">IF(AND($L29&lt;&gt;"",AS$8&lt;&gt;""),COUNTIFS($I$9:$I$59,$L29,$J$9:$J$59,AS$8),0)</f>
        <v>0</v>
      </c>
      <c r="AT29" s="175">
        <f t="array" ref="AT29">IF(AND($L29&lt;&gt;"",AT$8&lt;&gt;""),COUNTIFS($I$9:$I$59,$L29,$J$9:$J$59,AT$8),0)</f>
        <v>0</v>
      </c>
      <c r="AU29" s="175">
        <f t="array" ref="AU29">IF(AND($L29&lt;&gt;"",AU$8&lt;&gt;""),COUNTIFS($I$9:$I$59,$L29,$J$9:$J$59,AU$8),0)</f>
        <v>0</v>
      </c>
      <c r="AV29" s="175">
        <f t="array" ref="AV29">IF(AND($L29&lt;&gt;"",AV$8&lt;&gt;""),COUNTIFS($I$9:$I$59,$L29,$J$9:$J$59,AV$8),0)</f>
        <v>0</v>
      </c>
      <c r="AW29" s="175">
        <f t="array" ref="AW29">IF(AND($L29&lt;&gt;"",AW$8&lt;&gt;""),COUNTIFS($I$9:$I$59,$L29,$J$9:$J$59,AW$8),0)</f>
        <v>0</v>
      </c>
      <c r="AX29" s="175">
        <f t="array" ref="AX29">IF(AND($L29&lt;&gt;"",AX$8&lt;&gt;""),COUNTIFS($I$9:$I$59,$L29,$J$9:$J$59,AX$8),0)</f>
        <v>0</v>
      </c>
      <c r="AY29" s="175">
        <f t="array" ref="AY29">IF(AND($L29&lt;&gt;"",AY$8&lt;&gt;""),COUNTIFS($I$9:$I$59,$L29,$J$9:$J$59,AY$8),0)</f>
        <v>0</v>
      </c>
      <c r="AZ29" s="175">
        <f t="array" ref="AZ29">IF(AND($L29&lt;&gt;"",AZ$8&lt;&gt;""),COUNTIFS($I$9:$I$59,$L29,$J$9:$J$59,AZ$8),0)</f>
        <v>0</v>
      </c>
      <c r="BA29" s="175">
        <f t="array" ref="BA29">IF(AND($L29&lt;&gt;"",BA$8&lt;&gt;""),COUNTIFS($I$9:$I$59,$L29,$J$9:$J$59,BA$8),0)</f>
        <v>0</v>
      </c>
      <c r="BB29" s="175">
        <f t="array" ref="BB29">IF(AND($L29&lt;&gt;"",BB$8&lt;&gt;""),COUNTIFS($I$9:$I$59,$L29,$J$9:$J$59,BB$8),0)</f>
        <v>0</v>
      </c>
      <c r="BC29" s="175">
        <f t="array" ref="BC29">IF(AND($L29&lt;&gt;"",BC$8&lt;&gt;""),COUNTIFS($I$9:$I$59,$L29,$J$9:$J$59,BC$8),0)</f>
        <v>0</v>
      </c>
      <c r="BD29" s="175">
        <f t="array" ref="BD29">IF(AND($L29&lt;&gt;"",BD$8&lt;&gt;""),COUNTIFS($I$9:$I$59,$L29,$J$9:$J$59,BD$8),0)</f>
        <v>0</v>
      </c>
      <c r="BE29" s="175">
        <f t="array" ref="BE29">IF(AND($L29&lt;&gt;"",BE$8&lt;&gt;""),COUNTIFS($I$9:$I$59,$L29,$J$9:$J$59,BE$8),0)</f>
        <v>0</v>
      </c>
      <c r="BF29" s="175">
        <f t="array" ref="BF29">IF(AND($L29&lt;&gt;"",BF$8&lt;&gt;""),COUNTIFS($I$9:$I$59,$L29,$J$9:$J$59,BF$8),0)</f>
        <v>0</v>
      </c>
      <c r="BG29" s="175">
        <f t="array" ref="BG29">IF(AND($L29&lt;&gt;"",BG$8&lt;&gt;""),COUNTIFS($I$9:$I$59,$L29,$J$9:$J$59,BG$8),0)</f>
        <v>0</v>
      </c>
      <c r="BH29" s="175">
        <f t="array" ref="BH29">IF(AND($L29&lt;&gt;"",BH$8&lt;&gt;""),COUNTIFS($I$9:$I$59,$L29,$J$9:$J$59,BH$8),0)</f>
        <v>0</v>
      </c>
      <c r="BI29" s="175">
        <f t="array" ref="BI29">IF(AND($L29&lt;&gt;"",BI$8&lt;&gt;""),COUNTIFS($I$9:$I$59,$L29,$J$9:$J$59,BI$8),0)</f>
        <v>0</v>
      </c>
      <c r="BJ29" s="175">
        <f t="array" ref="BJ29">IF(AND($L29&lt;&gt;"",BJ$8&lt;&gt;""),COUNTIFS($I$9:$I$59,$L29,$J$9:$J$59,BJ$8),0)</f>
        <v>0</v>
      </c>
    </row>
    <row r="30" spans="1:62" x14ac:dyDescent="0.2">
      <c r="A30" s="14"/>
      <c r="B30" s="108" t="s">
        <v>58</v>
      </c>
      <c r="C30" s="141"/>
      <c r="D30" s="104"/>
      <c r="E30" s="20"/>
      <c r="F30" s="105"/>
      <c r="G30" s="253"/>
      <c r="H30" s="109"/>
      <c r="I30" s="239" t="str">
        <f t="shared" si="1"/>
        <v/>
      </c>
      <c r="J30" s="168" t="str">
        <f t="shared" si="2"/>
        <v/>
      </c>
      <c r="L30" s="174" t="str">
        <f t="array" ref="L30">IFERROR(INDEX($I$9:$I$59,MATCH(0,COUNTIF($L$8:$L29,$I$9:$I$59),0)),"")</f>
        <v/>
      </c>
      <c r="M30" s="175">
        <f t="array" ref="M30">IF(AND($L30&lt;&gt;"",M$8&lt;&gt;""),COUNTIFS($I$9:$I$59,$L30,$J$9:$J$59,M$8),0)</f>
        <v>0</v>
      </c>
      <c r="N30" s="175">
        <f t="array" ref="N30">IF(AND($L30&lt;&gt;"",N$8&lt;&gt;""),COUNTIFS($I$9:$I$59,$L30,$J$9:$J$59,N$8),0)</f>
        <v>0</v>
      </c>
      <c r="O30" s="175">
        <f t="array" ref="O30">IF(AND($L30&lt;&gt;"",O$8&lt;&gt;""),COUNTIFS($I$9:$I$59,$L30,$J$9:$J$59,O$8),0)</f>
        <v>0</v>
      </c>
      <c r="P30" s="175">
        <f t="array" ref="P30">IF(AND($L30&lt;&gt;"",P$8&lt;&gt;""),COUNTIFS($I$9:$I$59,$L30,$J$9:$J$59,P$8),0)</f>
        <v>0</v>
      </c>
      <c r="Q30" s="175">
        <f t="array" ref="Q30">IF(AND($L30&lt;&gt;"",Q$8&lt;&gt;""),COUNTIFS($I$9:$I$59,$L30,$J$9:$J$59,Q$8),0)</f>
        <v>0</v>
      </c>
      <c r="R30" s="175">
        <f t="array" ref="R30">IF(AND($L30&lt;&gt;"",R$8&lt;&gt;""),COUNTIFS($I$9:$I$59,$L30,$J$9:$J$59,R$8),0)</f>
        <v>0</v>
      </c>
      <c r="S30" s="175">
        <f t="array" ref="S30">IF(AND($L30&lt;&gt;"",S$8&lt;&gt;""),COUNTIFS($I$9:$I$59,$L30,$J$9:$J$59,S$8),0)</f>
        <v>0</v>
      </c>
      <c r="T30" s="175">
        <f t="array" ref="T30">IF(AND($L30&lt;&gt;"",T$8&lt;&gt;""),COUNTIFS($I$9:$I$59,$L30,$J$9:$J$59,T$8),0)</f>
        <v>0</v>
      </c>
      <c r="U30" s="175">
        <f t="array" ref="U30">IF(AND($L30&lt;&gt;"",U$8&lt;&gt;""),COUNTIFS($I$9:$I$59,$L30,$J$9:$J$59,U$8),0)</f>
        <v>0</v>
      </c>
      <c r="V30" s="175">
        <f t="array" ref="V30">IF(AND($L30&lt;&gt;"",V$8&lt;&gt;""),COUNTIFS($I$9:$I$59,$L30,$J$9:$J$59,V$8),0)</f>
        <v>0</v>
      </c>
      <c r="W30" s="175">
        <f t="array" ref="W30">IF(AND($L30&lt;&gt;"",W$8&lt;&gt;""),COUNTIFS($I$9:$I$59,$L30,$J$9:$J$59,W$8),0)</f>
        <v>0</v>
      </c>
      <c r="X30" s="175">
        <f t="array" ref="X30">IF(AND($L30&lt;&gt;"",X$8&lt;&gt;""),COUNTIFS($I$9:$I$59,$L30,$J$9:$J$59,X$8),0)</f>
        <v>0</v>
      </c>
      <c r="Y30" s="175">
        <f t="array" ref="Y30">IF(AND($L30&lt;&gt;"",Y$8&lt;&gt;""),COUNTIFS($I$9:$I$59,$L30,$J$9:$J$59,Y$8),0)</f>
        <v>0</v>
      </c>
      <c r="Z30" s="175">
        <f t="array" ref="Z30">IF(AND($L30&lt;&gt;"",Z$8&lt;&gt;""),COUNTIFS($I$9:$I$59,$L30,$J$9:$J$59,Z$8),0)</f>
        <v>0</v>
      </c>
      <c r="AA30" s="175">
        <f t="array" ref="AA30">IF(AND($L30&lt;&gt;"",AA$8&lt;&gt;""),COUNTIFS($I$9:$I$59,$L30,$J$9:$J$59,AA$8),0)</f>
        <v>0</v>
      </c>
      <c r="AB30" s="175">
        <f t="array" ref="AB30">IF(AND($L30&lt;&gt;"",AB$8&lt;&gt;""),COUNTIFS($I$9:$I$59,$L30,$J$9:$J$59,AB$8),0)</f>
        <v>0</v>
      </c>
      <c r="AC30" s="175">
        <f t="array" ref="AC30">IF(AND($L30&lt;&gt;"",AC$8&lt;&gt;""),COUNTIFS($I$9:$I$59,$L30,$J$9:$J$59,AC$8),0)</f>
        <v>0</v>
      </c>
      <c r="AD30" s="175">
        <f t="array" ref="AD30">IF(AND($L30&lt;&gt;"",AD$8&lt;&gt;""),COUNTIFS($I$9:$I$59,$L30,$J$9:$J$59,AD$8),0)</f>
        <v>0</v>
      </c>
      <c r="AE30" s="175">
        <f t="array" ref="AE30">IF(AND($L30&lt;&gt;"",AE$8&lt;&gt;""),COUNTIFS($I$9:$I$59,$L30,$J$9:$J$59,AE$8),0)</f>
        <v>0</v>
      </c>
      <c r="AF30" s="175">
        <f t="array" ref="AF30">IF(AND($L30&lt;&gt;"",AF$8&lt;&gt;""),COUNTIFS($I$9:$I$59,$L30,$J$9:$J$59,AF$8),0)</f>
        <v>0</v>
      </c>
      <c r="AG30" s="175">
        <f t="array" ref="AG30">IF(AND($L30&lt;&gt;"",AG$8&lt;&gt;""),COUNTIFS($I$9:$I$59,$L30,$J$9:$J$59,AG$8),0)</f>
        <v>0</v>
      </c>
      <c r="AH30" s="175">
        <f t="array" ref="AH30">IF(AND($L30&lt;&gt;"",AH$8&lt;&gt;""),COUNTIFS($I$9:$I$59,$L30,$J$9:$J$59,AH$8),0)</f>
        <v>0</v>
      </c>
      <c r="AI30" s="175">
        <f t="array" ref="AI30">IF(AND($L30&lt;&gt;"",AI$8&lt;&gt;""),COUNTIFS($I$9:$I$59,$L30,$J$9:$J$59,AI$8),0)</f>
        <v>0</v>
      </c>
      <c r="AJ30" s="175">
        <f t="array" ref="AJ30">IF(AND($L30&lt;&gt;"",AJ$8&lt;&gt;""),COUNTIFS($I$9:$I$59,$L30,$J$9:$J$59,AJ$8),0)</f>
        <v>0</v>
      </c>
      <c r="AK30" s="175">
        <f t="array" ref="AK30">IF(AND($L30&lt;&gt;"",AK$8&lt;&gt;""),COUNTIFS($I$9:$I$59,$L30,$J$9:$J$59,AK$8),0)</f>
        <v>0</v>
      </c>
      <c r="AL30" s="175">
        <f t="array" ref="AL30">IF(AND($L30&lt;&gt;"",AL$8&lt;&gt;""),COUNTIFS($I$9:$I$59,$L30,$J$9:$J$59,AL$8),0)</f>
        <v>0</v>
      </c>
      <c r="AM30" s="175">
        <f t="array" ref="AM30">IF(AND($L30&lt;&gt;"",AM$8&lt;&gt;""),COUNTIFS($I$9:$I$59,$L30,$J$9:$J$59,AM$8),0)</f>
        <v>0</v>
      </c>
      <c r="AN30" s="175">
        <f t="array" ref="AN30">IF(AND($L30&lt;&gt;"",AN$8&lt;&gt;""),COUNTIFS($I$9:$I$59,$L30,$J$9:$J$59,AN$8),0)</f>
        <v>0</v>
      </c>
      <c r="AO30" s="175">
        <f t="array" ref="AO30">IF(AND($L30&lt;&gt;"",AO$8&lt;&gt;""),COUNTIFS($I$9:$I$59,$L30,$J$9:$J$59,AO$8),0)</f>
        <v>0</v>
      </c>
      <c r="AP30" s="175">
        <f t="array" ref="AP30">IF(AND($L30&lt;&gt;"",AP$8&lt;&gt;""),COUNTIFS($I$9:$I$59,$L30,$J$9:$J$59,AP$8),0)</f>
        <v>0</v>
      </c>
      <c r="AQ30" s="175">
        <f t="array" ref="AQ30">IF(AND($L30&lt;&gt;"",AQ$8&lt;&gt;""),COUNTIFS($I$9:$I$59,$L30,$J$9:$J$59,AQ$8),0)</f>
        <v>0</v>
      </c>
      <c r="AR30" s="175">
        <f t="array" ref="AR30">IF(AND($L30&lt;&gt;"",AR$8&lt;&gt;""),COUNTIFS($I$9:$I$59,$L30,$J$9:$J$59,AR$8),0)</f>
        <v>0</v>
      </c>
      <c r="AS30" s="175">
        <f t="array" ref="AS30">IF(AND($L30&lt;&gt;"",AS$8&lt;&gt;""),COUNTIFS($I$9:$I$59,$L30,$J$9:$J$59,AS$8),0)</f>
        <v>0</v>
      </c>
      <c r="AT30" s="175">
        <f t="array" ref="AT30">IF(AND($L30&lt;&gt;"",AT$8&lt;&gt;""),COUNTIFS($I$9:$I$59,$L30,$J$9:$J$59,AT$8),0)</f>
        <v>0</v>
      </c>
      <c r="AU30" s="175">
        <f t="array" ref="AU30">IF(AND($L30&lt;&gt;"",AU$8&lt;&gt;""),COUNTIFS($I$9:$I$59,$L30,$J$9:$J$59,AU$8),0)</f>
        <v>0</v>
      </c>
      <c r="AV30" s="175">
        <f t="array" ref="AV30">IF(AND($L30&lt;&gt;"",AV$8&lt;&gt;""),COUNTIFS($I$9:$I$59,$L30,$J$9:$J$59,AV$8),0)</f>
        <v>0</v>
      </c>
      <c r="AW30" s="175">
        <f t="array" ref="AW30">IF(AND($L30&lt;&gt;"",AW$8&lt;&gt;""),COUNTIFS($I$9:$I$59,$L30,$J$9:$J$59,AW$8),0)</f>
        <v>0</v>
      </c>
      <c r="AX30" s="175">
        <f t="array" ref="AX30">IF(AND($L30&lt;&gt;"",AX$8&lt;&gt;""),COUNTIFS($I$9:$I$59,$L30,$J$9:$J$59,AX$8),0)</f>
        <v>0</v>
      </c>
      <c r="AY30" s="175">
        <f t="array" ref="AY30">IF(AND($L30&lt;&gt;"",AY$8&lt;&gt;""),COUNTIFS($I$9:$I$59,$L30,$J$9:$J$59,AY$8),0)</f>
        <v>0</v>
      </c>
      <c r="AZ30" s="175">
        <f t="array" ref="AZ30">IF(AND($L30&lt;&gt;"",AZ$8&lt;&gt;""),COUNTIFS($I$9:$I$59,$L30,$J$9:$J$59,AZ$8),0)</f>
        <v>0</v>
      </c>
      <c r="BA30" s="175">
        <f t="array" ref="BA30">IF(AND($L30&lt;&gt;"",BA$8&lt;&gt;""),COUNTIFS($I$9:$I$59,$L30,$J$9:$J$59,BA$8),0)</f>
        <v>0</v>
      </c>
      <c r="BB30" s="175">
        <f t="array" ref="BB30">IF(AND($L30&lt;&gt;"",BB$8&lt;&gt;""),COUNTIFS($I$9:$I$59,$L30,$J$9:$J$59,BB$8),0)</f>
        <v>0</v>
      </c>
      <c r="BC30" s="175">
        <f t="array" ref="BC30">IF(AND($L30&lt;&gt;"",BC$8&lt;&gt;""),COUNTIFS($I$9:$I$59,$L30,$J$9:$J$59,BC$8),0)</f>
        <v>0</v>
      </c>
      <c r="BD30" s="175">
        <f t="array" ref="BD30">IF(AND($L30&lt;&gt;"",BD$8&lt;&gt;""),COUNTIFS($I$9:$I$59,$L30,$J$9:$J$59,BD$8),0)</f>
        <v>0</v>
      </c>
      <c r="BE30" s="175">
        <f t="array" ref="BE30">IF(AND($L30&lt;&gt;"",BE$8&lt;&gt;""),COUNTIFS($I$9:$I$59,$L30,$J$9:$J$59,BE$8),0)</f>
        <v>0</v>
      </c>
      <c r="BF30" s="175">
        <f t="array" ref="BF30">IF(AND($L30&lt;&gt;"",BF$8&lt;&gt;""),COUNTIFS($I$9:$I$59,$L30,$J$9:$J$59,BF$8),0)</f>
        <v>0</v>
      </c>
      <c r="BG30" s="175">
        <f t="array" ref="BG30">IF(AND($L30&lt;&gt;"",BG$8&lt;&gt;""),COUNTIFS($I$9:$I$59,$L30,$J$9:$J$59,BG$8),0)</f>
        <v>0</v>
      </c>
      <c r="BH30" s="175">
        <f t="array" ref="BH30">IF(AND($L30&lt;&gt;"",BH$8&lt;&gt;""),COUNTIFS($I$9:$I$59,$L30,$J$9:$J$59,BH$8),0)</f>
        <v>0</v>
      </c>
      <c r="BI30" s="175">
        <f t="array" ref="BI30">IF(AND($L30&lt;&gt;"",BI$8&lt;&gt;""),COUNTIFS($I$9:$I$59,$L30,$J$9:$J$59,BI$8),0)</f>
        <v>0</v>
      </c>
      <c r="BJ30" s="175">
        <f t="array" ref="BJ30">IF(AND($L30&lt;&gt;"",BJ$8&lt;&gt;""),COUNTIFS($I$9:$I$59,$L30,$J$9:$J$59,BJ$8),0)</f>
        <v>0</v>
      </c>
    </row>
    <row r="31" spans="1:62" x14ac:dyDescent="0.2">
      <c r="A31" s="14"/>
      <c r="B31" s="108" t="s">
        <v>59</v>
      </c>
      <c r="C31" s="141"/>
      <c r="D31" s="104"/>
      <c r="E31" s="20"/>
      <c r="F31" s="105"/>
      <c r="G31" s="253"/>
      <c r="H31" s="109"/>
      <c r="I31" s="239" t="str">
        <f t="shared" si="1"/>
        <v/>
      </c>
      <c r="J31" s="168" t="str">
        <f t="shared" si="2"/>
        <v/>
      </c>
      <c r="L31" s="174" t="str">
        <f t="array" ref="L31">IFERROR(INDEX($I$9:$I$59,MATCH(0,COUNTIF($L$8:$L30,$I$9:$I$59),0)),"")</f>
        <v/>
      </c>
      <c r="M31" s="175">
        <f t="array" ref="M31">IF(AND($L31&lt;&gt;"",M$8&lt;&gt;""),COUNTIFS($I$9:$I$59,$L31,$J$9:$J$59,M$8),0)</f>
        <v>0</v>
      </c>
      <c r="N31" s="175">
        <f t="array" ref="N31">IF(AND($L31&lt;&gt;"",N$8&lt;&gt;""),COUNTIFS($I$9:$I$59,$L31,$J$9:$J$59,N$8),0)</f>
        <v>0</v>
      </c>
      <c r="O31" s="175">
        <f t="array" ref="O31">IF(AND($L31&lt;&gt;"",O$8&lt;&gt;""),COUNTIFS($I$9:$I$59,$L31,$J$9:$J$59,O$8),0)</f>
        <v>0</v>
      </c>
      <c r="P31" s="175">
        <f t="array" ref="P31">IF(AND($L31&lt;&gt;"",P$8&lt;&gt;""),COUNTIFS($I$9:$I$59,$L31,$J$9:$J$59,P$8),0)</f>
        <v>0</v>
      </c>
      <c r="Q31" s="175">
        <f t="array" ref="Q31">IF(AND($L31&lt;&gt;"",Q$8&lt;&gt;""),COUNTIFS($I$9:$I$59,$L31,$J$9:$J$59,Q$8),0)</f>
        <v>0</v>
      </c>
      <c r="R31" s="175">
        <f t="array" ref="R31">IF(AND($L31&lt;&gt;"",R$8&lt;&gt;""),COUNTIFS($I$9:$I$59,$L31,$J$9:$J$59,R$8),0)</f>
        <v>0</v>
      </c>
      <c r="S31" s="175">
        <f t="array" ref="S31">IF(AND($L31&lt;&gt;"",S$8&lt;&gt;""),COUNTIFS($I$9:$I$59,$L31,$J$9:$J$59,S$8),0)</f>
        <v>0</v>
      </c>
      <c r="T31" s="175">
        <f t="array" ref="T31">IF(AND($L31&lt;&gt;"",T$8&lt;&gt;""),COUNTIFS($I$9:$I$59,$L31,$J$9:$J$59,T$8),0)</f>
        <v>0</v>
      </c>
      <c r="U31" s="175">
        <f t="array" ref="U31">IF(AND($L31&lt;&gt;"",U$8&lt;&gt;""),COUNTIFS($I$9:$I$59,$L31,$J$9:$J$59,U$8),0)</f>
        <v>0</v>
      </c>
      <c r="V31" s="175">
        <f t="array" ref="V31">IF(AND($L31&lt;&gt;"",V$8&lt;&gt;""),COUNTIFS($I$9:$I$59,$L31,$J$9:$J$59,V$8),0)</f>
        <v>0</v>
      </c>
      <c r="W31" s="175">
        <f t="array" ref="W31">IF(AND($L31&lt;&gt;"",W$8&lt;&gt;""),COUNTIFS($I$9:$I$59,$L31,$J$9:$J$59,W$8),0)</f>
        <v>0</v>
      </c>
      <c r="X31" s="175">
        <f t="array" ref="X31">IF(AND($L31&lt;&gt;"",X$8&lt;&gt;""),COUNTIFS($I$9:$I$59,$L31,$J$9:$J$59,X$8),0)</f>
        <v>0</v>
      </c>
      <c r="Y31" s="175">
        <f t="array" ref="Y31">IF(AND($L31&lt;&gt;"",Y$8&lt;&gt;""),COUNTIFS($I$9:$I$59,$L31,$J$9:$J$59,Y$8),0)</f>
        <v>0</v>
      </c>
      <c r="Z31" s="175">
        <f t="array" ref="Z31">IF(AND($L31&lt;&gt;"",Z$8&lt;&gt;""),COUNTIFS($I$9:$I$59,$L31,$J$9:$J$59,Z$8),0)</f>
        <v>0</v>
      </c>
      <c r="AA31" s="175">
        <f t="array" ref="AA31">IF(AND($L31&lt;&gt;"",AA$8&lt;&gt;""),COUNTIFS($I$9:$I$59,$L31,$J$9:$J$59,AA$8),0)</f>
        <v>0</v>
      </c>
      <c r="AB31" s="175">
        <f t="array" ref="AB31">IF(AND($L31&lt;&gt;"",AB$8&lt;&gt;""),COUNTIFS($I$9:$I$59,$L31,$J$9:$J$59,AB$8),0)</f>
        <v>0</v>
      </c>
      <c r="AC31" s="175">
        <f t="array" ref="AC31">IF(AND($L31&lt;&gt;"",AC$8&lt;&gt;""),COUNTIFS($I$9:$I$59,$L31,$J$9:$J$59,AC$8),0)</f>
        <v>0</v>
      </c>
      <c r="AD31" s="175">
        <f t="array" ref="AD31">IF(AND($L31&lt;&gt;"",AD$8&lt;&gt;""),COUNTIFS($I$9:$I$59,$L31,$J$9:$J$59,AD$8),0)</f>
        <v>0</v>
      </c>
      <c r="AE31" s="175">
        <f t="array" ref="AE31">IF(AND($L31&lt;&gt;"",AE$8&lt;&gt;""),COUNTIFS($I$9:$I$59,$L31,$J$9:$J$59,AE$8),0)</f>
        <v>0</v>
      </c>
      <c r="AF31" s="175">
        <f t="array" ref="AF31">IF(AND($L31&lt;&gt;"",AF$8&lt;&gt;""),COUNTIFS($I$9:$I$59,$L31,$J$9:$J$59,AF$8),0)</f>
        <v>0</v>
      </c>
      <c r="AG31" s="175">
        <f t="array" ref="AG31">IF(AND($L31&lt;&gt;"",AG$8&lt;&gt;""),COUNTIFS($I$9:$I$59,$L31,$J$9:$J$59,AG$8),0)</f>
        <v>0</v>
      </c>
      <c r="AH31" s="175">
        <f t="array" ref="AH31">IF(AND($L31&lt;&gt;"",AH$8&lt;&gt;""),COUNTIFS($I$9:$I$59,$L31,$J$9:$J$59,AH$8),0)</f>
        <v>0</v>
      </c>
      <c r="AI31" s="175">
        <f t="array" ref="AI31">IF(AND($L31&lt;&gt;"",AI$8&lt;&gt;""),COUNTIFS($I$9:$I$59,$L31,$J$9:$J$59,AI$8),0)</f>
        <v>0</v>
      </c>
      <c r="AJ31" s="175">
        <f t="array" ref="AJ31">IF(AND($L31&lt;&gt;"",AJ$8&lt;&gt;""),COUNTIFS($I$9:$I$59,$L31,$J$9:$J$59,AJ$8),0)</f>
        <v>0</v>
      </c>
      <c r="AK31" s="175">
        <f t="array" ref="AK31">IF(AND($L31&lt;&gt;"",AK$8&lt;&gt;""),COUNTIFS($I$9:$I$59,$L31,$J$9:$J$59,AK$8),0)</f>
        <v>0</v>
      </c>
      <c r="AL31" s="175">
        <f t="array" ref="AL31">IF(AND($L31&lt;&gt;"",AL$8&lt;&gt;""),COUNTIFS($I$9:$I$59,$L31,$J$9:$J$59,AL$8),0)</f>
        <v>0</v>
      </c>
      <c r="AM31" s="175">
        <f t="array" ref="AM31">IF(AND($L31&lt;&gt;"",AM$8&lt;&gt;""),COUNTIFS($I$9:$I$59,$L31,$J$9:$J$59,AM$8),0)</f>
        <v>0</v>
      </c>
      <c r="AN31" s="175">
        <f t="array" ref="AN31">IF(AND($L31&lt;&gt;"",AN$8&lt;&gt;""),COUNTIFS($I$9:$I$59,$L31,$J$9:$J$59,AN$8),0)</f>
        <v>0</v>
      </c>
      <c r="AO31" s="175">
        <f t="array" ref="AO31">IF(AND($L31&lt;&gt;"",AO$8&lt;&gt;""),COUNTIFS($I$9:$I$59,$L31,$J$9:$J$59,AO$8),0)</f>
        <v>0</v>
      </c>
      <c r="AP31" s="175">
        <f t="array" ref="AP31">IF(AND($L31&lt;&gt;"",AP$8&lt;&gt;""),COUNTIFS($I$9:$I$59,$L31,$J$9:$J$59,AP$8),0)</f>
        <v>0</v>
      </c>
      <c r="AQ31" s="175">
        <f t="array" ref="AQ31">IF(AND($L31&lt;&gt;"",AQ$8&lt;&gt;""),COUNTIFS($I$9:$I$59,$L31,$J$9:$J$59,AQ$8),0)</f>
        <v>0</v>
      </c>
      <c r="AR31" s="175">
        <f t="array" ref="AR31">IF(AND($L31&lt;&gt;"",AR$8&lt;&gt;""),COUNTIFS($I$9:$I$59,$L31,$J$9:$J$59,AR$8),0)</f>
        <v>0</v>
      </c>
      <c r="AS31" s="175">
        <f t="array" ref="AS31">IF(AND($L31&lt;&gt;"",AS$8&lt;&gt;""),COUNTIFS($I$9:$I$59,$L31,$J$9:$J$59,AS$8),0)</f>
        <v>0</v>
      </c>
      <c r="AT31" s="175">
        <f t="array" ref="AT31">IF(AND($L31&lt;&gt;"",AT$8&lt;&gt;""),COUNTIFS($I$9:$I$59,$L31,$J$9:$J$59,AT$8),0)</f>
        <v>0</v>
      </c>
      <c r="AU31" s="175">
        <f t="array" ref="AU31">IF(AND($L31&lt;&gt;"",AU$8&lt;&gt;""),COUNTIFS($I$9:$I$59,$L31,$J$9:$J$59,AU$8),0)</f>
        <v>0</v>
      </c>
      <c r="AV31" s="175">
        <f t="array" ref="AV31">IF(AND($L31&lt;&gt;"",AV$8&lt;&gt;""),COUNTIFS($I$9:$I$59,$L31,$J$9:$J$59,AV$8),0)</f>
        <v>0</v>
      </c>
      <c r="AW31" s="175">
        <f t="array" ref="AW31">IF(AND($L31&lt;&gt;"",AW$8&lt;&gt;""),COUNTIFS($I$9:$I$59,$L31,$J$9:$J$59,AW$8),0)</f>
        <v>0</v>
      </c>
      <c r="AX31" s="175">
        <f t="array" ref="AX31">IF(AND($L31&lt;&gt;"",AX$8&lt;&gt;""),COUNTIFS($I$9:$I$59,$L31,$J$9:$J$59,AX$8),0)</f>
        <v>0</v>
      </c>
      <c r="AY31" s="175">
        <f t="array" ref="AY31">IF(AND($L31&lt;&gt;"",AY$8&lt;&gt;""),COUNTIFS($I$9:$I$59,$L31,$J$9:$J$59,AY$8),0)</f>
        <v>0</v>
      </c>
      <c r="AZ31" s="175">
        <f t="array" ref="AZ31">IF(AND($L31&lt;&gt;"",AZ$8&lt;&gt;""),COUNTIFS($I$9:$I$59,$L31,$J$9:$J$59,AZ$8),0)</f>
        <v>0</v>
      </c>
      <c r="BA31" s="175">
        <f t="array" ref="BA31">IF(AND($L31&lt;&gt;"",BA$8&lt;&gt;""),COUNTIFS($I$9:$I$59,$L31,$J$9:$J$59,BA$8),0)</f>
        <v>0</v>
      </c>
      <c r="BB31" s="175">
        <f t="array" ref="BB31">IF(AND($L31&lt;&gt;"",BB$8&lt;&gt;""),COUNTIFS($I$9:$I$59,$L31,$J$9:$J$59,BB$8),0)</f>
        <v>0</v>
      </c>
      <c r="BC31" s="175">
        <f t="array" ref="BC31">IF(AND($L31&lt;&gt;"",BC$8&lt;&gt;""),COUNTIFS($I$9:$I$59,$L31,$J$9:$J$59,BC$8),0)</f>
        <v>0</v>
      </c>
      <c r="BD31" s="175">
        <f t="array" ref="BD31">IF(AND($L31&lt;&gt;"",BD$8&lt;&gt;""),COUNTIFS($I$9:$I$59,$L31,$J$9:$J$59,BD$8),0)</f>
        <v>0</v>
      </c>
      <c r="BE31" s="175">
        <f t="array" ref="BE31">IF(AND($L31&lt;&gt;"",BE$8&lt;&gt;""),COUNTIFS($I$9:$I$59,$L31,$J$9:$J$59,BE$8),0)</f>
        <v>0</v>
      </c>
      <c r="BF31" s="175">
        <f t="array" ref="BF31">IF(AND($L31&lt;&gt;"",BF$8&lt;&gt;""),COUNTIFS($I$9:$I$59,$L31,$J$9:$J$59,BF$8),0)</f>
        <v>0</v>
      </c>
      <c r="BG31" s="175">
        <f t="array" ref="BG31">IF(AND($L31&lt;&gt;"",BG$8&lt;&gt;""),COUNTIFS($I$9:$I$59,$L31,$J$9:$J$59,BG$8),0)</f>
        <v>0</v>
      </c>
      <c r="BH31" s="175">
        <f t="array" ref="BH31">IF(AND($L31&lt;&gt;"",BH$8&lt;&gt;""),COUNTIFS($I$9:$I$59,$L31,$J$9:$J$59,BH$8),0)</f>
        <v>0</v>
      </c>
      <c r="BI31" s="175">
        <f t="array" ref="BI31">IF(AND($L31&lt;&gt;"",BI$8&lt;&gt;""),COUNTIFS($I$9:$I$59,$L31,$J$9:$J$59,BI$8),0)</f>
        <v>0</v>
      </c>
      <c r="BJ31" s="175">
        <f t="array" ref="BJ31">IF(AND($L31&lt;&gt;"",BJ$8&lt;&gt;""),COUNTIFS($I$9:$I$59,$L31,$J$9:$J$59,BJ$8),0)</f>
        <v>0</v>
      </c>
    </row>
    <row r="32" spans="1:62" x14ac:dyDescent="0.2">
      <c r="A32" s="14"/>
      <c r="B32" s="108" t="s">
        <v>60</v>
      </c>
      <c r="C32" s="141"/>
      <c r="D32" s="104"/>
      <c r="E32" s="20"/>
      <c r="F32" s="105"/>
      <c r="G32" s="253"/>
      <c r="H32" s="109"/>
      <c r="I32" s="239" t="str">
        <f t="shared" si="1"/>
        <v/>
      </c>
      <c r="J32" s="168" t="str">
        <f t="shared" si="2"/>
        <v/>
      </c>
      <c r="L32" s="174" t="str">
        <f t="array" ref="L32">IFERROR(INDEX($I$9:$I$59,MATCH(0,COUNTIF($L$8:$L31,$I$9:$I$59),0)),"")</f>
        <v/>
      </c>
      <c r="M32" s="175">
        <f t="array" ref="M32">IF(AND($L32&lt;&gt;"",M$8&lt;&gt;""),COUNTIFS($I$9:$I$59,$L32,$J$9:$J$59,M$8),0)</f>
        <v>0</v>
      </c>
      <c r="N32" s="175">
        <f t="array" ref="N32">IF(AND($L32&lt;&gt;"",N$8&lt;&gt;""),COUNTIFS($I$9:$I$59,$L32,$J$9:$J$59,N$8),0)</f>
        <v>0</v>
      </c>
      <c r="O32" s="175">
        <f t="array" ref="O32">IF(AND($L32&lt;&gt;"",O$8&lt;&gt;""),COUNTIFS($I$9:$I$59,$L32,$J$9:$J$59,O$8),0)</f>
        <v>0</v>
      </c>
      <c r="P32" s="175">
        <f t="array" ref="P32">IF(AND($L32&lt;&gt;"",P$8&lt;&gt;""),COUNTIFS($I$9:$I$59,$L32,$J$9:$J$59,P$8),0)</f>
        <v>0</v>
      </c>
      <c r="Q32" s="175">
        <f t="array" ref="Q32">IF(AND($L32&lt;&gt;"",Q$8&lt;&gt;""),COUNTIFS($I$9:$I$59,$L32,$J$9:$J$59,Q$8),0)</f>
        <v>0</v>
      </c>
      <c r="R32" s="175">
        <f t="array" ref="R32">IF(AND($L32&lt;&gt;"",R$8&lt;&gt;""),COUNTIFS($I$9:$I$59,$L32,$J$9:$J$59,R$8),0)</f>
        <v>0</v>
      </c>
      <c r="S32" s="175">
        <f t="array" ref="S32">IF(AND($L32&lt;&gt;"",S$8&lt;&gt;""),COUNTIFS($I$9:$I$59,$L32,$J$9:$J$59,S$8),0)</f>
        <v>0</v>
      </c>
      <c r="T32" s="175">
        <f t="array" ref="T32">IF(AND($L32&lt;&gt;"",T$8&lt;&gt;""),COUNTIFS($I$9:$I$59,$L32,$J$9:$J$59,T$8),0)</f>
        <v>0</v>
      </c>
      <c r="U32" s="175">
        <f t="array" ref="U32">IF(AND($L32&lt;&gt;"",U$8&lt;&gt;""),COUNTIFS($I$9:$I$59,$L32,$J$9:$J$59,U$8),0)</f>
        <v>0</v>
      </c>
      <c r="V32" s="175">
        <f t="array" ref="V32">IF(AND($L32&lt;&gt;"",V$8&lt;&gt;""),COUNTIFS($I$9:$I$59,$L32,$J$9:$J$59,V$8),0)</f>
        <v>0</v>
      </c>
      <c r="W32" s="175">
        <f t="array" ref="W32">IF(AND($L32&lt;&gt;"",W$8&lt;&gt;""),COUNTIFS($I$9:$I$59,$L32,$J$9:$J$59,W$8),0)</f>
        <v>0</v>
      </c>
      <c r="X32" s="175">
        <f t="array" ref="X32">IF(AND($L32&lt;&gt;"",X$8&lt;&gt;""),COUNTIFS($I$9:$I$59,$L32,$J$9:$J$59,X$8),0)</f>
        <v>0</v>
      </c>
      <c r="Y32" s="175">
        <f t="array" ref="Y32">IF(AND($L32&lt;&gt;"",Y$8&lt;&gt;""),COUNTIFS($I$9:$I$59,$L32,$J$9:$J$59,Y$8),0)</f>
        <v>0</v>
      </c>
      <c r="Z32" s="175">
        <f t="array" ref="Z32">IF(AND($L32&lt;&gt;"",Z$8&lt;&gt;""),COUNTIFS($I$9:$I$59,$L32,$J$9:$J$59,Z$8),0)</f>
        <v>0</v>
      </c>
      <c r="AA32" s="175">
        <f t="array" ref="AA32">IF(AND($L32&lt;&gt;"",AA$8&lt;&gt;""),COUNTIFS($I$9:$I$59,$L32,$J$9:$J$59,AA$8),0)</f>
        <v>0</v>
      </c>
      <c r="AB32" s="175">
        <f t="array" ref="AB32">IF(AND($L32&lt;&gt;"",AB$8&lt;&gt;""),COUNTIFS($I$9:$I$59,$L32,$J$9:$J$59,AB$8),0)</f>
        <v>0</v>
      </c>
      <c r="AC32" s="175">
        <f t="array" ref="AC32">IF(AND($L32&lt;&gt;"",AC$8&lt;&gt;""),COUNTIFS($I$9:$I$59,$L32,$J$9:$J$59,AC$8),0)</f>
        <v>0</v>
      </c>
      <c r="AD32" s="175">
        <f t="array" ref="AD32">IF(AND($L32&lt;&gt;"",AD$8&lt;&gt;""),COUNTIFS($I$9:$I$59,$L32,$J$9:$J$59,AD$8),0)</f>
        <v>0</v>
      </c>
      <c r="AE32" s="175">
        <f t="array" ref="AE32">IF(AND($L32&lt;&gt;"",AE$8&lt;&gt;""),COUNTIFS($I$9:$I$59,$L32,$J$9:$J$59,AE$8),0)</f>
        <v>0</v>
      </c>
      <c r="AF32" s="175">
        <f t="array" ref="AF32">IF(AND($L32&lt;&gt;"",AF$8&lt;&gt;""),COUNTIFS($I$9:$I$59,$L32,$J$9:$J$59,AF$8),0)</f>
        <v>0</v>
      </c>
      <c r="AG32" s="175">
        <f t="array" ref="AG32">IF(AND($L32&lt;&gt;"",AG$8&lt;&gt;""),COUNTIFS($I$9:$I$59,$L32,$J$9:$J$59,AG$8),0)</f>
        <v>0</v>
      </c>
      <c r="AH32" s="175">
        <f t="array" ref="AH32">IF(AND($L32&lt;&gt;"",AH$8&lt;&gt;""),COUNTIFS($I$9:$I$59,$L32,$J$9:$J$59,AH$8),0)</f>
        <v>0</v>
      </c>
      <c r="AI32" s="175">
        <f t="array" ref="AI32">IF(AND($L32&lt;&gt;"",AI$8&lt;&gt;""),COUNTIFS($I$9:$I$59,$L32,$J$9:$J$59,AI$8),0)</f>
        <v>0</v>
      </c>
      <c r="AJ32" s="175">
        <f t="array" ref="AJ32">IF(AND($L32&lt;&gt;"",AJ$8&lt;&gt;""),COUNTIFS($I$9:$I$59,$L32,$J$9:$J$59,AJ$8),0)</f>
        <v>0</v>
      </c>
      <c r="AK32" s="175">
        <f t="array" ref="AK32">IF(AND($L32&lt;&gt;"",AK$8&lt;&gt;""),COUNTIFS($I$9:$I$59,$L32,$J$9:$J$59,AK$8),0)</f>
        <v>0</v>
      </c>
      <c r="AL32" s="175">
        <f t="array" ref="AL32">IF(AND($L32&lt;&gt;"",AL$8&lt;&gt;""),COUNTIFS($I$9:$I$59,$L32,$J$9:$J$59,AL$8),0)</f>
        <v>0</v>
      </c>
      <c r="AM32" s="175">
        <f t="array" ref="AM32">IF(AND($L32&lt;&gt;"",AM$8&lt;&gt;""),COUNTIFS($I$9:$I$59,$L32,$J$9:$J$59,AM$8),0)</f>
        <v>0</v>
      </c>
      <c r="AN32" s="175">
        <f t="array" ref="AN32">IF(AND($L32&lt;&gt;"",AN$8&lt;&gt;""),COUNTIFS($I$9:$I$59,$L32,$J$9:$J$59,AN$8),0)</f>
        <v>0</v>
      </c>
      <c r="AO32" s="175">
        <f t="array" ref="AO32">IF(AND($L32&lt;&gt;"",AO$8&lt;&gt;""),COUNTIFS($I$9:$I$59,$L32,$J$9:$J$59,AO$8),0)</f>
        <v>0</v>
      </c>
      <c r="AP32" s="175">
        <f t="array" ref="AP32">IF(AND($L32&lt;&gt;"",AP$8&lt;&gt;""),COUNTIFS($I$9:$I$59,$L32,$J$9:$J$59,AP$8),0)</f>
        <v>0</v>
      </c>
      <c r="AQ32" s="175">
        <f t="array" ref="AQ32">IF(AND($L32&lt;&gt;"",AQ$8&lt;&gt;""),COUNTIFS($I$9:$I$59,$L32,$J$9:$J$59,AQ$8),0)</f>
        <v>0</v>
      </c>
      <c r="AR32" s="175">
        <f t="array" ref="AR32">IF(AND($L32&lt;&gt;"",AR$8&lt;&gt;""),COUNTIFS($I$9:$I$59,$L32,$J$9:$J$59,AR$8),0)</f>
        <v>0</v>
      </c>
      <c r="AS32" s="175">
        <f t="array" ref="AS32">IF(AND($L32&lt;&gt;"",AS$8&lt;&gt;""),COUNTIFS($I$9:$I$59,$L32,$J$9:$J$59,AS$8),0)</f>
        <v>0</v>
      </c>
      <c r="AT32" s="175">
        <f t="array" ref="AT32">IF(AND($L32&lt;&gt;"",AT$8&lt;&gt;""),COUNTIFS($I$9:$I$59,$L32,$J$9:$J$59,AT$8),0)</f>
        <v>0</v>
      </c>
      <c r="AU32" s="175">
        <f t="array" ref="AU32">IF(AND($L32&lt;&gt;"",AU$8&lt;&gt;""),COUNTIFS($I$9:$I$59,$L32,$J$9:$J$59,AU$8),0)</f>
        <v>0</v>
      </c>
      <c r="AV32" s="175">
        <f t="array" ref="AV32">IF(AND($L32&lt;&gt;"",AV$8&lt;&gt;""),COUNTIFS($I$9:$I$59,$L32,$J$9:$J$59,AV$8),0)</f>
        <v>0</v>
      </c>
      <c r="AW32" s="175">
        <f t="array" ref="AW32">IF(AND($L32&lt;&gt;"",AW$8&lt;&gt;""),COUNTIFS($I$9:$I$59,$L32,$J$9:$J$59,AW$8),0)</f>
        <v>0</v>
      </c>
      <c r="AX32" s="175">
        <f t="array" ref="AX32">IF(AND($L32&lt;&gt;"",AX$8&lt;&gt;""),COUNTIFS($I$9:$I$59,$L32,$J$9:$J$59,AX$8),0)</f>
        <v>0</v>
      </c>
      <c r="AY32" s="175">
        <f t="array" ref="AY32">IF(AND($L32&lt;&gt;"",AY$8&lt;&gt;""),COUNTIFS($I$9:$I$59,$L32,$J$9:$J$59,AY$8),0)</f>
        <v>0</v>
      </c>
      <c r="AZ32" s="175">
        <f t="array" ref="AZ32">IF(AND($L32&lt;&gt;"",AZ$8&lt;&gt;""),COUNTIFS($I$9:$I$59,$L32,$J$9:$J$59,AZ$8),0)</f>
        <v>0</v>
      </c>
      <c r="BA32" s="175">
        <f t="array" ref="BA32">IF(AND($L32&lt;&gt;"",BA$8&lt;&gt;""),COUNTIFS($I$9:$I$59,$L32,$J$9:$J$59,BA$8),0)</f>
        <v>0</v>
      </c>
      <c r="BB32" s="175">
        <f t="array" ref="BB32">IF(AND($L32&lt;&gt;"",BB$8&lt;&gt;""),COUNTIFS($I$9:$I$59,$L32,$J$9:$J$59,BB$8),0)</f>
        <v>0</v>
      </c>
      <c r="BC32" s="175">
        <f t="array" ref="BC32">IF(AND($L32&lt;&gt;"",BC$8&lt;&gt;""),COUNTIFS($I$9:$I$59,$L32,$J$9:$J$59,BC$8),0)</f>
        <v>0</v>
      </c>
      <c r="BD32" s="175">
        <f t="array" ref="BD32">IF(AND($L32&lt;&gt;"",BD$8&lt;&gt;""),COUNTIFS($I$9:$I$59,$L32,$J$9:$J$59,BD$8),0)</f>
        <v>0</v>
      </c>
      <c r="BE32" s="175">
        <f t="array" ref="BE32">IF(AND($L32&lt;&gt;"",BE$8&lt;&gt;""),COUNTIFS($I$9:$I$59,$L32,$J$9:$J$59,BE$8),0)</f>
        <v>0</v>
      </c>
      <c r="BF32" s="175">
        <f t="array" ref="BF32">IF(AND($L32&lt;&gt;"",BF$8&lt;&gt;""),COUNTIFS($I$9:$I$59,$L32,$J$9:$J$59,BF$8),0)</f>
        <v>0</v>
      </c>
      <c r="BG32" s="175">
        <f t="array" ref="BG32">IF(AND($L32&lt;&gt;"",BG$8&lt;&gt;""),COUNTIFS($I$9:$I$59,$L32,$J$9:$J$59,BG$8),0)</f>
        <v>0</v>
      </c>
      <c r="BH32" s="175">
        <f t="array" ref="BH32">IF(AND($L32&lt;&gt;"",BH$8&lt;&gt;""),COUNTIFS($I$9:$I$59,$L32,$J$9:$J$59,BH$8),0)</f>
        <v>0</v>
      </c>
      <c r="BI32" s="175">
        <f t="array" ref="BI32">IF(AND($L32&lt;&gt;"",BI$8&lt;&gt;""),COUNTIFS($I$9:$I$59,$L32,$J$9:$J$59,BI$8),0)</f>
        <v>0</v>
      </c>
      <c r="BJ32" s="175">
        <f t="array" ref="BJ32">IF(AND($L32&lt;&gt;"",BJ$8&lt;&gt;""),COUNTIFS($I$9:$I$59,$L32,$J$9:$J$59,BJ$8),0)</f>
        <v>0</v>
      </c>
    </row>
    <row r="33" spans="1:62" x14ac:dyDescent="0.2">
      <c r="A33" s="14"/>
      <c r="B33" s="108" t="s">
        <v>61</v>
      </c>
      <c r="C33" s="141"/>
      <c r="D33" s="104"/>
      <c r="E33" s="20"/>
      <c r="F33" s="105"/>
      <c r="G33" s="253"/>
      <c r="H33" s="109"/>
      <c r="I33" s="239" t="str">
        <f t="shared" si="1"/>
        <v/>
      </c>
      <c r="J33" s="168" t="str">
        <f t="shared" si="2"/>
        <v/>
      </c>
      <c r="L33" s="174" t="str">
        <f t="array" ref="L33">IFERROR(INDEX($I$9:$I$59,MATCH(0,COUNTIF($L$8:$L32,$I$9:$I$59),0)),"")</f>
        <v/>
      </c>
      <c r="M33" s="175">
        <f t="array" ref="M33">IF(AND($L33&lt;&gt;"",M$8&lt;&gt;""),COUNTIFS($I$9:$I$59,$L33,$J$9:$J$59,M$8),0)</f>
        <v>0</v>
      </c>
      <c r="N33" s="175">
        <f t="array" ref="N33">IF(AND($L33&lt;&gt;"",N$8&lt;&gt;""),COUNTIFS($I$9:$I$59,$L33,$J$9:$J$59,N$8),0)</f>
        <v>0</v>
      </c>
      <c r="O33" s="175">
        <f t="array" ref="O33">IF(AND($L33&lt;&gt;"",O$8&lt;&gt;""),COUNTIFS($I$9:$I$59,$L33,$J$9:$J$59,O$8),0)</f>
        <v>0</v>
      </c>
      <c r="P33" s="175">
        <f t="array" ref="P33">IF(AND($L33&lt;&gt;"",P$8&lt;&gt;""),COUNTIFS($I$9:$I$59,$L33,$J$9:$J$59,P$8),0)</f>
        <v>0</v>
      </c>
      <c r="Q33" s="175">
        <f t="array" ref="Q33">IF(AND($L33&lt;&gt;"",Q$8&lt;&gt;""),COUNTIFS($I$9:$I$59,$L33,$J$9:$J$59,Q$8),0)</f>
        <v>0</v>
      </c>
      <c r="R33" s="175">
        <f t="array" ref="R33">IF(AND($L33&lt;&gt;"",R$8&lt;&gt;""),COUNTIFS($I$9:$I$59,$L33,$J$9:$J$59,R$8),0)</f>
        <v>0</v>
      </c>
      <c r="S33" s="175">
        <f t="array" ref="S33">IF(AND($L33&lt;&gt;"",S$8&lt;&gt;""),COUNTIFS($I$9:$I$59,$L33,$J$9:$J$59,S$8),0)</f>
        <v>0</v>
      </c>
      <c r="T33" s="175">
        <f t="array" ref="T33">IF(AND($L33&lt;&gt;"",T$8&lt;&gt;""),COUNTIFS($I$9:$I$59,$L33,$J$9:$J$59,T$8),0)</f>
        <v>0</v>
      </c>
      <c r="U33" s="175">
        <f t="array" ref="U33">IF(AND($L33&lt;&gt;"",U$8&lt;&gt;""),COUNTIFS($I$9:$I$59,$L33,$J$9:$J$59,U$8),0)</f>
        <v>0</v>
      </c>
      <c r="V33" s="175">
        <f t="array" ref="V33">IF(AND($L33&lt;&gt;"",V$8&lt;&gt;""),COUNTIFS($I$9:$I$59,$L33,$J$9:$J$59,V$8),0)</f>
        <v>0</v>
      </c>
      <c r="W33" s="175">
        <f t="array" ref="W33">IF(AND($L33&lt;&gt;"",W$8&lt;&gt;""),COUNTIFS($I$9:$I$59,$L33,$J$9:$J$59,W$8),0)</f>
        <v>0</v>
      </c>
      <c r="X33" s="175">
        <f t="array" ref="X33">IF(AND($L33&lt;&gt;"",X$8&lt;&gt;""),COUNTIFS($I$9:$I$59,$L33,$J$9:$J$59,X$8),0)</f>
        <v>0</v>
      </c>
      <c r="Y33" s="175">
        <f t="array" ref="Y33">IF(AND($L33&lt;&gt;"",Y$8&lt;&gt;""),COUNTIFS($I$9:$I$59,$L33,$J$9:$J$59,Y$8),0)</f>
        <v>0</v>
      </c>
      <c r="Z33" s="175">
        <f t="array" ref="Z33">IF(AND($L33&lt;&gt;"",Z$8&lt;&gt;""),COUNTIFS($I$9:$I$59,$L33,$J$9:$J$59,Z$8),0)</f>
        <v>0</v>
      </c>
      <c r="AA33" s="175">
        <f t="array" ref="AA33">IF(AND($L33&lt;&gt;"",AA$8&lt;&gt;""),COUNTIFS($I$9:$I$59,$L33,$J$9:$J$59,AA$8),0)</f>
        <v>0</v>
      </c>
      <c r="AB33" s="175">
        <f t="array" ref="AB33">IF(AND($L33&lt;&gt;"",AB$8&lt;&gt;""),COUNTIFS($I$9:$I$59,$L33,$J$9:$J$59,AB$8),0)</f>
        <v>0</v>
      </c>
      <c r="AC33" s="175">
        <f t="array" ref="AC33">IF(AND($L33&lt;&gt;"",AC$8&lt;&gt;""),COUNTIFS($I$9:$I$59,$L33,$J$9:$J$59,AC$8),0)</f>
        <v>0</v>
      </c>
      <c r="AD33" s="175">
        <f t="array" ref="AD33">IF(AND($L33&lt;&gt;"",AD$8&lt;&gt;""),COUNTIFS($I$9:$I$59,$L33,$J$9:$J$59,AD$8),0)</f>
        <v>0</v>
      </c>
      <c r="AE33" s="175">
        <f t="array" ref="AE33">IF(AND($L33&lt;&gt;"",AE$8&lt;&gt;""),COUNTIFS($I$9:$I$59,$L33,$J$9:$J$59,AE$8),0)</f>
        <v>0</v>
      </c>
      <c r="AF33" s="175">
        <f t="array" ref="AF33">IF(AND($L33&lt;&gt;"",AF$8&lt;&gt;""),COUNTIFS($I$9:$I$59,$L33,$J$9:$J$59,AF$8),0)</f>
        <v>0</v>
      </c>
      <c r="AG33" s="175">
        <f t="array" ref="AG33">IF(AND($L33&lt;&gt;"",AG$8&lt;&gt;""),COUNTIFS($I$9:$I$59,$L33,$J$9:$J$59,AG$8),0)</f>
        <v>0</v>
      </c>
      <c r="AH33" s="175">
        <f t="array" ref="AH33">IF(AND($L33&lt;&gt;"",AH$8&lt;&gt;""),COUNTIFS($I$9:$I$59,$L33,$J$9:$J$59,AH$8),0)</f>
        <v>0</v>
      </c>
      <c r="AI33" s="175">
        <f t="array" ref="AI33">IF(AND($L33&lt;&gt;"",AI$8&lt;&gt;""),COUNTIFS($I$9:$I$59,$L33,$J$9:$J$59,AI$8),0)</f>
        <v>0</v>
      </c>
      <c r="AJ33" s="175">
        <f t="array" ref="AJ33">IF(AND($L33&lt;&gt;"",AJ$8&lt;&gt;""),COUNTIFS($I$9:$I$59,$L33,$J$9:$J$59,AJ$8),0)</f>
        <v>0</v>
      </c>
      <c r="AK33" s="175">
        <f t="array" ref="AK33">IF(AND($L33&lt;&gt;"",AK$8&lt;&gt;""),COUNTIFS($I$9:$I$59,$L33,$J$9:$J$59,AK$8),0)</f>
        <v>0</v>
      </c>
      <c r="AL33" s="175">
        <f t="array" ref="AL33">IF(AND($L33&lt;&gt;"",AL$8&lt;&gt;""),COUNTIFS($I$9:$I$59,$L33,$J$9:$J$59,AL$8),0)</f>
        <v>0</v>
      </c>
      <c r="AM33" s="175">
        <f t="array" ref="AM33">IF(AND($L33&lt;&gt;"",AM$8&lt;&gt;""),COUNTIFS($I$9:$I$59,$L33,$J$9:$J$59,AM$8),0)</f>
        <v>0</v>
      </c>
      <c r="AN33" s="175">
        <f t="array" ref="AN33">IF(AND($L33&lt;&gt;"",AN$8&lt;&gt;""),COUNTIFS($I$9:$I$59,$L33,$J$9:$J$59,AN$8),0)</f>
        <v>0</v>
      </c>
      <c r="AO33" s="175">
        <f t="array" ref="AO33">IF(AND($L33&lt;&gt;"",AO$8&lt;&gt;""),COUNTIFS($I$9:$I$59,$L33,$J$9:$J$59,AO$8),0)</f>
        <v>0</v>
      </c>
      <c r="AP33" s="175">
        <f t="array" ref="AP33">IF(AND($L33&lt;&gt;"",AP$8&lt;&gt;""),COUNTIFS($I$9:$I$59,$L33,$J$9:$J$59,AP$8),0)</f>
        <v>0</v>
      </c>
      <c r="AQ33" s="175">
        <f t="array" ref="AQ33">IF(AND($L33&lt;&gt;"",AQ$8&lt;&gt;""),COUNTIFS($I$9:$I$59,$L33,$J$9:$J$59,AQ$8),0)</f>
        <v>0</v>
      </c>
      <c r="AR33" s="175">
        <f t="array" ref="AR33">IF(AND($L33&lt;&gt;"",AR$8&lt;&gt;""),COUNTIFS($I$9:$I$59,$L33,$J$9:$J$59,AR$8),0)</f>
        <v>0</v>
      </c>
      <c r="AS33" s="175">
        <f t="array" ref="AS33">IF(AND($L33&lt;&gt;"",AS$8&lt;&gt;""),COUNTIFS($I$9:$I$59,$L33,$J$9:$J$59,AS$8),0)</f>
        <v>0</v>
      </c>
      <c r="AT33" s="175">
        <f t="array" ref="AT33">IF(AND($L33&lt;&gt;"",AT$8&lt;&gt;""),COUNTIFS($I$9:$I$59,$L33,$J$9:$J$59,AT$8),0)</f>
        <v>0</v>
      </c>
      <c r="AU33" s="175">
        <f t="array" ref="AU33">IF(AND($L33&lt;&gt;"",AU$8&lt;&gt;""),COUNTIFS($I$9:$I$59,$L33,$J$9:$J$59,AU$8),0)</f>
        <v>0</v>
      </c>
      <c r="AV33" s="175">
        <f t="array" ref="AV33">IF(AND($L33&lt;&gt;"",AV$8&lt;&gt;""),COUNTIFS($I$9:$I$59,$L33,$J$9:$J$59,AV$8),0)</f>
        <v>0</v>
      </c>
      <c r="AW33" s="175">
        <f t="array" ref="AW33">IF(AND($L33&lt;&gt;"",AW$8&lt;&gt;""),COUNTIFS($I$9:$I$59,$L33,$J$9:$J$59,AW$8),0)</f>
        <v>0</v>
      </c>
      <c r="AX33" s="175">
        <f t="array" ref="AX33">IF(AND($L33&lt;&gt;"",AX$8&lt;&gt;""),COUNTIFS($I$9:$I$59,$L33,$J$9:$J$59,AX$8),0)</f>
        <v>0</v>
      </c>
      <c r="AY33" s="175">
        <f t="array" ref="AY33">IF(AND($L33&lt;&gt;"",AY$8&lt;&gt;""),COUNTIFS($I$9:$I$59,$L33,$J$9:$J$59,AY$8),0)</f>
        <v>0</v>
      </c>
      <c r="AZ33" s="175">
        <f t="array" ref="AZ33">IF(AND($L33&lt;&gt;"",AZ$8&lt;&gt;""),COUNTIFS($I$9:$I$59,$L33,$J$9:$J$59,AZ$8),0)</f>
        <v>0</v>
      </c>
      <c r="BA33" s="175">
        <f t="array" ref="BA33">IF(AND($L33&lt;&gt;"",BA$8&lt;&gt;""),COUNTIFS($I$9:$I$59,$L33,$J$9:$J$59,BA$8),0)</f>
        <v>0</v>
      </c>
      <c r="BB33" s="175">
        <f t="array" ref="BB33">IF(AND($L33&lt;&gt;"",BB$8&lt;&gt;""),COUNTIFS($I$9:$I$59,$L33,$J$9:$J$59,BB$8),0)</f>
        <v>0</v>
      </c>
      <c r="BC33" s="175">
        <f t="array" ref="BC33">IF(AND($L33&lt;&gt;"",BC$8&lt;&gt;""),COUNTIFS($I$9:$I$59,$L33,$J$9:$J$59,BC$8),0)</f>
        <v>0</v>
      </c>
      <c r="BD33" s="175">
        <f t="array" ref="BD33">IF(AND($L33&lt;&gt;"",BD$8&lt;&gt;""),COUNTIFS($I$9:$I$59,$L33,$J$9:$J$59,BD$8),0)</f>
        <v>0</v>
      </c>
      <c r="BE33" s="175">
        <f t="array" ref="BE33">IF(AND($L33&lt;&gt;"",BE$8&lt;&gt;""),COUNTIFS($I$9:$I$59,$L33,$J$9:$J$59,BE$8),0)</f>
        <v>0</v>
      </c>
      <c r="BF33" s="175">
        <f t="array" ref="BF33">IF(AND($L33&lt;&gt;"",BF$8&lt;&gt;""),COUNTIFS($I$9:$I$59,$L33,$J$9:$J$59,BF$8),0)</f>
        <v>0</v>
      </c>
      <c r="BG33" s="175">
        <f t="array" ref="BG33">IF(AND($L33&lt;&gt;"",BG$8&lt;&gt;""),COUNTIFS($I$9:$I$59,$L33,$J$9:$J$59,BG$8),0)</f>
        <v>0</v>
      </c>
      <c r="BH33" s="175">
        <f t="array" ref="BH33">IF(AND($L33&lt;&gt;"",BH$8&lt;&gt;""),COUNTIFS($I$9:$I$59,$L33,$J$9:$J$59,BH$8),0)</f>
        <v>0</v>
      </c>
      <c r="BI33" s="175">
        <f t="array" ref="BI33">IF(AND($L33&lt;&gt;"",BI$8&lt;&gt;""),COUNTIFS($I$9:$I$59,$L33,$J$9:$J$59,BI$8),0)</f>
        <v>0</v>
      </c>
      <c r="BJ33" s="175">
        <f t="array" ref="BJ33">IF(AND($L33&lt;&gt;"",BJ$8&lt;&gt;""),COUNTIFS($I$9:$I$59,$L33,$J$9:$J$59,BJ$8),0)</f>
        <v>0</v>
      </c>
    </row>
    <row r="34" spans="1:62" x14ac:dyDescent="0.2">
      <c r="A34" s="14"/>
      <c r="B34" s="108" t="s">
        <v>62</v>
      </c>
      <c r="C34" s="141"/>
      <c r="D34" s="104"/>
      <c r="E34" s="20"/>
      <c r="F34" s="105"/>
      <c r="G34" s="253"/>
      <c r="H34" s="109"/>
      <c r="I34" s="239" t="str">
        <f t="shared" si="1"/>
        <v/>
      </c>
      <c r="J34" s="168" t="str">
        <f t="shared" si="2"/>
        <v/>
      </c>
      <c r="L34" s="174" t="str">
        <f t="array" ref="L34">IFERROR(INDEX($I$9:$I$59,MATCH(0,COUNTIF($L$8:$L33,$I$9:$I$59),0)),"")</f>
        <v/>
      </c>
      <c r="M34" s="175">
        <f t="array" ref="M34">IF(AND($L34&lt;&gt;"",M$8&lt;&gt;""),COUNTIFS($I$9:$I$59,$L34,$J$9:$J$59,M$8),0)</f>
        <v>0</v>
      </c>
      <c r="N34" s="175">
        <f t="array" ref="N34">IF(AND($L34&lt;&gt;"",N$8&lt;&gt;""),COUNTIFS($I$9:$I$59,$L34,$J$9:$J$59,N$8),0)</f>
        <v>0</v>
      </c>
      <c r="O34" s="175">
        <f t="array" ref="O34">IF(AND($L34&lt;&gt;"",O$8&lt;&gt;""),COUNTIFS($I$9:$I$59,$L34,$J$9:$J$59,O$8),0)</f>
        <v>0</v>
      </c>
      <c r="P34" s="175">
        <f t="array" ref="P34">IF(AND($L34&lt;&gt;"",P$8&lt;&gt;""),COUNTIFS($I$9:$I$59,$L34,$J$9:$J$59,P$8),0)</f>
        <v>0</v>
      </c>
      <c r="Q34" s="175">
        <f t="array" ref="Q34">IF(AND($L34&lt;&gt;"",Q$8&lt;&gt;""),COUNTIFS($I$9:$I$59,$L34,$J$9:$J$59,Q$8),0)</f>
        <v>0</v>
      </c>
      <c r="R34" s="175">
        <f t="array" ref="R34">IF(AND($L34&lt;&gt;"",R$8&lt;&gt;""),COUNTIFS($I$9:$I$59,$L34,$J$9:$J$59,R$8),0)</f>
        <v>0</v>
      </c>
      <c r="S34" s="175">
        <f t="array" ref="S34">IF(AND($L34&lt;&gt;"",S$8&lt;&gt;""),COUNTIFS($I$9:$I$59,$L34,$J$9:$J$59,S$8),0)</f>
        <v>0</v>
      </c>
      <c r="T34" s="175">
        <f t="array" ref="T34">IF(AND($L34&lt;&gt;"",T$8&lt;&gt;""),COUNTIFS($I$9:$I$59,$L34,$J$9:$J$59,T$8),0)</f>
        <v>0</v>
      </c>
      <c r="U34" s="175">
        <f t="array" ref="U34">IF(AND($L34&lt;&gt;"",U$8&lt;&gt;""),COUNTIFS($I$9:$I$59,$L34,$J$9:$J$59,U$8),0)</f>
        <v>0</v>
      </c>
      <c r="V34" s="175">
        <f t="array" ref="V34">IF(AND($L34&lt;&gt;"",V$8&lt;&gt;""),COUNTIFS($I$9:$I$59,$L34,$J$9:$J$59,V$8),0)</f>
        <v>0</v>
      </c>
      <c r="W34" s="175">
        <f t="array" ref="W34">IF(AND($L34&lt;&gt;"",W$8&lt;&gt;""),COUNTIFS($I$9:$I$59,$L34,$J$9:$J$59,W$8),0)</f>
        <v>0</v>
      </c>
      <c r="X34" s="175">
        <f t="array" ref="X34">IF(AND($L34&lt;&gt;"",X$8&lt;&gt;""),COUNTIFS($I$9:$I$59,$L34,$J$9:$J$59,X$8),0)</f>
        <v>0</v>
      </c>
      <c r="Y34" s="175">
        <f t="array" ref="Y34">IF(AND($L34&lt;&gt;"",Y$8&lt;&gt;""),COUNTIFS($I$9:$I$59,$L34,$J$9:$J$59,Y$8),0)</f>
        <v>0</v>
      </c>
      <c r="Z34" s="175">
        <f t="array" ref="Z34">IF(AND($L34&lt;&gt;"",Z$8&lt;&gt;""),COUNTIFS($I$9:$I$59,$L34,$J$9:$J$59,Z$8),0)</f>
        <v>0</v>
      </c>
      <c r="AA34" s="175">
        <f t="array" ref="AA34">IF(AND($L34&lt;&gt;"",AA$8&lt;&gt;""),COUNTIFS($I$9:$I$59,$L34,$J$9:$J$59,AA$8),0)</f>
        <v>0</v>
      </c>
      <c r="AB34" s="175">
        <f t="array" ref="AB34">IF(AND($L34&lt;&gt;"",AB$8&lt;&gt;""),COUNTIFS($I$9:$I$59,$L34,$J$9:$J$59,AB$8),0)</f>
        <v>0</v>
      </c>
      <c r="AC34" s="175">
        <f t="array" ref="AC34">IF(AND($L34&lt;&gt;"",AC$8&lt;&gt;""),COUNTIFS($I$9:$I$59,$L34,$J$9:$J$59,AC$8),0)</f>
        <v>0</v>
      </c>
      <c r="AD34" s="175">
        <f t="array" ref="AD34">IF(AND($L34&lt;&gt;"",AD$8&lt;&gt;""),COUNTIFS($I$9:$I$59,$L34,$J$9:$J$59,AD$8),0)</f>
        <v>0</v>
      </c>
      <c r="AE34" s="175">
        <f t="array" ref="AE34">IF(AND($L34&lt;&gt;"",AE$8&lt;&gt;""),COUNTIFS($I$9:$I$59,$L34,$J$9:$J$59,AE$8),0)</f>
        <v>0</v>
      </c>
      <c r="AF34" s="175">
        <f t="array" ref="AF34">IF(AND($L34&lt;&gt;"",AF$8&lt;&gt;""),COUNTIFS($I$9:$I$59,$L34,$J$9:$J$59,AF$8),0)</f>
        <v>0</v>
      </c>
      <c r="AG34" s="175">
        <f t="array" ref="AG34">IF(AND($L34&lt;&gt;"",AG$8&lt;&gt;""),COUNTIFS($I$9:$I$59,$L34,$J$9:$J$59,AG$8),0)</f>
        <v>0</v>
      </c>
      <c r="AH34" s="175">
        <f t="array" ref="AH34">IF(AND($L34&lt;&gt;"",AH$8&lt;&gt;""),COUNTIFS($I$9:$I$59,$L34,$J$9:$J$59,AH$8),0)</f>
        <v>0</v>
      </c>
      <c r="AI34" s="175">
        <f t="array" ref="AI34">IF(AND($L34&lt;&gt;"",AI$8&lt;&gt;""),COUNTIFS($I$9:$I$59,$L34,$J$9:$J$59,AI$8),0)</f>
        <v>0</v>
      </c>
      <c r="AJ34" s="175">
        <f t="array" ref="AJ34">IF(AND($L34&lt;&gt;"",AJ$8&lt;&gt;""),COUNTIFS($I$9:$I$59,$L34,$J$9:$J$59,AJ$8),0)</f>
        <v>0</v>
      </c>
      <c r="AK34" s="175">
        <f t="array" ref="AK34">IF(AND($L34&lt;&gt;"",AK$8&lt;&gt;""),COUNTIFS($I$9:$I$59,$L34,$J$9:$J$59,AK$8),0)</f>
        <v>0</v>
      </c>
      <c r="AL34" s="175">
        <f t="array" ref="AL34">IF(AND($L34&lt;&gt;"",AL$8&lt;&gt;""),COUNTIFS($I$9:$I$59,$L34,$J$9:$J$59,AL$8),0)</f>
        <v>0</v>
      </c>
      <c r="AM34" s="175">
        <f t="array" ref="AM34">IF(AND($L34&lt;&gt;"",AM$8&lt;&gt;""),COUNTIFS($I$9:$I$59,$L34,$J$9:$J$59,AM$8),0)</f>
        <v>0</v>
      </c>
      <c r="AN34" s="175">
        <f t="array" ref="AN34">IF(AND($L34&lt;&gt;"",AN$8&lt;&gt;""),COUNTIFS($I$9:$I$59,$L34,$J$9:$J$59,AN$8),0)</f>
        <v>0</v>
      </c>
      <c r="AO34" s="175">
        <f t="array" ref="AO34">IF(AND($L34&lt;&gt;"",AO$8&lt;&gt;""),COUNTIFS($I$9:$I$59,$L34,$J$9:$J$59,AO$8),0)</f>
        <v>0</v>
      </c>
      <c r="AP34" s="175">
        <f t="array" ref="AP34">IF(AND($L34&lt;&gt;"",AP$8&lt;&gt;""),COUNTIFS($I$9:$I$59,$L34,$J$9:$J$59,AP$8),0)</f>
        <v>0</v>
      </c>
      <c r="AQ34" s="175">
        <f t="array" ref="AQ34">IF(AND($L34&lt;&gt;"",AQ$8&lt;&gt;""),COUNTIFS($I$9:$I$59,$L34,$J$9:$J$59,AQ$8),0)</f>
        <v>0</v>
      </c>
      <c r="AR34" s="175">
        <f t="array" ref="AR34">IF(AND($L34&lt;&gt;"",AR$8&lt;&gt;""),COUNTIFS($I$9:$I$59,$L34,$J$9:$J$59,AR$8),0)</f>
        <v>0</v>
      </c>
      <c r="AS34" s="175">
        <f t="array" ref="AS34">IF(AND($L34&lt;&gt;"",AS$8&lt;&gt;""),COUNTIFS($I$9:$I$59,$L34,$J$9:$J$59,AS$8),0)</f>
        <v>0</v>
      </c>
      <c r="AT34" s="175">
        <f t="array" ref="AT34">IF(AND($L34&lt;&gt;"",AT$8&lt;&gt;""),COUNTIFS($I$9:$I$59,$L34,$J$9:$J$59,AT$8),0)</f>
        <v>0</v>
      </c>
      <c r="AU34" s="175">
        <f t="array" ref="AU34">IF(AND($L34&lt;&gt;"",AU$8&lt;&gt;""),COUNTIFS($I$9:$I$59,$L34,$J$9:$J$59,AU$8),0)</f>
        <v>0</v>
      </c>
      <c r="AV34" s="175">
        <f t="array" ref="AV34">IF(AND($L34&lt;&gt;"",AV$8&lt;&gt;""),COUNTIFS($I$9:$I$59,$L34,$J$9:$J$59,AV$8),0)</f>
        <v>0</v>
      </c>
      <c r="AW34" s="175">
        <f t="array" ref="AW34">IF(AND($L34&lt;&gt;"",AW$8&lt;&gt;""),COUNTIFS($I$9:$I$59,$L34,$J$9:$J$59,AW$8),0)</f>
        <v>0</v>
      </c>
      <c r="AX34" s="175">
        <f t="array" ref="AX34">IF(AND($L34&lt;&gt;"",AX$8&lt;&gt;""),COUNTIFS($I$9:$I$59,$L34,$J$9:$J$59,AX$8),0)</f>
        <v>0</v>
      </c>
      <c r="AY34" s="175">
        <f t="array" ref="AY34">IF(AND($L34&lt;&gt;"",AY$8&lt;&gt;""),COUNTIFS($I$9:$I$59,$L34,$J$9:$J$59,AY$8),0)</f>
        <v>0</v>
      </c>
      <c r="AZ34" s="175">
        <f t="array" ref="AZ34">IF(AND($L34&lt;&gt;"",AZ$8&lt;&gt;""),COUNTIFS($I$9:$I$59,$L34,$J$9:$J$59,AZ$8),0)</f>
        <v>0</v>
      </c>
      <c r="BA34" s="175">
        <f t="array" ref="BA34">IF(AND($L34&lt;&gt;"",BA$8&lt;&gt;""),COUNTIFS($I$9:$I$59,$L34,$J$9:$J$59,BA$8),0)</f>
        <v>0</v>
      </c>
      <c r="BB34" s="175">
        <f t="array" ref="BB34">IF(AND($L34&lt;&gt;"",BB$8&lt;&gt;""),COUNTIFS($I$9:$I$59,$L34,$J$9:$J$59,BB$8),0)</f>
        <v>0</v>
      </c>
      <c r="BC34" s="175">
        <f t="array" ref="BC34">IF(AND($L34&lt;&gt;"",BC$8&lt;&gt;""),COUNTIFS($I$9:$I$59,$L34,$J$9:$J$59,BC$8),0)</f>
        <v>0</v>
      </c>
      <c r="BD34" s="175">
        <f t="array" ref="BD34">IF(AND($L34&lt;&gt;"",BD$8&lt;&gt;""),COUNTIFS($I$9:$I$59,$L34,$J$9:$J$59,BD$8),0)</f>
        <v>0</v>
      </c>
      <c r="BE34" s="175">
        <f t="array" ref="BE34">IF(AND($L34&lt;&gt;"",BE$8&lt;&gt;""),COUNTIFS($I$9:$I$59,$L34,$J$9:$J$59,BE$8),0)</f>
        <v>0</v>
      </c>
      <c r="BF34" s="175">
        <f t="array" ref="BF34">IF(AND($L34&lt;&gt;"",BF$8&lt;&gt;""),COUNTIFS($I$9:$I$59,$L34,$J$9:$J$59,BF$8),0)</f>
        <v>0</v>
      </c>
      <c r="BG34" s="175">
        <f t="array" ref="BG34">IF(AND($L34&lt;&gt;"",BG$8&lt;&gt;""),COUNTIFS($I$9:$I$59,$L34,$J$9:$J$59,BG$8),0)</f>
        <v>0</v>
      </c>
      <c r="BH34" s="175">
        <f t="array" ref="BH34">IF(AND($L34&lt;&gt;"",BH$8&lt;&gt;""),COUNTIFS($I$9:$I$59,$L34,$J$9:$J$59,BH$8),0)</f>
        <v>0</v>
      </c>
      <c r="BI34" s="175">
        <f t="array" ref="BI34">IF(AND($L34&lt;&gt;"",BI$8&lt;&gt;""),COUNTIFS($I$9:$I$59,$L34,$J$9:$J$59,BI$8),0)</f>
        <v>0</v>
      </c>
      <c r="BJ34" s="175">
        <f t="array" ref="BJ34">IF(AND($L34&lt;&gt;"",BJ$8&lt;&gt;""),COUNTIFS($I$9:$I$59,$L34,$J$9:$J$59,BJ$8),0)</f>
        <v>0</v>
      </c>
    </row>
    <row r="35" spans="1:62" x14ac:dyDescent="0.2">
      <c r="A35" s="14"/>
      <c r="B35" s="108" t="s">
        <v>63</v>
      </c>
      <c r="C35" s="141"/>
      <c r="D35" s="104"/>
      <c r="E35" s="20"/>
      <c r="F35" s="105"/>
      <c r="G35" s="253"/>
      <c r="H35" s="109"/>
      <c r="I35" s="239" t="str">
        <f t="shared" si="1"/>
        <v/>
      </c>
      <c r="J35" s="168" t="str">
        <f t="shared" si="2"/>
        <v/>
      </c>
      <c r="L35" s="174" t="str">
        <f t="array" ref="L35">IFERROR(INDEX($I$9:$I$59,MATCH(0,COUNTIF($L$8:$L34,$I$9:$I$59),0)),"")</f>
        <v/>
      </c>
      <c r="M35" s="175">
        <f t="array" ref="M35">IF(AND($L35&lt;&gt;"",M$8&lt;&gt;""),COUNTIFS($I$9:$I$59,$L35,$J$9:$J$59,M$8),0)</f>
        <v>0</v>
      </c>
      <c r="N35" s="175">
        <f t="array" ref="N35">IF(AND($L35&lt;&gt;"",N$8&lt;&gt;""),COUNTIFS($I$9:$I$59,$L35,$J$9:$J$59,N$8),0)</f>
        <v>0</v>
      </c>
      <c r="O35" s="175">
        <f t="array" ref="O35">IF(AND($L35&lt;&gt;"",O$8&lt;&gt;""),COUNTIFS($I$9:$I$59,$L35,$J$9:$J$59,O$8),0)</f>
        <v>0</v>
      </c>
      <c r="P35" s="175">
        <f t="array" ref="P35">IF(AND($L35&lt;&gt;"",P$8&lt;&gt;""),COUNTIFS($I$9:$I$59,$L35,$J$9:$J$59,P$8),0)</f>
        <v>0</v>
      </c>
      <c r="Q35" s="175">
        <f t="array" ref="Q35">IF(AND($L35&lt;&gt;"",Q$8&lt;&gt;""),COUNTIFS($I$9:$I$59,$L35,$J$9:$J$59,Q$8),0)</f>
        <v>0</v>
      </c>
      <c r="R35" s="175">
        <f t="array" ref="R35">IF(AND($L35&lt;&gt;"",R$8&lt;&gt;""),COUNTIFS($I$9:$I$59,$L35,$J$9:$J$59,R$8),0)</f>
        <v>0</v>
      </c>
      <c r="S35" s="175">
        <f t="array" ref="S35">IF(AND($L35&lt;&gt;"",S$8&lt;&gt;""),COUNTIFS($I$9:$I$59,$L35,$J$9:$J$59,S$8),0)</f>
        <v>0</v>
      </c>
      <c r="T35" s="175">
        <f t="array" ref="T35">IF(AND($L35&lt;&gt;"",T$8&lt;&gt;""),COUNTIFS($I$9:$I$59,$L35,$J$9:$J$59,T$8),0)</f>
        <v>0</v>
      </c>
      <c r="U35" s="175">
        <f t="array" ref="U35">IF(AND($L35&lt;&gt;"",U$8&lt;&gt;""),COUNTIFS($I$9:$I$59,$L35,$J$9:$J$59,U$8),0)</f>
        <v>0</v>
      </c>
      <c r="V35" s="175">
        <f t="array" ref="V35">IF(AND($L35&lt;&gt;"",V$8&lt;&gt;""),COUNTIFS($I$9:$I$59,$L35,$J$9:$J$59,V$8),0)</f>
        <v>0</v>
      </c>
      <c r="W35" s="175">
        <f t="array" ref="W35">IF(AND($L35&lt;&gt;"",W$8&lt;&gt;""),COUNTIFS($I$9:$I$59,$L35,$J$9:$J$59,W$8),0)</f>
        <v>0</v>
      </c>
      <c r="X35" s="175">
        <f t="array" ref="X35">IF(AND($L35&lt;&gt;"",X$8&lt;&gt;""),COUNTIFS($I$9:$I$59,$L35,$J$9:$J$59,X$8),0)</f>
        <v>0</v>
      </c>
      <c r="Y35" s="175">
        <f t="array" ref="Y35">IF(AND($L35&lt;&gt;"",Y$8&lt;&gt;""),COUNTIFS($I$9:$I$59,$L35,$J$9:$J$59,Y$8),0)</f>
        <v>0</v>
      </c>
      <c r="Z35" s="175">
        <f t="array" ref="Z35">IF(AND($L35&lt;&gt;"",Z$8&lt;&gt;""),COUNTIFS($I$9:$I$59,$L35,$J$9:$J$59,Z$8),0)</f>
        <v>0</v>
      </c>
      <c r="AA35" s="175">
        <f t="array" ref="AA35">IF(AND($L35&lt;&gt;"",AA$8&lt;&gt;""),COUNTIFS($I$9:$I$59,$L35,$J$9:$J$59,AA$8),0)</f>
        <v>0</v>
      </c>
      <c r="AB35" s="175">
        <f t="array" ref="AB35">IF(AND($L35&lt;&gt;"",AB$8&lt;&gt;""),COUNTIFS($I$9:$I$59,$L35,$J$9:$J$59,AB$8),0)</f>
        <v>0</v>
      </c>
      <c r="AC35" s="175">
        <f t="array" ref="AC35">IF(AND($L35&lt;&gt;"",AC$8&lt;&gt;""),COUNTIFS($I$9:$I$59,$L35,$J$9:$J$59,AC$8),0)</f>
        <v>0</v>
      </c>
      <c r="AD35" s="175">
        <f t="array" ref="AD35">IF(AND($L35&lt;&gt;"",AD$8&lt;&gt;""),COUNTIFS($I$9:$I$59,$L35,$J$9:$J$59,AD$8),0)</f>
        <v>0</v>
      </c>
      <c r="AE35" s="175">
        <f t="array" ref="AE35">IF(AND($L35&lt;&gt;"",AE$8&lt;&gt;""),COUNTIFS($I$9:$I$59,$L35,$J$9:$J$59,AE$8),0)</f>
        <v>0</v>
      </c>
      <c r="AF35" s="175">
        <f t="array" ref="AF35">IF(AND($L35&lt;&gt;"",AF$8&lt;&gt;""),COUNTIFS($I$9:$I$59,$L35,$J$9:$J$59,AF$8),0)</f>
        <v>0</v>
      </c>
      <c r="AG35" s="175">
        <f t="array" ref="AG35">IF(AND($L35&lt;&gt;"",AG$8&lt;&gt;""),COUNTIFS($I$9:$I$59,$L35,$J$9:$J$59,AG$8),0)</f>
        <v>0</v>
      </c>
      <c r="AH35" s="175">
        <f t="array" ref="AH35">IF(AND($L35&lt;&gt;"",AH$8&lt;&gt;""),COUNTIFS($I$9:$I$59,$L35,$J$9:$J$59,AH$8),0)</f>
        <v>0</v>
      </c>
      <c r="AI35" s="175">
        <f t="array" ref="AI35">IF(AND($L35&lt;&gt;"",AI$8&lt;&gt;""),COUNTIFS($I$9:$I$59,$L35,$J$9:$J$59,AI$8),0)</f>
        <v>0</v>
      </c>
      <c r="AJ35" s="175">
        <f t="array" ref="AJ35">IF(AND($L35&lt;&gt;"",AJ$8&lt;&gt;""),COUNTIFS($I$9:$I$59,$L35,$J$9:$J$59,AJ$8),0)</f>
        <v>0</v>
      </c>
      <c r="AK35" s="175">
        <f t="array" ref="AK35">IF(AND($L35&lt;&gt;"",AK$8&lt;&gt;""),COUNTIFS($I$9:$I$59,$L35,$J$9:$J$59,AK$8),0)</f>
        <v>0</v>
      </c>
      <c r="AL35" s="175">
        <f t="array" ref="AL35">IF(AND($L35&lt;&gt;"",AL$8&lt;&gt;""),COUNTIFS($I$9:$I$59,$L35,$J$9:$J$59,AL$8),0)</f>
        <v>0</v>
      </c>
      <c r="AM35" s="175">
        <f t="array" ref="AM35">IF(AND($L35&lt;&gt;"",AM$8&lt;&gt;""),COUNTIFS($I$9:$I$59,$L35,$J$9:$J$59,AM$8),0)</f>
        <v>0</v>
      </c>
      <c r="AN35" s="175">
        <f t="array" ref="AN35">IF(AND($L35&lt;&gt;"",AN$8&lt;&gt;""),COUNTIFS($I$9:$I$59,$L35,$J$9:$J$59,AN$8),0)</f>
        <v>0</v>
      </c>
      <c r="AO35" s="175">
        <f t="array" ref="AO35">IF(AND($L35&lt;&gt;"",AO$8&lt;&gt;""),COUNTIFS($I$9:$I$59,$L35,$J$9:$J$59,AO$8),0)</f>
        <v>0</v>
      </c>
      <c r="AP35" s="175">
        <f t="array" ref="AP35">IF(AND($L35&lt;&gt;"",AP$8&lt;&gt;""),COUNTIFS($I$9:$I$59,$L35,$J$9:$J$59,AP$8),0)</f>
        <v>0</v>
      </c>
      <c r="AQ35" s="175">
        <f t="array" ref="AQ35">IF(AND($L35&lt;&gt;"",AQ$8&lt;&gt;""),COUNTIFS($I$9:$I$59,$L35,$J$9:$J$59,AQ$8),0)</f>
        <v>0</v>
      </c>
      <c r="AR35" s="175">
        <f t="array" ref="AR35">IF(AND($L35&lt;&gt;"",AR$8&lt;&gt;""),COUNTIFS($I$9:$I$59,$L35,$J$9:$J$59,AR$8),0)</f>
        <v>0</v>
      </c>
      <c r="AS35" s="175">
        <f t="array" ref="AS35">IF(AND($L35&lt;&gt;"",AS$8&lt;&gt;""),COUNTIFS($I$9:$I$59,$L35,$J$9:$J$59,AS$8),0)</f>
        <v>0</v>
      </c>
      <c r="AT35" s="175">
        <f t="array" ref="AT35">IF(AND($L35&lt;&gt;"",AT$8&lt;&gt;""),COUNTIFS($I$9:$I$59,$L35,$J$9:$J$59,AT$8),0)</f>
        <v>0</v>
      </c>
      <c r="AU35" s="175">
        <f t="array" ref="AU35">IF(AND($L35&lt;&gt;"",AU$8&lt;&gt;""),COUNTIFS($I$9:$I$59,$L35,$J$9:$J$59,AU$8),0)</f>
        <v>0</v>
      </c>
      <c r="AV35" s="175">
        <f t="array" ref="AV35">IF(AND($L35&lt;&gt;"",AV$8&lt;&gt;""),COUNTIFS($I$9:$I$59,$L35,$J$9:$J$59,AV$8),0)</f>
        <v>0</v>
      </c>
      <c r="AW35" s="175">
        <f t="array" ref="AW35">IF(AND($L35&lt;&gt;"",AW$8&lt;&gt;""),COUNTIFS($I$9:$I$59,$L35,$J$9:$J$59,AW$8),0)</f>
        <v>0</v>
      </c>
      <c r="AX35" s="175">
        <f t="array" ref="AX35">IF(AND($L35&lt;&gt;"",AX$8&lt;&gt;""),COUNTIFS($I$9:$I$59,$L35,$J$9:$J$59,AX$8),0)</f>
        <v>0</v>
      </c>
      <c r="AY35" s="175">
        <f t="array" ref="AY35">IF(AND($L35&lt;&gt;"",AY$8&lt;&gt;""),COUNTIFS($I$9:$I$59,$L35,$J$9:$J$59,AY$8),0)</f>
        <v>0</v>
      </c>
      <c r="AZ35" s="175">
        <f t="array" ref="AZ35">IF(AND($L35&lt;&gt;"",AZ$8&lt;&gt;""),COUNTIFS($I$9:$I$59,$L35,$J$9:$J$59,AZ$8),0)</f>
        <v>0</v>
      </c>
      <c r="BA35" s="175">
        <f t="array" ref="BA35">IF(AND($L35&lt;&gt;"",BA$8&lt;&gt;""),COUNTIFS($I$9:$I$59,$L35,$J$9:$J$59,BA$8),0)</f>
        <v>0</v>
      </c>
      <c r="BB35" s="175">
        <f t="array" ref="BB35">IF(AND($L35&lt;&gt;"",BB$8&lt;&gt;""),COUNTIFS($I$9:$I$59,$L35,$J$9:$J$59,BB$8),0)</f>
        <v>0</v>
      </c>
      <c r="BC35" s="175">
        <f t="array" ref="BC35">IF(AND($L35&lt;&gt;"",BC$8&lt;&gt;""),COUNTIFS($I$9:$I$59,$L35,$J$9:$J$59,BC$8),0)</f>
        <v>0</v>
      </c>
      <c r="BD35" s="175">
        <f t="array" ref="BD35">IF(AND($L35&lt;&gt;"",BD$8&lt;&gt;""),COUNTIFS($I$9:$I$59,$L35,$J$9:$J$59,BD$8),0)</f>
        <v>0</v>
      </c>
      <c r="BE35" s="175">
        <f t="array" ref="BE35">IF(AND($L35&lt;&gt;"",BE$8&lt;&gt;""),COUNTIFS($I$9:$I$59,$L35,$J$9:$J$59,BE$8),0)</f>
        <v>0</v>
      </c>
      <c r="BF35" s="175">
        <f t="array" ref="BF35">IF(AND($L35&lt;&gt;"",BF$8&lt;&gt;""),COUNTIFS($I$9:$I$59,$L35,$J$9:$J$59,BF$8),0)</f>
        <v>0</v>
      </c>
      <c r="BG35" s="175">
        <f t="array" ref="BG35">IF(AND($L35&lt;&gt;"",BG$8&lt;&gt;""),COUNTIFS($I$9:$I$59,$L35,$J$9:$J$59,BG$8),0)</f>
        <v>0</v>
      </c>
      <c r="BH35" s="175">
        <f t="array" ref="BH35">IF(AND($L35&lt;&gt;"",BH$8&lt;&gt;""),COUNTIFS($I$9:$I$59,$L35,$J$9:$J$59,BH$8),0)</f>
        <v>0</v>
      </c>
      <c r="BI35" s="175">
        <f t="array" ref="BI35">IF(AND($L35&lt;&gt;"",BI$8&lt;&gt;""),COUNTIFS($I$9:$I$59,$L35,$J$9:$J$59,BI$8),0)</f>
        <v>0</v>
      </c>
      <c r="BJ35" s="175">
        <f t="array" ref="BJ35">IF(AND($L35&lt;&gt;"",BJ$8&lt;&gt;""),COUNTIFS($I$9:$I$59,$L35,$J$9:$J$59,BJ$8),0)</f>
        <v>0</v>
      </c>
    </row>
    <row r="36" spans="1:62" x14ac:dyDescent="0.2">
      <c r="A36" s="14"/>
      <c r="B36" s="108" t="s">
        <v>64</v>
      </c>
      <c r="C36" s="141"/>
      <c r="D36" s="104"/>
      <c r="E36" s="20"/>
      <c r="F36" s="105"/>
      <c r="G36" s="253"/>
      <c r="H36" s="109"/>
      <c r="I36" s="239" t="str">
        <f t="shared" si="1"/>
        <v/>
      </c>
      <c r="J36" s="168" t="str">
        <f t="shared" si="2"/>
        <v/>
      </c>
      <c r="L36" s="174" t="str">
        <f t="array" ref="L36">IFERROR(INDEX($I$9:$I$59,MATCH(0,COUNTIF($L$8:$L35,$I$9:$I$59),0)),"")</f>
        <v/>
      </c>
      <c r="M36" s="175">
        <f t="array" ref="M36">IF(AND($L36&lt;&gt;"",M$8&lt;&gt;""),COUNTIFS($I$9:$I$59,$L36,$J$9:$J$59,M$8),0)</f>
        <v>0</v>
      </c>
      <c r="N36" s="175">
        <f t="array" ref="N36">IF(AND($L36&lt;&gt;"",N$8&lt;&gt;""),COUNTIFS($I$9:$I$59,$L36,$J$9:$J$59,N$8),0)</f>
        <v>0</v>
      </c>
      <c r="O36" s="175">
        <f t="array" ref="O36">IF(AND($L36&lt;&gt;"",O$8&lt;&gt;""),COUNTIFS($I$9:$I$59,$L36,$J$9:$J$59,O$8),0)</f>
        <v>0</v>
      </c>
      <c r="P36" s="175">
        <f t="array" ref="P36">IF(AND($L36&lt;&gt;"",P$8&lt;&gt;""),COUNTIFS($I$9:$I$59,$L36,$J$9:$J$59,P$8),0)</f>
        <v>0</v>
      </c>
      <c r="Q36" s="175">
        <f t="array" ref="Q36">IF(AND($L36&lt;&gt;"",Q$8&lt;&gt;""),COUNTIFS($I$9:$I$59,$L36,$J$9:$J$59,Q$8),0)</f>
        <v>0</v>
      </c>
      <c r="R36" s="175">
        <f t="array" ref="R36">IF(AND($L36&lt;&gt;"",R$8&lt;&gt;""),COUNTIFS($I$9:$I$59,$L36,$J$9:$J$59,R$8),0)</f>
        <v>0</v>
      </c>
      <c r="S36" s="175">
        <f t="array" ref="S36">IF(AND($L36&lt;&gt;"",S$8&lt;&gt;""),COUNTIFS($I$9:$I$59,$L36,$J$9:$J$59,S$8),0)</f>
        <v>0</v>
      </c>
      <c r="T36" s="175">
        <f t="array" ref="T36">IF(AND($L36&lt;&gt;"",T$8&lt;&gt;""),COUNTIFS($I$9:$I$59,$L36,$J$9:$J$59,T$8),0)</f>
        <v>0</v>
      </c>
      <c r="U36" s="175">
        <f t="array" ref="U36">IF(AND($L36&lt;&gt;"",U$8&lt;&gt;""),COUNTIFS($I$9:$I$59,$L36,$J$9:$J$59,U$8),0)</f>
        <v>0</v>
      </c>
      <c r="V36" s="175">
        <f t="array" ref="V36">IF(AND($L36&lt;&gt;"",V$8&lt;&gt;""),COUNTIFS($I$9:$I$59,$L36,$J$9:$J$59,V$8),0)</f>
        <v>0</v>
      </c>
      <c r="W36" s="175">
        <f t="array" ref="W36">IF(AND($L36&lt;&gt;"",W$8&lt;&gt;""),COUNTIFS($I$9:$I$59,$L36,$J$9:$J$59,W$8),0)</f>
        <v>0</v>
      </c>
      <c r="X36" s="175">
        <f t="array" ref="X36">IF(AND($L36&lt;&gt;"",X$8&lt;&gt;""),COUNTIFS($I$9:$I$59,$L36,$J$9:$J$59,X$8),0)</f>
        <v>0</v>
      </c>
      <c r="Y36" s="175">
        <f t="array" ref="Y36">IF(AND($L36&lt;&gt;"",Y$8&lt;&gt;""),COUNTIFS($I$9:$I$59,$L36,$J$9:$J$59,Y$8),0)</f>
        <v>0</v>
      </c>
      <c r="Z36" s="175">
        <f t="array" ref="Z36">IF(AND($L36&lt;&gt;"",Z$8&lt;&gt;""),COUNTIFS($I$9:$I$59,$L36,$J$9:$J$59,Z$8),0)</f>
        <v>0</v>
      </c>
      <c r="AA36" s="175">
        <f t="array" ref="AA36">IF(AND($L36&lt;&gt;"",AA$8&lt;&gt;""),COUNTIFS($I$9:$I$59,$L36,$J$9:$J$59,AA$8),0)</f>
        <v>0</v>
      </c>
      <c r="AB36" s="175">
        <f t="array" ref="AB36">IF(AND($L36&lt;&gt;"",AB$8&lt;&gt;""),COUNTIFS($I$9:$I$59,$L36,$J$9:$J$59,AB$8),0)</f>
        <v>0</v>
      </c>
      <c r="AC36" s="175">
        <f t="array" ref="AC36">IF(AND($L36&lt;&gt;"",AC$8&lt;&gt;""),COUNTIFS($I$9:$I$59,$L36,$J$9:$J$59,AC$8),0)</f>
        <v>0</v>
      </c>
      <c r="AD36" s="175">
        <f t="array" ref="AD36">IF(AND($L36&lt;&gt;"",AD$8&lt;&gt;""),COUNTIFS($I$9:$I$59,$L36,$J$9:$J$59,AD$8),0)</f>
        <v>0</v>
      </c>
      <c r="AE36" s="175">
        <f t="array" ref="AE36">IF(AND($L36&lt;&gt;"",AE$8&lt;&gt;""),COUNTIFS($I$9:$I$59,$L36,$J$9:$J$59,AE$8),0)</f>
        <v>0</v>
      </c>
      <c r="AF36" s="175">
        <f t="array" ref="AF36">IF(AND($L36&lt;&gt;"",AF$8&lt;&gt;""),COUNTIFS($I$9:$I$59,$L36,$J$9:$J$59,AF$8),0)</f>
        <v>0</v>
      </c>
      <c r="AG36" s="175">
        <f t="array" ref="AG36">IF(AND($L36&lt;&gt;"",AG$8&lt;&gt;""),COUNTIFS($I$9:$I$59,$L36,$J$9:$J$59,AG$8),0)</f>
        <v>0</v>
      </c>
      <c r="AH36" s="175">
        <f t="array" ref="AH36">IF(AND($L36&lt;&gt;"",AH$8&lt;&gt;""),COUNTIFS($I$9:$I$59,$L36,$J$9:$J$59,AH$8),0)</f>
        <v>0</v>
      </c>
      <c r="AI36" s="175">
        <f t="array" ref="AI36">IF(AND($L36&lt;&gt;"",AI$8&lt;&gt;""),COUNTIFS($I$9:$I$59,$L36,$J$9:$J$59,AI$8),0)</f>
        <v>0</v>
      </c>
      <c r="AJ36" s="175">
        <f t="array" ref="AJ36">IF(AND($L36&lt;&gt;"",AJ$8&lt;&gt;""),COUNTIFS($I$9:$I$59,$L36,$J$9:$J$59,AJ$8),0)</f>
        <v>0</v>
      </c>
      <c r="AK36" s="175">
        <f t="array" ref="AK36">IF(AND($L36&lt;&gt;"",AK$8&lt;&gt;""),COUNTIFS($I$9:$I$59,$L36,$J$9:$J$59,AK$8),0)</f>
        <v>0</v>
      </c>
      <c r="AL36" s="175">
        <f t="array" ref="AL36">IF(AND($L36&lt;&gt;"",AL$8&lt;&gt;""),COUNTIFS($I$9:$I$59,$L36,$J$9:$J$59,AL$8),0)</f>
        <v>0</v>
      </c>
      <c r="AM36" s="175">
        <f t="array" ref="AM36">IF(AND($L36&lt;&gt;"",AM$8&lt;&gt;""),COUNTIFS($I$9:$I$59,$L36,$J$9:$J$59,AM$8),0)</f>
        <v>0</v>
      </c>
      <c r="AN36" s="175">
        <f t="array" ref="AN36">IF(AND($L36&lt;&gt;"",AN$8&lt;&gt;""),COUNTIFS($I$9:$I$59,$L36,$J$9:$J$59,AN$8),0)</f>
        <v>0</v>
      </c>
      <c r="AO36" s="175">
        <f t="array" ref="AO36">IF(AND($L36&lt;&gt;"",AO$8&lt;&gt;""),COUNTIFS($I$9:$I$59,$L36,$J$9:$J$59,AO$8),0)</f>
        <v>0</v>
      </c>
      <c r="AP36" s="175">
        <f t="array" ref="AP36">IF(AND($L36&lt;&gt;"",AP$8&lt;&gt;""),COUNTIFS($I$9:$I$59,$L36,$J$9:$J$59,AP$8),0)</f>
        <v>0</v>
      </c>
      <c r="AQ36" s="175">
        <f t="array" ref="AQ36">IF(AND($L36&lt;&gt;"",AQ$8&lt;&gt;""),COUNTIFS($I$9:$I$59,$L36,$J$9:$J$59,AQ$8),0)</f>
        <v>0</v>
      </c>
      <c r="AR36" s="175">
        <f t="array" ref="AR36">IF(AND($L36&lt;&gt;"",AR$8&lt;&gt;""),COUNTIFS($I$9:$I$59,$L36,$J$9:$J$59,AR$8),0)</f>
        <v>0</v>
      </c>
      <c r="AS36" s="175">
        <f t="array" ref="AS36">IF(AND($L36&lt;&gt;"",AS$8&lt;&gt;""),COUNTIFS($I$9:$I$59,$L36,$J$9:$J$59,AS$8),0)</f>
        <v>0</v>
      </c>
      <c r="AT36" s="175">
        <f t="array" ref="AT36">IF(AND($L36&lt;&gt;"",AT$8&lt;&gt;""),COUNTIFS($I$9:$I$59,$L36,$J$9:$J$59,AT$8),0)</f>
        <v>0</v>
      </c>
      <c r="AU36" s="175">
        <f t="array" ref="AU36">IF(AND($L36&lt;&gt;"",AU$8&lt;&gt;""),COUNTIFS($I$9:$I$59,$L36,$J$9:$J$59,AU$8),0)</f>
        <v>0</v>
      </c>
      <c r="AV36" s="175">
        <f t="array" ref="AV36">IF(AND($L36&lt;&gt;"",AV$8&lt;&gt;""),COUNTIFS($I$9:$I$59,$L36,$J$9:$J$59,AV$8),0)</f>
        <v>0</v>
      </c>
      <c r="AW36" s="175">
        <f t="array" ref="AW36">IF(AND($L36&lt;&gt;"",AW$8&lt;&gt;""),COUNTIFS($I$9:$I$59,$L36,$J$9:$J$59,AW$8),0)</f>
        <v>0</v>
      </c>
      <c r="AX36" s="175">
        <f t="array" ref="AX36">IF(AND($L36&lt;&gt;"",AX$8&lt;&gt;""),COUNTIFS($I$9:$I$59,$L36,$J$9:$J$59,AX$8),0)</f>
        <v>0</v>
      </c>
      <c r="AY36" s="175">
        <f t="array" ref="AY36">IF(AND($L36&lt;&gt;"",AY$8&lt;&gt;""),COUNTIFS($I$9:$I$59,$L36,$J$9:$J$59,AY$8),0)</f>
        <v>0</v>
      </c>
      <c r="AZ36" s="175">
        <f t="array" ref="AZ36">IF(AND($L36&lt;&gt;"",AZ$8&lt;&gt;""),COUNTIFS($I$9:$I$59,$L36,$J$9:$J$59,AZ$8),0)</f>
        <v>0</v>
      </c>
      <c r="BA36" s="175">
        <f t="array" ref="BA36">IF(AND($L36&lt;&gt;"",BA$8&lt;&gt;""),COUNTIFS($I$9:$I$59,$L36,$J$9:$J$59,BA$8),0)</f>
        <v>0</v>
      </c>
      <c r="BB36" s="175">
        <f t="array" ref="BB36">IF(AND($L36&lt;&gt;"",BB$8&lt;&gt;""),COUNTIFS($I$9:$I$59,$L36,$J$9:$J$59,BB$8),0)</f>
        <v>0</v>
      </c>
      <c r="BC36" s="175">
        <f t="array" ref="BC36">IF(AND($L36&lt;&gt;"",BC$8&lt;&gt;""),COUNTIFS($I$9:$I$59,$L36,$J$9:$J$59,BC$8),0)</f>
        <v>0</v>
      </c>
      <c r="BD36" s="175">
        <f t="array" ref="BD36">IF(AND($L36&lt;&gt;"",BD$8&lt;&gt;""),COUNTIFS($I$9:$I$59,$L36,$J$9:$J$59,BD$8),0)</f>
        <v>0</v>
      </c>
      <c r="BE36" s="175">
        <f t="array" ref="BE36">IF(AND($L36&lt;&gt;"",BE$8&lt;&gt;""),COUNTIFS($I$9:$I$59,$L36,$J$9:$J$59,BE$8),0)</f>
        <v>0</v>
      </c>
      <c r="BF36" s="175">
        <f t="array" ref="BF36">IF(AND($L36&lt;&gt;"",BF$8&lt;&gt;""),COUNTIFS($I$9:$I$59,$L36,$J$9:$J$59,BF$8),0)</f>
        <v>0</v>
      </c>
      <c r="BG36" s="175">
        <f t="array" ref="BG36">IF(AND($L36&lt;&gt;"",BG$8&lt;&gt;""),COUNTIFS($I$9:$I$59,$L36,$J$9:$J$59,BG$8),0)</f>
        <v>0</v>
      </c>
      <c r="BH36" s="175">
        <f t="array" ref="BH36">IF(AND($L36&lt;&gt;"",BH$8&lt;&gt;""),COUNTIFS($I$9:$I$59,$L36,$J$9:$J$59,BH$8),0)</f>
        <v>0</v>
      </c>
      <c r="BI36" s="175">
        <f t="array" ref="BI36">IF(AND($L36&lt;&gt;"",BI$8&lt;&gt;""),COUNTIFS($I$9:$I$59,$L36,$J$9:$J$59,BI$8),0)</f>
        <v>0</v>
      </c>
      <c r="BJ36" s="175">
        <f t="array" ref="BJ36">IF(AND($L36&lt;&gt;"",BJ$8&lt;&gt;""),COUNTIFS($I$9:$I$59,$L36,$J$9:$J$59,BJ$8),0)</f>
        <v>0</v>
      </c>
    </row>
    <row r="37" spans="1:62" x14ac:dyDescent="0.2">
      <c r="A37" s="14"/>
      <c r="B37" s="108" t="s">
        <v>65</v>
      </c>
      <c r="C37" s="141"/>
      <c r="D37" s="104"/>
      <c r="E37" s="20"/>
      <c r="F37" s="105"/>
      <c r="G37" s="253"/>
      <c r="H37" s="109"/>
      <c r="I37" s="239" t="str">
        <f t="shared" si="1"/>
        <v/>
      </c>
      <c r="J37" s="168" t="str">
        <f t="shared" si="2"/>
        <v/>
      </c>
      <c r="L37" s="174" t="str">
        <f t="array" ref="L37">IFERROR(INDEX($I$9:$I$59,MATCH(0,COUNTIF($L$8:$L36,$I$9:$I$59),0)),"")</f>
        <v/>
      </c>
      <c r="M37" s="175">
        <f t="array" ref="M37">IF(AND($L37&lt;&gt;"",M$8&lt;&gt;""),COUNTIFS($I$9:$I$59,$L37,$J$9:$J$59,M$8),0)</f>
        <v>0</v>
      </c>
      <c r="N37" s="175">
        <f t="array" ref="N37">IF(AND($L37&lt;&gt;"",N$8&lt;&gt;""),COUNTIFS($I$9:$I$59,$L37,$J$9:$J$59,N$8),0)</f>
        <v>0</v>
      </c>
      <c r="O37" s="175">
        <f t="array" ref="O37">IF(AND($L37&lt;&gt;"",O$8&lt;&gt;""),COUNTIFS($I$9:$I$59,$L37,$J$9:$J$59,O$8),0)</f>
        <v>0</v>
      </c>
      <c r="P37" s="175">
        <f t="array" ref="P37">IF(AND($L37&lt;&gt;"",P$8&lt;&gt;""),COUNTIFS($I$9:$I$59,$L37,$J$9:$J$59,P$8),0)</f>
        <v>0</v>
      </c>
      <c r="Q37" s="175">
        <f t="array" ref="Q37">IF(AND($L37&lt;&gt;"",Q$8&lt;&gt;""),COUNTIFS($I$9:$I$59,$L37,$J$9:$J$59,Q$8),0)</f>
        <v>0</v>
      </c>
      <c r="R37" s="175">
        <f t="array" ref="R37">IF(AND($L37&lt;&gt;"",R$8&lt;&gt;""),COUNTIFS($I$9:$I$59,$L37,$J$9:$J$59,R$8),0)</f>
        <v>0</v>
      </c>
      <c r="S37" s="175">
        <f t="array" ref="S37">IF(AND($L37&lt;&gt;"",S$8&lt;&gt;""),COUNTIFS($I$9:$I$59,$L37,$J$9:$J$59,S$8),0)</f>
        <v>0</v>
      </c>
      <c r="T37" s="175">
        <f t="array" ref="T37">IF(AND($L37&lt;&gt;"",T$8&lt;&gt;""),COUNTIFS($I$9:$I$59,$L37,$J$9:$J$59,T$8),0)</f>
        <v>0</v>
      </c>
      <c r="U37" s="175">
        <f t="array" ref="U37">IF(AND($L37&lt;&gt;"",U$8&lt;&gt;""),COUNTIFS($I$9:$I$59,$L37,$J$9:$J$59,U$8),0)</f>
        <v>0</v>
      </c>
      <c r="V37" s="175">
        <f t="array" ref="V37">IF(AND($L37&lt;&gt;"",V$8&lt;&gt;""),COUNTIFS($I$9:$I$59,$L37,$J$9:$J$59,V$8),0)</f>
        <v>0</v>
      </c>
      <c r="W37" s="175">
        <f t="array" ref="W37">IF(AND($L37&lt;&gt;"",W$8&lt;&gt;""),COUNTIFS($I$9:$I$59,$L37,$J$9:$J$59,W$8),0)</f>
        <v>0</v>
      </c>
      <c r="X37" s="175">
        <f t="array" ref="X37">IF(AND($L37&lt;&gt;"",X$8&lt;&gt;""),COUNTIFS($I$9:$I$59,$L37,$J$9:$J$59,X$8),0)</f>
        <v>0</v>
      </c>
      <c r="Y37" s="175">
        <f t="array" ref="Y37">IF(AND($L37&lt;&gt;"",Y$8&lt;&gt;""),COUNTIFS($I$9:$I$59,$L37,$J$9:$J$59,Y$8),0)</f>
        <v>0</v>
      </c>
      <c r="Z37" s="175">
        <f t="array" ref="Z37">IF(AND($L37&lt;&gt;"",Z$8&lt;&gt;""),COUNTIFS($I$9:$I$59,$L37,$J$9:$J$59,Z$8),0)</f>
        <v>0</v>
      </c>
      <c r="AA37" s="175">
        <f t="array" ref="AA37">IF(AND($L37&lt;&gt;"",AA$8&lt;&gt;""),COUNTIFS($I$9:$I$59,$L37,$J$9:$J$59,AA$8),0)</f>
        <v>0</v>
      </c>
      <c r="AB37" s="175">
        <f t="array" ref="AB37">IF(AND($L37&lt;&gt;"",AB$8&lt;&gt;""),COUNTIFS($I$9:$I$59,$L37,$J$9:$J$59,AB$8),0)</f>
        <v>0</v>
      </c>
      <c r="AC37" s="175">
        <f t="array" ref="AC37">IF(AND($L37&lt;&gt;"",AC$8&lt;&gt;""),COUNTIFS($I$9:$I$59,$L37,$J$9:$J$59,AC$8),0)</f>
        <v>0</v>
      </c>
      <c r="AD37" s="175">
        <f t="array" ref="AD37">IF(AND($L37&lt;&gt;"",AD$8&lt;&gt;""),COUNTIFS($I$9:$I$59,$L37,$J$9:$J$59,AD$8),0)</f>
        <v>0</v>
      </c>
      <c r="AE37" s="175">
        <f t="array" ref="AE37">IF(AND($L37&lt;&gt;"",AE$8&lt;&gt;""),COUNTIFS($I$9:$I$59,$L37,$J$9:$J$59,AE$8),0)</f>
        <v>0</v>
      </c>
      <c r="AF37" s="175">
        <f t="array" ref="AF37">IF(AND($L37&lt;&gt;"",AF$8&lt;&gt;""),COUNTIFS($I$9:$I$59,$L37,$J$9:$J$59,AF$8),0)</f>
        <v>0</v>
      </c>
      <c r="AG37" s="175">
        <f t="array" ref="AG37">IF(AND($L37&lt;&gt;"",AG$8&lt;&gt;""),COUNTIFS($I$9:$I$59,$L37,$J$9:$J$59,AG$8),0)</f>
        <v>0</v>
      </c>
      <c r="AH37" s="175">
        <f t="array" ref="AH37">IF(AND($L37&lt;&gt;"",AH$8&lt;&gt;""),COUNTIFS($I$9:$I$59,$L37,$J$9:$J$59,AH$8),0)</f>
        <v>0</v>
      </c>
      <c r="AI37" s="175">
        <f t="array" ref="AI37">IF(AND($L37&lt;&gt;"",AI$8&lt;&gt;""),COUNTIFS($I$9:$I$59,$L37,$J$9:$J$59,AI$8),0)</f>
        <v>0</v>
      </c>
      <c r="AJ37" s="175">
        <f t="array" ref="AJ37">IF(AND($L37&lt;&gt;"",AJ$8&lt;&gt;""),COUNTIFS($I$9:$I$59,$L37,$J$9:$J$59,AJ$8),0)</f>
        <v>0</v>
      </c>
      <c r="AK37" s="175">
        <f t="array" ref="AK37">IF(AND($L37&lt;&gt;"",AK$8&lt;&gt;""),COUNTIFS($I$9:$I$59,$L37,$J$9:$J$59,AK$8),0)</f>
        <v>0</v>
      </c>
      <c r="AL37" s="175">
        <f t="array" ref="AL37">IF(AND($L37&lt;&gt;"",AL$8&lt;&gt;""),COUNTIFS($I$9:$I$59,$L37,$J$9:$J$59,AL$8),0)</f>
        <v>0</v>
      </c>
      <c r="AM37" s="175">
        <f t="array" ref="AM37">IF(AND($L37&lt;&gt;"",AM$8&lt;&gt;""),COUNTIFS($I$9:$I$59,$L37,$J$9:$J$59,AM$8),0)</f>
        <v>0</v>
      </c>
      <c r="AN37" s="175">
        <f t="array" ref="AN37">IF(AND($L37&lt;&gt;"",AN$8&lt;&gt;""),COUNTIFS($I$9:$I$59,$L37,$J$9:$J$59,AN$8),0)</f>
        <v>0</v>
      </c>
      <c r="AO37" s="175">
        <f t="array" ref="AO37">IF(AND($L37&lt;&gt;"",AO$8&lt;&gt;""),COUNTIFS($I$9:$I$59,$L37,$J$9:$J$59,AO$8),0)</f>
        <v>0</v>
      </c>
      <c r="AP37" s="175">
        <f t="array" ref="AP37">IF(AND($L37&lt;&gt;"",AP$8&lt;&gt;""),COUNTIFS($I$9:$I$59,$L37,$J$9:$J$59,AP$8),0)</f>
        <v>0</v>
      </c>
      <c r="AQ37" s="175">
        <f t="array" ref="AQ37">IF(AND($L37&lt;&gt;"",AQ$8&lt;&gt;""),COUNTIFS($I$9:$I$59,$L37,$J$9:$J$59,AQ$8),0)</f>
        <v>0</v>
      </c>
      <c r="AR37" s="175">
        <f t="array" ref="AR37">IF(AND($L37&lt;&gt;"",AR$8&lt;&gt;""),COUNTIFS($I$9:$I$59,$L37,$J$9:$J$59,AR$8),0)</f>
        <v>0</v>
      </c>
      <c r="AS37" s="175">
        <f t="array" ref="AS37">IF(AND($L37&lt;&gt;"",AS$8&lt;&gt;""),COUNTIFS($I$9:$I$59,$L37,$J$9:$J$59,AS$8),0)</f>
        <v>0</v>
      </c>
      <c r="AT37" s="175">
        <f t="array" ref="AT37">IF(AND($L37&lt;&gt;"",AT$8&lt;&gt;""),COUNTIFS($I$9:$I$59,$L37,$J$9:$J$59,AT$8),0)</f>
        <v>0</v>
      </c>
      <c r="AU37" s="175">
        <f t="array" ref="AU37">IF(AND($L37&lt;&gt;"",AU$8&lt;&gt;""),COUNTIFS($I$9:$I$59,$L37,$J$9:$J$59,AU$8),0)</f>
        <v>0</v>
      </c>
      <c r="AV37" s="175">
        <f t="array" ref="AV37">IF(AND($L37&lt;&gt;"",AV$8&lt;&gt;""),COUNTIFS($I$9:$I$59,$L37,$J$9:$J$59,AV$8),0)</f>
        <v>0</v>
      </c>
      <c r="AW37" s="175">
        <f t="array" ref="AW37">IF(AND($L37&lt;&gt;"",AW$8&lt;&gt;""),COUNTIFS($I$9:$I$59,$L37,$J$9:$J$59,AW$8),0)</f>
        <v>0</v>
      </c>
      <c r="AX37" s="175">
        <f t="array" ref="AX37">IF(AND($L37&lt;&gt;"",AX$8&lt;&gt;""),COUNTIFS($I$9:$I$59,$L37,$J$9:$J$59,AX$8),0)</f>
        <v>0</v>
      </c>
      <c r="AY37" s="175">
        <f t="array" ref="AY37">IF(AND($L37&lt;&gt;"",AY$8&lt;&gt;""),COUNTIFS($I$9:$I$59,$L37,$J$9:$J$59,AY$8),0)</f>
        <v>0</v>
      </c>
      <c r="AZ37" s="175">
        <f t="array" ref="AZ37">IF(AND($L37&lt;&gt;"",AZ$8&lt;&gt;""),COUNTIFS($I$9:$I$59,$L37,$J$9:$J$59,AZ$8),0)</f>
        <v>0</v>
      </c>
      <c r="BA37" s="175">
        <f t="array" ref="BA37">IF(AND($L37&lt;&gt;"",BA$8&lt;&gt;""),COUNTIFS($I$9:$I$59,$L37,$J$9:$J$59,BA$8),0)</f>
        <v>0</v>
      </c>
      <c r="BB37" s="175">
        <f t="array" ref="BB37">IF(AND($L37&lt;&gt;"",BB$8&lt;&gt;""),COUNTIFS($I$9:$I$59,$L37,$J$9:$J$59,BB$8),0)</f>
        <v>0</v>
      </c>
      <c r="BC37" s="175">
        <f t="array" ref="BC37">IF(AND($L37&lt;&gt;"",BC$8&lt;&gt;""),COUNTIFS($I$9:$I$59,$L37,$J$9:$J$59,BC$8),0)</f>
        <v>0</v>
      </c>
      <c r="BD37" s="175">
        <f t="array" ref="BD37">IF(AND($L37&lt;&gt;"",BD$8&lt;&gt;""),COUNTIFS($I$9:$I$59,$L37,$J$9:$J$59,BD$8),0)</f>
        <v>0</v>
      </c>
      <c r="BE37" s="175">
        <f t="array" ref="BE37">IF(AND($L37&lt;&gt;"",BE$8&lt;&gt;""),COUNTIFS($I$9:$I$59,$L37,$J$9:$J$59,BE$8),0)</f>
        <v>0</v>
      </c>
      <c r="BF37" s="175">
        <f t="array" ref="BF37">IF(AND($L37&lt;&gt;"",BF$8&lt;&gt;""),COUNTIFS($I$9:$I$59,$L37,$J$9:$J$59,BF$8),0)</f>
        <v>0</v>
      </c>
      <c r="BG37" s="175">
        <f t="array" ref="BG37">IF(AND($L37&lt;&gt;"",BG$8&lt;&gt;""),COUNTIFS($I$9:$I$59,$L37,$J$9:$J$59,BG$8),0)</f>
        <v>0</v>
      </c>
      <c r="BH37" s="175">
        <f t="array" ref="BH37">IF(AND($L37&lt;&gt;"",BH$8&lt;&gt;""),COUNTIFS($I$9:$I$59,$L37,$J$9:$J$59,BH$8),0)</f>
        <v>0</v>
      </c>
      <c r="BI37" s="175">
        <f t="array" ref="BI37">IF(AND($L37&lt;&gt;"",BI$8&lt;&gt;""),COUNTIFS($I$9:$I$59,$L37,$J$9:$J$59,BI$8),0)</f>
        <v>0</v>
      </c>
      <c r="BJ37" s="175">
        <f t="array" ref="BJ37">IF(AND($L37&lt;&gt;"",BJ$8&lt;&gt;""),COUNTIFS($I$9:$I$59,$L37,$J$9:$J$59,BJ$8),0)</f>
        <v>0</v>
      </c>
    </row>
    <row r="38" spans="1:62" x14ac:dyDescent="0.2">
      <c r="A38" s="14"/>
      <c r="B38" s="108" t="s">
        <v>66</v>
      </c>
      <c r="C38" s="141"/>
      <c r="D38" s="104"/>
      <c r="E38" s="20"/>
      <c r="F38" s="105"/>
      <c r="G38" s="253"/>
      <c r="H38" s="109"/>
      <c r="I38" s="239" t="str">
        <f t="shared" si="1"/>
        <v/>
      </c>
      <c r="J38" s="168" t="str">
        <f t="shared" si="2"/>
        <v/>
      </c>
      <c r="L38" s="174" t="str">
        <f t="array" ref="L38">IFERROR(INDEX($I$9:$I$59,MATCH(0,COUNTIF($L$8:$L37,$I$9:$I$59),0)),"")</f>
        <v/>
      </c>
      <c r="M38" s="175">
        <f t="array" ref="M38">IF(AND($L38&lt;&gt;"",M$8&lt;&gt;""),COUNTIFS($I$9:$I$59,$L38,$J$9:$J$59,M$8),0)</f>
        <v>0</v>
      </c>
      <c r="N38" s="175">
        <f t="array" ref="N38">IF(AND($L38&lt;&gt;"",N$8&lt;&gt;""),COUNTIFS($I$9:$I$59,$L38,$J$9:$J$59,N$8),0)</f>
        <v>0</v>
      </c>
      <c r="O38" s="175">
        <f t="array" ref="O38">IF(AND($L38&lt;&gt;"",O$8&lt;&gt;""),COUNTIFS($I$9:$I$59,$L38,$J$9:$J$59,O$8),0)</f>
        <v>0</v>
      </c>
      <c r="P38" s="175">
        <f t="array" ref="P38">IF(AND($L38&lt;&gt;"",P$8&lt;&gt;""),COUNTIFS($I$9:$I$59,$L38,$J$9:$J$59,P$8),0)</f>
        <v>0</v>
      </c>
      <c r="Q38" s="175">
        <f t="array" ref="Q38">IF(AND($L38&lt;&gt;"",Q$8&lt;&gt;""),COUNTIFS($I$9:$I$59,$L38,$J$9:$J$59,Q$8),0)</f>
        <v>0</v>
      </c>
      <c r="R38" s="175">
        <f t="array" ref="R38">IF(AND($L38&lt;&gt;"",R$8&lt;&gt;""),COUNTIFS($I$9:$I$59,$L38,$J$9:$J$59,R$8),0)</f>
        <v>0</v>
      </c>
      <c r="S38" s="175">
        <f t="array" ref="S38">IF(AND($L38&lt;&gt;"",S$8&lt;&gt;""),COUNTIFS($I$9:$I$59,$L38,$J$9:$J$59,S$8),0)</f>
        <v>0</v>
      </c>
      <c r="T38" s="175">
        <f t="array" ref="T38">IF(AND($L38&lt;&gt;"",T$8&lt;&gt;""),COUNTIFS($I$9:$I$59,$L38,$J$9:$J$59,T$8),0)</f>
        <v>0</v>
      </c>
      <c r="U38" s="175">
        <f t="array" ref="U38">IF(AND($L38&lt;&gt;"",U$8&lt;&gt;""),COUNTIFS($I$9:$I$59,$L38,$J$9:$J$59,U$8),0)</f>
        <v>0</v>
      </c>
      <c r="V38" s="175">
        <f t="array" ref="V38">IF(AND($L38&lt;&gt;"",V$8&lt;&gt;""),COUNTIFS($I$9:$I$59,$L38,$J$9:$J$59,V$8),0)</f>
        <v>0</v>
      </c>
      <c r="W38" s="175">
        <f t="array" ref="W38">IF(AND($L38&lt;&gt;"",W$8&lt;&gt;""),COUNTIFS($I$9:$I$59,$L38,$J$9:$J$59,W$8),0)</f>
        <v>0</v>
      </c>
      <c r="X38" s="175">
        <f t="array" ref="X38">IF(AND($L38&lt;&gt;"",X$8&lt;&gt;""),COUNTIFS($I$9:$I$59,$L38,$J$9:$J$59,X$8),0)</f>
        <v>0</v>
      </c>
      <c r="Y38" s="175">
        <f t="array" ref="Y38">IF(AND($L38&lt;&gt;"",Y$8&lt;&gt;""),COUNTIFS($I$9:$I$59,$L38,$J$9:$J$59,Y$8),0)</f>
        <v>0</v>
      </c>
      <c r="Z38" s="175">
        <f t="array" ref="Z38">IF(AND($L38&lt;&gt;"",Z$8&lt;&gt;""),COUNTIFS($I$9:$I$59,$L38,$J$9:$J$59,Z$8),0)</f>
        <v>0</v>
      </c>
      <c r="AA38" s="175">
        <f t="array" ref="AA38">IF(AND($L38&lt;&gt;"",AA$8&lt;&gt;""),COUNTIFS($I$9:$I$59,$L38,$J$9:$J$59,AA$8),0)</f>
        <v>0</v>
      </c>
      <c r="AB38" s="175">
        <f t="array" ref="AB38">IF(AND($L38&lt;&gt;"",AB$8&lt;&gt;""),COUNTIFS($I$9:$I$59,$L38,$J$9:$J$59,AB$8),0)</f>
        <v>0</v>
      </c>
      <c r="AC38" s="175">
        <f t="array" ref="AC38">IF(AND($L38&lt;&gt;"",AC$8&lt;&gt;""),COUNTIFS($I$9:$I$59,$L38,$J$9:$J$59,AC$8),0)</f>
        <v>0</v>
      </c>
      <c r="AD38" s="175">
        <f t="array" ref="AD38">IF(AND($L38&lt;&gt;"",AD$8&lt;&gt;""),COUNTIFS($I$9:$I$59,$L38,$J$9:$J$59,AD$8),0)</f>
        <v>0</v>
      </c>
      <c r="AE38" s="175">
        <f t="array" ref="AE38">IF(AND($L38&lt;&gt;"",AE$8&lt;&gt;""),COUNTIFS($I$9:$I$59,$L38,$J$9:$J$59,AE$8),0)</f>
        <v>0</v>
      </c>
      <c r="AF38" s="175">
        <f t="array" ref="AF38">IF(AND($L38&lt;&gt;"",AF$8&lt;&gt;""),COUNTIFS($I$9:$I$59,$L38,$J$9:$J$59,AF$8),0)</f>
        <v>0</v>
      </c>
      <c r="AG38" s="175">
        <f t="array" ref="AG38">IF(AND($L38&lt;&gt;"",AG$8&lt;&gt;""),COUNTIFS($I$9:$I$59,$L38,$J$9:$J$59,AG$8),0)</f>
        <v>0</v>
      </c>
      <c r="AH38" s="175">
        <f t="array" ref="AH38">IF(AND($L38&lt;&gt;"",AH$8&lt;&gt;""),COUNTIFS($I$9:$I$59,$L38,$J$9:$J$59,AH$8),0)</f>
        <v>0</v>
      </c>
      <c r="AI38" s="175">
        <f t="array" ref="AI38">IF(AND($L38&lt;&gt;"",AI$8&lt;&gt;""),COUNTIFS($I$9:$I$59,$L38,$J$9:$J$59,AI$8),0)</f>
        <v>0</v>
      </c>
      <c r="AJ38" s="175">
        <f t="array" ref="AJ38">IF(AND($L38&lt;&gt;"",AJ$8&lt;&gt;""),COUNTIFS($I$9:$I$59,$L38,$J$9:$J$59,AJ$8),0)</f>
        <v>0</v>
      </c>
      <c r="AK38" s="175">
        <f t="array" ref="AK38">IF(AND($L38&lt;&gt;"",AK$8&lt;&gt;""),COUNTIFS($I$9:$I$59,$L38,$J$9:$J$59,AK$8),0)</f>
        <v>0</v>
      </c>
      <c r="AL38" s="175">
        <f t="array" ref="AL38">IF(AND($L38&lt;&gt;"",AL$8&lt;&gt;""),COUNTIFS($I$9:$I$59,$L38,$J$9:$J$59,AL$8),0)</f>
        <v>0</v>
      </c>
      <c r="AM38" s="175">
        <f t="array" ref="AM38">IF(AND($L38&lt;&gt;"",AM$8&lt;&gt;""),COUNTIFS($I$9:$I$59,$L38,$J$9:$J$59,AM$8),0)</f>
        <v>0</v>
      </c>
      <c r="AN38" s="175">
        <f t="array" ref="AN38">IF(AND($L38&lt;&gt;"",AN$8&lt;&gt;""),COUNTIFS($I$9:$I$59,$L38,$J$9:$J$59,AN$8),0)</f>
        <v>0</v>
      </c>
      <c r="AO38" s="175">
        <f t="array" ref="AO38">IF(AND($L38&lt;&gt;"",AO$8&lt;&gt;""),COUNTIFS($I$9:$I$59,$L38,$J$9:$J$59,AO$8),0)</f>
        <v>0</v>
      </c>
      <c r="AP38" s="175">
        <f t="array" ref="AP38">IF(AND($L38&lt;&gt;"",AP$8&lt;&gt;""),COUNTIFS($I$9:$I$59,$L38,$J$9:$J$59,AP$8),0)</f>
        <v>0</v>
      </c>
      <c r="AQ38" s="175">
        <f t="array" ref="AQ38">IF(AND($L38&lt;&gt;"",AQ$8&lt;&gt;""),COUNTIFS($I$9:$I$59,$L38,$J$9:$J$59,AQ$8),0)</f>
        <v>0</v>
      </c>
      <c r="AR38" s="175">
        <f t="array" ref="AR38">IF(AND($L38&lt;&gt;"",AR$8&lt;&gt;""),COUNTIFS($I$9:$I$59,$L38,$J$9:$J$59,AR$8),0)</f>
        <v>0</v>
      </c>
      <c r="AS38" s="175">
        <f t="array" ref="AS38">IF(AND($L38&lt;&gt;"",AS$8&lt;&gt;""),COUNTIFS($I$9:$I$59,$L38,$J$9:$J$59,AS$8),0)</f>
        <v>0</v>
      </c>
      <c r="AT38" s="175">
        <f t="array" ref="AT38">IF(AND($L38&lt;&gt;"",AT$8&lt;&gt;""),COUNTIFS($I$9:$I$59,$L38,$J$9:$J$59,AT$8),0)</f>
        <v>0</v>
      </c>
      <c r="AU38" s="175">
        <f t="array" ref="AU38">IF(AND($L38&lt;&gt;"",AU$8&lt;&gt;""),COUNTIFS($I$9:$I$59,$L38,$J$9:$J$59,AU$8),0)</f>
        <v>0</v>
      </c>
      <c r="AV38" s="175">
        <f t="array" ref="AV38">IF(AND($L38&lt;&gt;"",AV$8&lt;&gt;""),COUNTIFS($I$9:$I$59,$L38,$J$9:$J$59,AV$8),0)</f>
        <v>0</v>
      </c>
      <c r="AW38" s="175">
        <f t="array" ref="AW38">IF(AND($L38&lt;&gt;"",AW$8&lt;&gt;""),COUNTIFS($I$9:$I$59,$L38,$J$9:$J$59,AW$8),0)</f>
        <v>0</v>
      </c>
      <c r="AX38" s="175">
        <f t="array" ref="AX38">IF(AND($L38&lt;&gt;"",AX$8&lt;&gt;""),COUNTIFS($I$9:$I$59,$L38,$J$9:$J$59,AX$8),0)</f>
        <v>0</v>
      </c>
      <c r="AY38" s="175">
        <f t="array" ref="AY38">IF(AND($L38&lt;&gt;"",AY$8&lt;&gt;""),COUNTIFS($I$9:$I$59,$L38,$J$9:$J$59,AY$8),0)</f>
        <v>0</v>
      </c>
      <c r="AZ38" s="175">
        <f t="array" ref="AZ38">IF(AND($L38&lt;&gt;"",AZ$8&lt;&gt;""),COUNTIFS($I$9:$I$59,$L38,$J$9:$J$59,AZ$8),0)</f>
        <v>0</v>
      </c>
      <c r="BA38" s="175">
        <f t="array" ref="BA38">IF(AND($L38&lt;&gt;"",BA$8&lt;&gt;""),COUNTIFS($I$9:$I$59,$L38,$J$9:$J$59,BA$8),0)</f>
        <v>0</v>
      </c>
      <c r="BB38" s="175">
        <f t="array" ref="BB38">IF(AND($L38&lt;&gt;"",BB$8&lt;&gt;""),COUNTIFS($I$9:$I$59,$L38,$J$9:$J$59,BB$8),0)</f>
        <v>0</v>
      </c>
      <c r="BC38" s="175">
        <f t="array" ref="BC38">IF(AND($L38&lt;&gt;"",BC$8&lt;&gt;""),COUNTIFS($I$9:$I$59,$L38,$J$9:$J$59,BC$8),0)</f>
        <v>0</v>
      </c>
      <c r="BD38" s="175">
        <f t="array" ref="BD38">IF(AND($L38&lt;&gt;"",BD$8&lt;&gt;""),COUNTIFS($I$9:$I$59,$L38,$J$9:$J$59,BD$8),0)</f>
        <v>0</v>
      </c>
      <c r="BE38" s="175">
        <f t="array" ref="BE38">IF(AND($L38&lt;&gt;"",BE$8&lt;&gt;""),COUNTIFS($I$9:$I$59,$L38,$J$9:$J$59,BE$8),0)</f>
        <v>0</v>
      </c>
      <c r="BF38" s="175">
        <f t="array" ref="BF38">IF(AND($L38&lt;&gt;"",BF$8&lt;&gt;""),COUNTIFS($I$9:$I$59,$L38,$J$9:$J$59,BF$8),0)</f>
        <v>0</v>
      </c>
      <c r="BG38" s="175">
        <f t="array" ref="BG38">IF(AND($L38&lt;&gt;"",BG$8&lt;&gt;""),COUNTIFS($I$9:$I$59,$L38,$J$9:$J$59,BG$8),0)</f>
        <v>0</v>
      </c>
      <c r="BH38" s="175">
        <f t="array" ref="BH38">IF(AND($L38&lt;&gt;"",BH$8&lt;&gt;""),COUNTIFS($I$9:$I$59,$L38,$J$9:$J$59,BH$8),0)</f>
        <v>0</v>
      </c>
      <c r="BI38" s="175">
        <f t="array" ref="BI38">IF(AND($L38&lt;&gt;"",BI$8&lt;&gt;""),COUNTIFS($I$9:$I$59,$L38,$J$9:$J$59,BI$8),0)</f>
        <v>0</v>
      </c>
      <c r="BJ38" s="175">
        <f t="array" ref="BJ38">IF(AND($L38&lt;&gt;"",BJ$8&lt;&gt;""),COUNTIFS($I$9:$I$59,$L38,$J$9:$J$59,BJ$8),0)</f>
        <v>0</v>
      </c>
    </row>
    <row r="39" spans="1:62" x14ac:dyDescent="0.2">
      <c r="A39" s="14"/>
      <c r="B39" s="108" t="s">
        <v>67</v>
      </c>
      <c r="C39" s="141"/>
      <c r="D39" s="104"/>
      <c r="E39" s="20"/>
      <c r="F39" s="105"/>
      <c r="G39" s="253"/>
      <c r="H39" s="109"/>
      <c r="I39" s="239" t="str">
        <f t="shared" si="1"/>
        <v/>
      </c>
      <c r="J39" s="168" t="str">
        <f t="shared" si="2"/>
        <v/>
      </c>
      <c r="L39" s="174" t="str">
        <f t="array" ref="L39">IFERROR(INDEX($I$9:$I$59,MATCH(0,COUNTIF($L$8:$L38,$I$9:$I$59),0)),"")</f>
        <v/>
      </c>
      <c r="M39" s="175">
        <f t="array" ref="M39">IF(AND($L39&lt;&gt;"",M$8&lt;&gt;""),COUNTIFS($I$9:$I$59,$L39,$J$9:$J$59,M$8),0)</f>
        <v>0</v>
      </c>
      <c r="N39" s="175">
        <f t="array" ref="N39">IF(AND($L39&lt;&gt;"",N$8&lt;&gt;""),COUNTIFS($I$9:$I$59,$L39,$J$9:$J$59,N$8),0)</f>
        <v>0</v>
      </c>
      <c r="O39" s="175">
        <f t="array" ref="O39">IF(AND($L39&lt;&gt;"",O$8&lt;&gt;""),COUNTIFS($I$9:$I$59,$L39,$J$9:$J$59,O$8),0)</f>
        <v>0</v>
      </c>
      <c r="P39" s="175">
        <f t="array" ref="P39">IF(AND($L39&lt;&gt;"",P$8&lt;&gt;""),COUNTIFS($I$9:$I$59,$L39,$J$9:$J$59,P$8),0)</f>
        <v>0</v>
      </c>
      <c r="Q39" s="175">
        <f t="array" ref="Q39">IF(AND($L39&lt;&gt;"",Q$8&lt;&gt;""),COUNTIFS($I$9:$I$59,$L39,$J$9:$J$59,Q$8),0)</f>
        <v>0</v>
      </c>
      <c r="R39" s="175">
        <f t="array" ref="R39">IF(AND($L39&lt;&gt;"",R$8&lt;&gt;""),COUNTIFS($I$9:$I$59,$L39,$J$9:$J$59,R$8),0)</f>
        <v>0</v>
      </c>
      <c r="S39" s="175">
        <f t="array" ref="S39">IF(AND($L39&lt;&gt;"",S$8&lt;&gt;""),COUNTIFS($I$9:$I$59,$L39,$J$9:$J$59,S$8),0)</f>
        <v>0</v>
      </c>
      <c r="T39" s="175">
        <f t="array" ref="T39">IF(AND($L39&lt;&gt;"",T$8&lt;&gt;""),COUNTIFS($I$9:$I$59,$L39,$J$9:$J$59,T$8),0)</f>
        <v>0</v>
      </c>
      <c r="U39" s="175">
        <f t="array" ref="U39">IF(AND($L39&lt;&gt;"",U$8&lt;&gt;""),COUNTIFS($I$9:$I$59,$L39,$J$9:$J$59,U$8),0)</f>
        <v>0</v>
      </c>
      <c r="V39" s="175">
        <f t="array" ref="V39">IF(AND($L39&lt;&gt;"",V$8&lt;&gt;""),COUNTIFS($I$9:$I$59,$L39,$J$9:$J$59,V$8),0)</f>
        <v>0</v>
      </c>
      <c r="W39" s="175">
        <f t="array" ref="W39">IF(AND($L39&lt;&gt;"",W$8&lt;&gt;""),COUNTIFS($I$9:$I$59,$L39,$J$9:$J$59,W$8),0)</f>
        <v>0</v>
      </c>
      <c r="X39" s="175">
        <f t="array" ref="X39">IF(AND($L39&lt;&gt;"",X$8&lt;&gt;""),COUNTIFS($I$9:$I$59,$L39,$J$9:$J$59,X$8),0)</f>
        <v>0</v>
      </c>
      <c r="Y39" s="175">
        <f t="array" ref="Y39">IF(AND($L39&lt;&gt;"",Y$8&lt;&gt;""),COUNTIFS($I$9:$I$59,$L39,$J$9:$J$59,Y$8),0)</f>
        <v>0</v>
      </c>
      <c r="Z39" s="175">
        <f t="array" ref="Z39">IF(AND($L39&lt;&gt;"",Z$8&lt;&gt;""),COUNTIFS($I$9:$I$59,$L39,$J$9:$J$59,Z$8),0)</f>
        <v>0</v>
      </c>
      <c r="AA39" s="175">
        <f t="array" ref="AA39">IF(AND($L39&lt;&gt;"",AA$8&lt;&gt;""),COUNTIFS($I$9:$I$59,$L39,$J$9:$J$59,AA$8),0)</f>
        <v>0</v>
      </c>
      <c r="AB39" s="175">
        <f t="array" ref="AB39">IF(AND($L39&lt;&gt;"",AB$8&lt;&gt;""),COUNTIFS($I$9:$I$59,$L39,$J$9:$J$59,AB$8),0)</f>
        <v>0</v>
      </c>
      <c r="AC39" s="175">
        <f t="array" ref="AC39">IF(AND($L39&lt;&gt;"",AC$8&lt;&gt;""),COUNTIFS($I$9:$I$59,$L39,$J$9:$J$59,AC$8),0)</f>
        <v>0</v>
      </c>
      <c r="AD39" s="175">
        <f t="array" ref="AD39">IF(AND($L39&lt;&gt;"",AD$8&lt;&gt;""),COUNTIFS($I$9:$I$59,$L39,$J$9:$J$59,AD$8),0)</f>
        <v>0</v>
      </c>
      <c r="AE39" s="175">
        <f t="array" ref="AE39">IF(AND($L39&lt;&gt;"",AE$8&lt;&gt;""),COUNTIFS($I$9:$I$59,$L39,$J$9:$J$59,AE$8),0)</f>
        <v>0</v>
      </c>
      <c r="AF39" s="175">
        <f t="array" ref="AF39">IF(AND($L39&lt;&gt;"",AF$8&lt;&gt;""),COUNTIFS($I$9:$I$59,$L39,$J$9:$J$59,AF$8),0)</f>
        <v>0</v>
      </c>
      <c r="AG39" s="175">
        <f t="array" ref="AG39">IF(AND($L39&lt;&gt;"",AG$8&lt;&gt;""),COUNTIFS($I$9:$I$59,$L39,$J$9:$J$59,AG$8),0)</f>
        <v>0</v>
      </c>
      <c r="AH39" s="175">
        <f t="array" ref="AH39">IF(AND($L39&lt;&gt;"",AH$8&lt;&gt;""),COUNTIFS($I$9:$I$59,$L39,$J$9:$J$59,AH$8),0)</f>
        <v>0</v>
      </c>
      <c r="AI39" s="175">
        <f t="array" ref="AI39">IF(AND($L39&lt;&gt;"",AI$8&lt;&gt;""),COUNTIFS($I$9:$I$59,$L39,$J$9:$J$59,AI$8),0)</f>
        <v>0</v>
      </c>
      <c r="AJ39" s="175">
        <f t="array" ref="AJ39">IF(AND($L39&lt;&gt;"",AJ$8&lt;&gt;""),COUNTIFS($I$9:$I$59,$L39,$J$9:$J$59,AJ$8),0)</f>
        <v>0</v>
      </c>
      <c r="AK39" s="175">
        <f t="array" ref="AK39">IF(AND($L39&lt;&gt;"",AK$8&lt;&gt;""),COUNTIFS($I$9:$I$59,$L39,$J$9:$J$59,AK$8),0)</f>
        <v>0</v>
      </c>
      <c r="AL39" s="175">
        <f t="array" ref="AL39">IF(AND($L39&lt;&gt;"",AL$8&lt;&gt;""),COUNTIFS($I$9:$I$59,$L39,$J$9:$J$59,AL$8),0)</f>
        <v>0</v>
      </c>
      <c r="AM39" s="175">
        <f t="array" ref="AM39">IF(AND($L39&lt;&gt;"",AM$8&lt;&gt;""),COUNTIFS($I$9:$I$59,$L39,$J$9:$J$59,AM$8),0)</f>
        <v>0</v>
      </c>
      <c r="AN39" s="175">
        <f t="array" ref="AN39">IF(AND($L39&lt;&gt;"",AN$8&lt;&gt;""),COUNTIFS($I$9:$I$59,$L39,$J$9:$J$59,AN$8),0)</f>
        <v>0</v>
      </c>
      <c r="AO39" s="175">
        <f t="array" ref="AO39">IF(AND($L39&lt;&gt;"",AO$8&lt;&gt;""),COUNTIFS($I$9:$I$59,$L39,$J$9:$J$59,AO$8),0)</f>
        <v>0</v>
      </c>
      <c r="AP39" s="175">
        <f t="array" ref="AP39">IF(AND($L39&lt;&gt;"",AP$8&lt;&gt;""),COUNTIFS($I$9:$I$59,$L39,$J$9:$J$59,AP$8),0)</f>
        <v>0</v>
      </c>
      <c r="AQ39" s="175">
        <f t="array" ref="AQ39">IF(AND($L39&lt;&gt;"",AQ$8&lt;&gt;""),COUNTIFS($I$9:$I$59,$L39,$J$9:$J$59,AQ$8),0)</f>
        <v>0</v>
      </c>
      <c r="AR39" s="175">
        <f t="array" ref="AR39">IF(AND($L39&lt;&gt;"",AR$8&lt;&gt;""),COUNTIFS($I$9:$I$59,$L39,$J$9:$J$59,AR$8),0)</f>
        <v>0</v>
      </c>
      <c r="AS39" s="175">
        <f t="array" ref="AS39">IF(AND($L39&lt;&gt;"",AS$8&lt;&gt;""),COUNTIFS($I$9:$I$59,$L39,$J$9:$J$59,AS$8),0)</f>
        <v>0</v>
      </c>
      <c r="AT39" s="175">
        <f t="array" ref="AT39">IF(AND($L39&lt;&gt;"",AT$8&lt;&gt;""),COUNTIFS($I$9:$I$59,$L39,$J$9:$J$59,AT$8),0)</f>
        <v>0</v>
      </c>
      <c r="AU39" s="175">
        <f t="array" ref="AU39">IF(AND($L39&lt;&gt;"",AU$8&lt;&gt;""),COUNTIFS($I$9:$I$59,$L39,$J$9:$J$59,AU$8),0)</f>
        <v>0</v>
      </c>
      <c r="AV39" s="175">
        <f t="array" ref="AV39">IF(AND($L39&lt;&gt;"",AV$8&lt;&gt;""),COUNTIFS($I$9:$I$59,$L39,$J$9:$J$59,AV$8),0)</f>
        <v>0</v>
      </c>
      <c r="AW39" s="175">
        <f t="array" ref="AW39">IF(AND($L39&lt;&gt;"",AW$8&lt;&gt;""),COUNTIFS($I$9:$I$59,$L39,$J$9:$J$59,AW$8),0)</f>
        <v>0</v>
      </c>
      <c r="AX39" s="175">
        <f t="array" ref="AX39">IF(AND($L39&lt;&gt;"",AX$8&lt;&gt;""),COUNTIFS($I$9:$I$59,$L39,$J$9:$J$59,AX$8),0)</f>
        <v>0</v>
      </c>
      <c r="AY39" s="175">
        <f t="array" ref="AY39">IF(AND($L39&lt;&gt;"",AY$8&lt;&gt;""),COUNTIFS($I$9:$I$59,$L39,$J$9:$J$59,AY$8),0)</f>
        <v>0</v>
      </c>
      <c r="AZ39" s="175">
        <f t="array" ref="AZ39">IF(AND($L39&lt;&gt;"",AZ$8&lt;&gt;""),COUNTIFS($I$9:$I$59,$L39,$J$9:$J$59,AZ$8),0)</f>
        <v>0</v>
      </c>
      <c r="BA39" s="175">
        <f t="array" ref="BA39">IF(AND($L39&lt;&gt;"",BA$8&lt;&gt;""),COUNTIFS($I$9:$I$59,$L39,$J$9:$J$59,BA$8),0)</f>
        <v>0</v>
      </c>
      <c r="BB39" s="175">
        <f t="array" ref="BB39">IF(AND($L39&lt;&gt;"",BB$8&lt;&gt;""),COUNTIFS($I$9:$I$59,$L39,$J$9:$J$59,BB$8),0)</f>
        <v>0</v>
      </c>
      <c r="BC39" s="175">
        <f t="array" ref="BC39">IF(AND($L39&lt;&gt;"",BC$8&lt;&gt;""),COUNTIFS($I$9:$I$59,$L39,$J$9:$J$59,BC$8),0)</f>
        <v>0</v>
      </c>
      <c r="BD39" s="175">
        <f t="array" ref="BD39">IF(AND($L39&lt;&gt;"",BD$8&lt;&gt;""),COUNTIFS($I$9:$I$59,$L39,$J$9:$J$59,BD$8),0)</f>
        <v>0</v>
      </c>
      <c r="BE39" s="175">
        <f t="array" ref="BE39">IF(AND($L39&lt;&gt;"",BE$8&lt;&gt;""),COUNTIFS($I$9:$I$59,$L39,$J$9:$J$59,BE$8),0)</f>
        <v>0</v>
      </c>
      <c r="BF39" s="175">
        <f t="array" ref="BF39">IF(AND($L39&lt;&gt;"",BF$8&lt;&gt;""),COUNTIFS($I$9:$I$59,$L39,$J$9:$J$59,BF$8),0)</f>
        <v>0</v>
      </c>
      <c r="BG39" s="175">
        <f t="array" ref="BG39">IF(AND($L39&lt;&gt;"",BG$8&lt;&gt;""),COUNTIFS($I$9:$I$59,$L39,$J$9:$J$59,BG$8),0)</f>
        <v>0</v>
      </c>
      <c r="BH39" s="175">
        <f t="array" ref="BH39">IF(AND($L39&lt;&gt;"",BH$8&lt;&gt;""),COUNTIFS($I$9:$I$59,$L39,$J$9:$J$59,BH$8),0)</f>
        <v>0</v>
      </c>
      <c r="BI39" s="175">
        <f t="array" ref="BI39">IF(AND($L39&lt;&gt;"",BI$8&lt;&gt;""),COUNTIFS($I$9:$I$59,$L39,$J$9:$J$59,BI$8),0)</f>
        <v>0</v>
      </c>
      <c r="BJ39" s="175">
        <f t="array" ref="BJ39">IF(AND($L39&lt;&gt;"",BJ$8&lt;&gt;""),COUNTIFS($I$9:$I$59,$L39,$J$9:$J$59,BJ$8),0)</f>
        <v>0</v>
      </c>
    </row>
    <row r="40" spans="1:62" x14ac:dyDescent="0.2">
      <c r="A40" s="14"/>
      <c r="B40" s="108" t="s">
        <v>68</v>
      </c>
      <c r="C40" s="141"/>
      <c r="D40" s="104"/>
      <c r="E40" s="20"/>
      <c r="F40" s="105"/>
      <c r="G40" s="253"/>
      <c r="H40" s="109"/>
      <c r="I40" s="239" t="str">
        <f t="shared" si="1"/>
        <v/>
      </c>
      <c r="J40" s="168" t="str">
        <f t="shared" si="2"/>
        <v/>
      </c>
      <c r="L40" s="174" t="str">
        <f t="array" ref="L40">IFERROR(INDEX($I$9:$I$59,MATCH(0,COUNTIF($L$8:$L39,$I$9:$I$59),0)),"")</f>
        <v/>
      </c>
      <c r="M40" s="175">
        <f t="array" ref="M40">IF(AND($L40&lt;&gt;"",M$8&lt;&gt;""),COUNTIFS($I$9:$I$59,$L40,$J$9:$J$59,M$8),0)</f>
        <v>0</v>
      </c>
      <c r="N40" s="175">
        <f t="array" ref="N40">IF(AND($L40&lt;&gt;"",N$8&lt;&gt;""),COUNTIFS($I$9:$I$59,$L40,$J$9:$J$59,N$8),0)</f>
        <v>0</v>
      </c>
      <c r="O40" s="175">
        <f t="array" ref="O40">IF(AND($L40&lt;&gt;"",O$8&lt;&gt;""),COUNTIFS($I$9:$I$59,$L40,$J$9:$J$59,O$8),0)</f>
        <v>0</v>
      </c>
      <c r="P40" s="175">
        <f t="array" ref="P40">IF(AND($L40&lt;&gt;"",P$8&lt;&gt;""),COUNTIFS($I$9:$I$59,$L40,$J$9:$J$59,P$8),0)</f>
        <v>0</v>
      </c>
      <c r="Q40" s="175">
        <f t="array" ref="Q40">IF(AND($L40&lt;&gt;"",Q$8&lt;&gt;""),COUNTIFS($I$9:$I$59,$L40,$J$9:$J$59,Q$8),0)</f>
        <v>0</v>
      </c>
      <c r="R40" s="175">
        <f t="array" ref="R40">IF(AND($L40&lt;&gt;"",R$8&lt;&gt;""),COUNTIFS($I$9:$I$59,$L40,$J$9:$J$59,R$8),0)</f>
        <v>0</v>
      </c>
      <c r="S40" s="175">
        <f t="array" ref="S40">IF(AND($L40&lt;&gt;"",S$8&lt;&gt;""),COUNTIFS($I$9:$I$59,$L40,$J$9:$J$59,S$8),0)</f>
        <v>0</v>
      </c>
      <c r="T40" s="175">
        <f t="array" ref="T40">IF(AND($L40&lt;&gt;"",T$8&lt;&gt;""),COUNTIFS($I$9:$I$59,$L40,$J$9:$J$59,T$8),0)</f>
        <v>0</v>
      </c>
      <c r="U40" s="175">
        <f t="array" ref="U40">IF(AND($L40&lt;&gt;"",U$8&lt;&gt;""),COUNTIFS($I$9:$I$59,$L40,$J$9:$J$59,U$8),0)</f>
        <v>0</v>
      </c>
      <c r="V40" s="175">
        <f t="array" ref="V40">IF(AND($L40&lt;&gt;"",V$8&lt;&gt;""),COUNTIFS($I$9:$I$59,$L40,$J$9:$J$59,V$8),0)</f>
        <v>0</v>
      </c>
      <c r="W40" s="175">
        <f t="array" ref="W40">IF(AND($L40&lt;&gt;"",W$8&lt;&gt;""),COUNTIFS($I$9:$I$59,$L40,$J$9:$J$59,W$8),0)</f>
        <v>0</v>
      </c>
      <c r="X40" s="175">
        <f t="array" ref="X40">IF(AND($L40&lt;&gt;"",X$8&lt;&gt;""),COUNTIFS($I$9:$I$59,$L40,$J$9:$J$59,X$8),0)</f>
        <v>0</v>
      </c>
      <c r="Y40" s="175">
        <f t="array" ref="Y40">IF(AND($L40&lt;&gt;"",Y$8&lt;&gt;""),COUNTIFS($I$9:$I$59,$L40,$J$9:$J$59,Y$8),0)</f>
        <v>0</v>
      </c>
      <c r="Z40" s="175">
        <f t="array" ref="Z40">IF(AND($L40&lt;&gt;"",Z$8&lt;&gt;""),COUNTIFS($I$9:$I$59,$L40,$J$9:$J$59,Z$8),0)</f>
        <v>0</v>
      </c>
      <c r="AA40" s="175">
        <f t="array" ref="AA40">IF(AND($L40&lt;&gt;"",AA$8&lt;&gt;""),COUNTIFS($I$9:$I$59,$L40,$J$9:$J$59,AA$8),0)</f>
        <v>0</v>
      </c>
      <c r="AB40" s="175">
        <f t="array" ref="AB40">IF(AND($L40&lt;&gt;"",AB$8&lt;&gt;""),COUNTIFS($I$9:$I$59,$L40,$J$9:$J$59,AB$8),0)</f>
        <v>0</v>
      </c>
      <c r="AC40" s="175">
        <f t="array" ref="AC40">IF(AND($L40&lt;&gt;"",AC$8&lt;&gt;""),COUNTIFS($I$9:$I$59,$L40,$J$9:$J$59,AC$8),0)</f>
        <v>0</v>
      </c>
      <c r="AD40" s="175">
        <f t="array" ref="AD40">IF(AND($L40&lt;&gt;"",AD$8&lt;&gt;""),COUNTIFS($I$9:$I$59,$L40,$J$9:$J$59,AD$8),0)</f>
        <v>0</v>
      </c>
      <c r="AE40" s="175">
        <f t="array" ref="AE40">IF(AND($L40&lt;&gt;"",AE$8&lt;&gt;""),COUNTIFS($I$9:$I$59,$L40,$J$9:$J$59,AE$8),0)</f>
        <v>0</v>
      </c>
      <c r="AF40" s="175">
        <f t="array" ref="AF40">IF(AND($L40&lt;&gt;"",AF$8&lt;&gt;""),COUNTIFS($I$9:$I$59,$L40,$J$9:$J$59,AF$8),0)</f>
        <v>0</v>
      </c>
      <c r="AG40" s="175">
        <f t="array" ref="AG40">IF(AND($L40&lt;&gt;"",AG$8&lt;&gt;""),COUNTIFS($I$9:$I$59,$L40,$J$9:$J$59,AG$8),0)</f>
        <v>0</v>
      </c>
      <c r="AH40" s="175">
        <f t="array" ref="AH40">IF(AND($L40&lt;&gt;"",AH$8&lt;&gt;""),COUNTIFS($I$9:$I$59,$L40,$J$9:$J$59,AH$8),0)</f>
        <v>0</v>
      </c>
      <c r="AI40" s="175">
        <f t="array" ref="AI40">IF(AND($L40&lt;&gt;"",AI$8&lt;&gt;""),COUNTIFS($I$9:$I$59,$L40,$J$9:$J$59,AI$8),0)</f>
        <v>0</v>
      </c>
      <c r="AJ40" s="175">
        <f t="array" ref="AJ40">IF(AND($L40&lt;&gt;"",AJ$8&lt;&gt;""),COUNTIFS($I$9:$I$59,$L40,$J$9:$J$59,AJ$8),0)</f>
        <v>0</v>
      </c>
      <c r="AK40" s="175">
        <f t="array" ref="AK40">IF(AND($L40&lt;&gt;"",AK$8&lt;&gt;""),COUNTIFS($I$9:$I$59,$L40,$J$9:$J$59,AK$8),0)</f>
        <v>0</v>
      </c>
      <c r="AL40" s="175">
        <f t="array" ref="AL40">IF(AND($L40&lt;&gt;"",AL$8&lt;&gt;""),COUNTIFS($I$9:$I$59,$L40,$J$9:$J$59,AL$8),0)</f>
        <v>0</v>
      </c>
      <c r="AM40" s="175">
        <f t="array" ref="AM40">IF(AND($L40&lt;&gt;"",AM$8&lt;&gt;""),COUNTIFS($I$9:$I$59,$L40,$J$9:$J$59,AM$8),0)</f>
        <v>0</v>
      </c>
      <c r="AN40" s="175">
        <f t="array" ref="AN40">IF(AND($L40&lt;&gt;"",AN$8&lt;&gt;""),COUNTIFS($I$9:$I$59,$L40,$J$9:$J$59,AN$8),0)</f>
        <v>0</v>
      </c>
      <c r="AO40" s="175">
        <f t="array" ref="AO40">IF(AND($L40&lt;&gt;"",AO$8&lt;&gt;""),COUNTIFS($I$9:$I$59,$L40,$J$9:$J$59,AO$8),0)</f>
        <v>0</v>
      </c>
      <c r="AP40" s="175">
        <f t="array" ref="AP40">IF(AND($L40&lt;&gt;"",AP$8&lt;&gt;""),COUNTIFS($I$9:$I$59,$L40,$J$9:$J$59,AP$8),0)</f>
        <v>0</v>
      </c>
      <c r="AQ40" s="175">
        <f t="array" ref="AQ40">IF(AND($L40&lt;&gt;"",AQ$8&lt;&gt;""),COUNTIFS($I$9:$I$59,$L40,$J$9:$J$59,AQ$8),0)</f>
        <v>0</v>
      </c>
      <c r="AR40" s="175">
        <f t="array" ref="AR40">IF(AND($L40&lt;&gt;"",AR$8&lt;&gt;""),COUNTIFS($I$9:$I$59,$L40,$J$9:$J$59,AR$8),0)</f>
        <v>0</v>
      </c>
      <c r="AS40" s="175">
        <f t="array" ref="AS40">IF(AND($L40&lt;&gt;"",AS$8&lt;&gt;""),COUNTIFS($I$9:$I$59,$L40,$J$9:$J$59,AS$8),0)</f>
        <v>0</v>
      </c>
      <c r="AT40" s="175">
        <f t="array" ref="AT40">IF(AND($L40&lt;&gt;"",AT$8&lt;&gt;""),COUNTIFS($I$9:$I$59,$L40,$J$9:$J$59,AT$8),0)</f>
        <v>0</v>
      </c>
      <c r="AU40" s="175">
        <f t="array" ref="AU40">IF(AND($L40&lt;&gt;"",AU$8&lt;&gt;""),COUNTIFS($I$9:$I$59,$L40,$J$9:$J$59,AU$8),0)</f>
        <v>0</v>
      </c>
      <c r="AV40" s="175">
        <f t="array" ref="AV40">IF(AND($L40&lt;&gt;"",AV$8&lt;&gt;""),COUNTIFS($I$9:$I$59,$L40,$J$9:$J$59,AV$8),0)</f>
        <v>0</v>
      </c>
      <c r="AW40" s="175">
        <f t="array" ref="AW40">IF(AND($L40&lt;&gt;"",AW$8&lt;&gt;""),COUNTIFS($I$9:$I$59,$L40,$J$9:$J$59,AW$8),0)</f>
        <v>0</v>
      </c>
      <c r="AX40" s="175">
        <f t="array" ref="AX40">IF(AND($L40&lt;&gt;"",AX$8&lt;&gt;""),COUNTIFS($I$9:$I$59,$L40,$J$9:$J$59,AX$8),0)</f>
        <v>0</v>
      </c>
      <c r="AY40" s="175">
        <f t="array" ref="AY40">IF(AND($L40&lt;&gt;"",AY$8&lt;&gt;""),COUNTIFS($I$9:$I$59,$L40,$J$9:$J$59,AY$8),0)</f>
        <v>0</v>
      </c>
      <c r="AZ40" s="175">
        <f t="array" ref="AZ40">IF(AND($L40&lt;&gt;"",AZ$8&lt;&gt;""),COUNTIFS($I$9:$I$59,$L40,$J$9:$J$59,AZ$8),0)</f>
        <v>0</v>
      </c>
      <c r="BA40" s="175">
        <f t="array" ref="BA40">IF(AND($L40&lt;&gt;"",BA$8&lt;&gt;""),COUNTIFS($I$9:$I$59,$L40,$J$9:$J$59,BA$8),0)</f>
        <v>0</v>
      </c>
      <c r="BB40" s="175">
        <f t="array" ref="BB40">IF(AND($L40&lt;&gt;"",BB$8&lt;&gt;""),COUNTIFS($I$9:$I$59,$L40,$J$9:$J$59,BB$8),0)</f>
        <v>0</v>
      </c>
      <c r="BC40" s="175">
        <f t="array" ref="BC40">IF(AND($L40&lt;&gt;"",BC$8&lt;&gt;""),COUNTIFS($I$9:$I$59,$L40,$J$9:$J$59,BC$8),0)</f>
        <v>0</v>
      </c>
      <c r="BD40" s="175">
        <f t="array" ref="BD40">IF(AND($L40&lt;&gt;"",BD$8&lt;&gt;""),COUNTIFS($I$9:$I$59,$L40,$J$9:$J$59,BD$8),0)</f>
        <v>0</v>
      </c>
      <c r="BE40" s="175">
        <f t="array" ref="BE40">IF(AND($L40&lt;&gt;"",BE$8&lt;&gt;""),COUNTIFS($I$9:$I$59,$L40,$J$9:$J$59,BE$8),0)</f>
        <v>0</v>
      </c>
      <c r="BF40" s="175">
        <f t="array" ref="BF40">IF(AND($L40&lt;&gt;"",BF$8&lt;&gt;""),COUNTIFS($I$9:$I$59,$L40,$J$9:$J$59,BF$8),0)</f>
        <v>0</v>
      </c>
      <c r="BG40" s="175">
        <f t="array" ref="BG40">IF(AND($L40&lt;&gt;"",BG$8&lt;&gt;""),COUNTIFS($I$9:$I$59,$L40,$J$9:$J$59,BG$8),0)</f>
        <v>0</v>
      </c>
      <c r="BH40" s="175">
        <f t="array" ref="BH40">IF(AND($L40&lt;&gt;"",BH$8&lt;&gt;""),COUNTIFS($I$9:$I$59,$L40,$J$9:$J$59,BH$8),0)</f>
        <v>0</v>
      </c>
      <c r="BI40" s="175">
        <f t="array" ref="BI40">IF(AND($L40&lt;&gt;"",BI$8&lt;&gt;""),COUNTIFS($I$9:$I$59,$L40,$J$9:$J$59,BI$8),0)</f>
        <v>0</v>
      </c>
      <c r="BJ40" s="175">
        <f t="array" ref="BJ40">IF(AND($L40&lt;&gt;"",BJ$8&lt;&gt;""),COUNTIFS($I$9:$I$59,$L40,$J$9:$J$59,BJ$8),0)</f>
        <v>0</v>
      </c>
    </row>
    <row r="41" spans="1:62" x14ac:dyDescent="0.2">
      <c r="A41" s="14"/>
      <c r="B41" s="108" t="s">
        <v>69</v>
      </c>
      <c r="C41" s="141"/>
      <c r="D41" s="104"/>
      <c r="E41" s="20"/>
      <c r="F41" s="105"/>
      <c r="G41" s="253"/>
      <c r="H41" s="109"/>
      <c r="I41" s="239" t="str">
        <f t="shared" si="1"/>
        <v/>
      </c>
      <c r="J41" s="168" t="str">
        <f t="shared" si="2"/>
        <v/>
      </c>
      <c r="L41" s="174" t="str">
        <f t="array" ref="L41">IFERROR(INDEX($I$9:$I$59,MATCH(0,COUNTIF($L$8:$L40,$I$9:$I$59),0)),"")</f>
        <v/>
      </c>
      <c r="M41" s="175">
        <f t="array" ref="M41">IF(AND($L41&lt;&gt;"",M$8&lt;&gt;""),COUNTIFS($I$9:$I$59,$L41,$J$9:$J$59,M$8),0)</f>
        <v>0</v>
      </c>
      <c r="N41" s="175">
        <f t="array" ref="N41">IF(AND($L41&lt;&gt;"",N$8&lt;&gt;""),COUNTIFS($I$9:$I$59,$L41,$J$9:$J$59,N$8),0)</f>
        <v>0</v>
      </c>
      <c r="O41" s="175">
        <f t="array" ref="O41">IF(AND($L41&lt;&gt;"",O$8&lt;&gt;""),COUNTIFS($I$9:$I$59,$L41,$J$9:$J$59,O$8),0)</f>
        <v>0</v>
      </c>
      <c r="P41" s="175">
        <f t="array" ref="P41">IF(AND($L41&lt;&gt;"",P$8&lt;&gt;""),COUNTIFS($I$9:$I$59,$L41,$J$9:$J$59,P$8),0)</f>
        <v>0</v>
      </c>
      <c r="Q41" s="175">
        <f t="array" ref="Q41">IF(AND($L41&lt;&gt;"",Q$8&lt;&gt;""),COUNTIFS($I$9:$I$59,$L41,$J$9:$J$59,Q$8),0)</f>
        <v>0</v>
      </c>
      <c r="R41" s="175">
        <f t="array" ref="R41">IF(AND($L41&lt;&gt;"",R$8&lt;&gt;""),COUNTIFS($I$9:$I$59,$L41,$J$9:$J$59,R$8),0)</f>
        <v>0</v>
      </c>
      <c r="S41" s="175">
        <f t="array" ref="S41">IF(AND($L41&lt;&gt;"",S$8&lt;&gt;""),COUNTIFS($I$9:$I$59,$L41,$J$9:$J$59,S$8),0)</f>
        <v>0</v>
      </c>
      <c r="T41" s="175">
        <f t="array" ref="T41">IF(AND($L41&lt;&gt;"",T$8&lt;&gt;""),COUNTIFS($I$9:$I$59,$L41,$J$9:$J$59,T$8),0)</f>
        <v>0</v>
      </c>
      <c r="U41" s="175">
        <f t="array" ref="U41">IF(AND($L41&lt;&gt;"",U$8&lt;&gt;""),COUNTIFS($I$9:$I$59,$L41,$J$9:$J$59,U$8),0)</f>
        <v>0</v>
      </c>
      <c r="V41" s="175">
        <f t="array" ref="V41">IF(AND($L41&lt;&gt;"",V$8&lt;&gt;""),COUNTIFS($I$9:$I$59,$L41,$J$9:$J$59,V$8),0)</f>
        <v>0</v>
      </c>
      <c r="W41" s="175">
        <f t="array" ref="W41">IF(AND($L41&lt;&gt;"",W$8&lt;&gt;""),COUNTIFS($I$9:$I$59,$L41,$J$9:$J$59,W$8),0)</f>
        <v>0</v>
      </c>
      <c r="X41" s="175">
        <f t="array" ref="X41">IF(AND($L41&lt;&gt;"",X$8&lt;&gt;""),COUNTIFS($I$9:$I$59,$L41,$J$9:$J$59,X$8),0)</f>
        <v>0</v>
      </c>
      <c r="Y41" s="175">
        <f t="array" ref="Y41">IF(AND($L41&lt;&gt;"",Y$8&lt;&gt;""),COUNTIFS($I$9:$I$59,$L41,$J$9:$J$59,Y$8),0)</f>
        <v>0</v>
      </c>
      <c r="Z41" s="175">
        <f t="array" ref="Z41">IF(AND($L41&lt;&gt;"",Z$8&lt;&gt;""),COUNTIFS($I$9:$I$59,$L41,$J$9:$J$59,Z$8),0)</f>
        <v>0</v>
      </c>
      <c r="AA41" s="175">
        <f t="array" ref="AA41">IF(AND($L41&lt;&gt;"",AA$8&lt;&gt;""),COUNTIFS($I$9:$I$59,$L41,$J$9:$J$59,AA$8),0)</f>
        <v>0</v>
      </c>
      <c r="AB41" s="175">
        <f t="array" ref="AB41">IF(AND($L41&lt;&gt;"",AB$8&lt;&gt;""),COUNTIFS($I$9:$I$59,$L41,$J$9:$J$59,AB$8),0)</f>
        <v>0</v>
      </c>
      <c r="AC41" s="175">
        <f t="array" ref="AC41">IF(AND($L41&lt;&gt;"",AC$8&lt;&gt;""),COUNTIFS($I$9:$I$59,$L41,$J$9:$J$59,AC$8),0)</f>
        <v>0</v>
      </c>
      <c r="AD41" s="175">
        <f t="array" ref="AD41">IF(AND($L41&lt;&gt;"",AD$8&lt;&gt;""),COUNTIFS($I$9:$I$59,$L41,$J$9:$J$59,AD$8),0)</f>
        <v>0</v>
      </c>
      <c r="AE41" s="175">
        <f t="array" ref="AE41">IF(AND($L41&lt;&gt;"",AE$8&lt;&gt;""),COUNTIFS($I$9:$I$59,$L41,$J$9:$J$59,AE$8),0)</f>
        <v>0</v>
      </c>
      <c r="AF41" s="175">
        <f t="array" ref="AF41">IF(AND($L41&lt;&gt;"",AF$8&lt;&gt;""),COUNTIFS($I$9:$I$59,$L41,$J$9:$J$59,AF$8),0)</f>
        <v>0</v>
      </c>
      <c r="AG41" s="175">
        <f t="array" ref="AG41">IF(AND($L41&lt;&gt;"",AG$8&lt;&gt;""),COUNTIFS($I$9:$I$59,$L41,$J$9:$J$59,AG$8),0)</f>
        <v>0</v>
      </c>
      <c r="AH41" s="175">
        <f t="array" ref="AH41">IF(AND($L41&lt;&gt;"",AH$8&lt;&gt;""),COUNTIFS($I$9:$I$59,$L41,$J$9:$J$59,AH$8),0)</f>
        <v>0</v>
      </c>
      <c r="AI41" s="175">
        <f t="array" ref="AI41">IF(AND($L41&lt;&gt;"",AI$8&lt;&gt;""),COUNTIFS($I$9:$I$59,$L41,$J$9:$J$59,AI$8),0)</f>
        <v>0</v>
      </c>
      <c r="AJ41" s="175">
        <f t="array" ref="AJ41">IF(AND($L41&lt;&gt;"",AJ$8&lt;&gt;""),COUNTIFS($I$9:$I$59,$L41,$J$9:$J$59,AJ$8),0)</f>
        <v>0</v>
      </c>
      <c r="AK41" s="175">
        <f t="array" ref="AK41">IF(AND($L41&lt;&gt;"",AK$8&lt;&gt;""),COUNTIFS($I$9:$I$59,$L41,$J$9:$J$59,AK$8),0)</f>
        <v>0</v>
      </c>
      <c r="AL41" s="175">
        <f t="array" ref="AL41">IF(AND($L41&lt;&gt;"",AL$8&lt;&gt;""),COUNTIFS($I$9:$I$59,$L41,$J$9:$J$59,AL$8),0)</f>
        <v>0</v>
      </c>
      <c r="AM41" s="175">
        <f t="array" ref="AM41">IF(AND($L41&lt;&gt;"",AM$8&lt;&gt;""),COUNTIFS($I$9:$I$59,$L41,$J$9:$J$59,AM$8),0)</f>
        <v>0</v>
      </c>
      <c r="AN41" s="175">
        <f t="array" ref="AN41">IF(AND($L41&lt;&gt;"",AN$8&lt;&gt;""),COUNTIFS($I$9:$I$59,$L41,$J$9:$J$59,AN$8),0)</f>
        <v>0</v>
      </c>
      <c r="AO41" s="175">
        <f t="array" ref="AO41">IF(AND($L41&lt;&gt;"",AO$8&lt;&gt;""),COUNTIFS($I$9:$I$59,$L41,$J$9:$J$59,AO$8),0)</f>
        <v>0</v>
      </c>
      <c r="AP41" s="175">
        <f t="array" ref="AP41">IF(AND($L41&lt;&gt;"",AP$8&lt;&gt;""),COUNTIFS($I$9:$I$59,$L41,$J$9:$J$59,AP$8),0)</f>
        <v>0</v>
      </c>
      <c r="AQ41" s="175">
        <f t="array" ref="AQ41">IF(AND($L41&lt;&gt;"",AQ$8&lt;&gt;""),COUNTIFS($I$9:$I$59,$L41,$J$9:$J$59,AQ$8),0)</f>
        <v>0</v>
      </c>
      <c r="AR41" s="175">
        <f t="array" ref="AR41">IF(AND($L41&lt;&gt;"",AR$8&lt;&gt;""),COUNTIFS($I$9:$I$59,$L41,$J$9:$J$59,AR$8),0)</f>
        <v>0</v>
      </c>
      <c r="AS41" s="175">
        <f t="array" ref="AS41">IF(AND($L41&lt;&gt;"",AS$8&lt;&gt;""),COUNTIFS($I$9:$I$59,$L41,$J$9:$J$59,AS$8),0)</f>
        <v>0</v>
      </c>
      <c r="AT41" s="175">
        <f t="array" ref="AT41">IF(AND($L41&lt;&gt;"",AT$8&lt;&gt;""),COUNTIFS($I$9:$I$59,$L41,$J$9:$J$59,AT$8),0)</f>
        <v>0</v>
      </c>
      <c r="AU41" s="175">
        <f t="array" ref="AU41">IF(AND($L41&lt;&gt;"",AU$8&lt;&gt;""),COUNTIFS($I$9:$I$59,$L41,$J$9:$J$59,AU$8),0)</f>
        <v>0</v>
      </c>
      <c r="AV41" s="175">
        <f t="array" ref="AV41">IF(AND($L41&lt;&gt;"",AV$8&lt;&gt;""),COUNTIFS($I$9:$I$59,$L41,$J$9:$J$59,AV$8),0)</f>
        <v>0</v>
      </c>
      <c r="AW41" s="175">
        <f t="array" ref="AW41">IF(AND($L41&lt;&gt;"",AW$8&lt;&gt;""),COUNTIFS($I$9:$I$59,$L41,$J$9:$J$59,AW$8),0)</f>
        <v>0</v>
      </c>
      <c r="AX41" s="175">
        <f t="array" ref="AX41">IF(AND($L41&lt;&gt;"",AX$8&lt;&gt;""),COUNTIFS($I$9:$I$59,$L41,$J$9:$J$59,AX$8),0)</f>
        <v>0</v>
      </c>
      <c r="AY41" s="175">
        <f t="array" ref="AY41">IF(AND($L41&lt;&gt;"",AY$8&lt;&gt;""),COUNTIFS($I$9:$I$59,$L41,$J$9:$J$59,AY$8),0)</f>
        <v>0</v>
      </c>
      <c r="AZ41" s="175">
        <f t="array" ref="AZ41">IF(AND($L41&lt;&gt;"",AZ$8&lt;&gt;""),COUNTIFS($I$9:$I$59,$L41,$J$9:$J$59,AZ$8),0)</f>
        <v>0</v>
      </c>
      <c r="BA41" s="175">
        <f t="array" ref="BA41">IF(AND($L41&lt;&gt;"",BA$8&lt;&gt;""),COUNTIFS($I$9:$I$59,$L41,$J$9:$J$59,BA$8),0)</f>
        <v>0</v>
      </c>
      <c r="BB41" s="175">
        <f t="array" ref="BB41">IF(AND($L41&lt;&gt;"",BB$8&lt;&gt;""),COUNTIFS($I$9:$I$59,$L41,$J$9:$J$59,BB$8),0)</f>
        <v>0</v>
      </c>
      <c r="BC41" s="175">
        <f t="array" ref="BC41">IF(AND($L41&lt;&gt;"",BC$8&lt;&gt;""),COUNTIFS($I$9:$I$59,$L41,$J$9:$J$59,BC$8),0)</f>
        <v>0</v>
      </c>
      <c r="BD41" s="175">
        <f t="array" ref="BD41">IF(AND($L41&lt;&gt;"",BD$8&lt;&gt;""),COUNTIFS($I$9:$I$59,$L41,$J$9:$J$59,BD$8),0)</f>
        <v>0</v>
      </c>
      <c r="BE41" s="175">
        <f t="array" ref="BE41">IF(AND($L41&lt;&gt;"",BE$8&lt;&gt;""),COUNTIFS($I$9:$I$59,$L41,$J$9:$J$59,BE$8),0)</f>
        <v>0</v>
      </c>
      <c r="BF41" s="175">
        <f t="array" ref="BF41">IF(AND($L41&lt;&gt;"",BF$8&lt;&gt;""),COUNTIFS($I$9:$I$59,$L41,$J$9:$J$59,BF$8),0)</f>
        <v>0</v>
      </c>
      <c r="BG41" s="175">
        <f t="array" ref="BG41">IF(AND($L41&lt;&gt;"",BG$8&lt;&gt;""),COUNTIFS($I$9:$I$59,$L41,$J$9:$J$59,BG$8),0)</f>
        <v>0</v>
      </c>
      <c r="BH41" s="175">
        <f t="array" ref="BH41">IF(AND($L41&lt;&gt;"",BH$8&lt;&gt;""),COUNTIFS($I$9:$I$59,$L41,$J$9:$J$59,BH$8),0)</f>
        <v>0</v>
      </c>
      <c r="BI41" s="175">
        <f t="array" ref="BI41">IF(AND($L41&lt;&gt;"",BI$8&lt;&gt;""),COUNTIFS($I$9:$I$59,$L41,$J$9:$J$59,BI$8),0)</f>
        <v>0</v>
      </c>
      <c r="BJ41" s="175">
        <f t="array" ref="BJ41">IF(AND($L41&lt;&gt;"",BJ$8&lt;&gt;""),COUNTIFS($I$9:$I$59,$L41,$J$9:$J$59,BJ$8),0)</f>
        <v>0</v>
      </c>
    </row>
    <row r="42" spans="1:62" x14ac:dyDescent="0.2">
      <c r="A42" s="14"/>
      <c r="B42" s="108" t="s">
        <v>70</v>
      </c>
      <c r="C42" s="141"/>
      <c r="D42" s="104"/>
      <c r="E42" s="20"/>
      <c r="F42" s="105"/>
      <c r="G42" s="253"/>
      <c r="H42" s="109"/>
      <c r="I42" s="239" t="str">
        <f t="shared" si="1"/>
        <v/>
      </c>
      <c r="J42" s="168" t="str">
        <f t="shared" si="2"/>
        <v/>
      </c>
      <c r="L42" s="174" t="str">
        <f t="array" ref="L42">IFERROR(INDEX($I$9:$I$59,MATCH(0,COUNTIF($L$8:$L41,$I$9:$I$59),0)),"")</f>
        <v/>
      </c>
      <c r="M42" s="175">
        <f t="array" ref="M42">IF(AND($L42&lt;&gt;"",M$8&lt;&gt;""),COUNTIFS($I$9:$I$59,$L42,$J$9:$J$59,M$8),0)</f>
        <v>0</v>
      </c>
      <c r="N42" s="175">
        <f t="array" ref="N42">IF(AND($L42&lt;&gt;"",N$8&lt;&gt;""),COUNTIFS($I$9:$I$59,$L42,$J$9:$J$59,N$8),0)</f>
        <v>0</v>
      </c>
      <c r="O42" s="175">
        <f t="array" ref="O42">IF(AND($L42&lt;&gt;"",O$8&lt;&gt;""),COUNTIFS($I$9:$I$59,$L42,$J$9:$J$59,O$8),0)</f>
        <v>0</v>
      </c>
      <c r="P42" s="175">
        <f t="array" ref="P42">IF(AND($L42&lt;&gt;"",P$8&lt;&gt;""),COUNTIFS($I$9:$I$59,$L42,$J$9:$J$59,P$8),0)</f>
        <v>0</v>
      </c>
      <c r="Q42" s="175">
        <f t="array" ref="Q42">IF(AND($L42&lt;&gt;"",Q$8&lt;&gt;""),COUNTIFS($I$9:$I$59,$L42,$J$9:$J$59,Q$8),0)</f>
        <v>0</v>
      </c>
      <c r="R42" s="175">
        <f t="array" ref="R42">IF(AND($L42&lt;&gt;"",R$8&lt;&gt;""),COUNTIFS($I$9:$I$59,$L42,$J$9:$J$59,R$8),0)</f>
        <v>0</v>
      </c>
      <c r="S42" s="175">
        <f t="array" ref="S42">IF(AND($L42&lt;&gt;"",S$8&lt;&gt;""),COUNTIFS($I$9:$I$59,$L42,$J$9:$J$59,S$8),0)</f>
        <v>0</v>
      </c>
      <c r="T42" s="175">
        <f t="array" ref="T42">IF(AND($L42&lt;&gt;"",T$8&lt;&gt;""),COUNTIFS($I$9:$I$59,$L42,$J$9:$J$59,T$8),0)</f>
        <v>0</v>
      </c>
      <c r="U42" s="175">
        <f t="array" ref="U42">IF(AND($L42&lt;&gt;"",U$8&lt;&gt;""),COUNTIFS($I$9:$I$59,$L42,$J$9:$J$59,U$8),0)</f>
        <v>0</v>
      </c>
      <c r="V42" s="175">
        <f t="array" ref="V42">IF(AND($L42&lt;&gt;"",V$8&lt;&gt;""),COUNTIFS($I$9:$I$59,$L42,$J$9:$J$59,V$8),0)</f>
        <v>0</v>
      </c>
      <c r="W42" s="175">
        <f t="array" ref="W42">IF(AND($L42&lt;&gt;"",W$8&lt;&gt;""),COUNTIFS($I$9:$I$59,$L42,$J$9:$J$59,W$8),0)</f>
        <v>0</v>
      </c>
      <c r="X42" s="175">
        <f t="array" ref="X42">IF(AND($L42&lt;&gt;"",X$8&lt;&gt;""),COUNTIFS($I$9:$I$59,$L42,$J$9:$J$59,X$8),0)</f>
        <v>0</v>
      </c>
      <c r="Y42" s="175">
        <f t="array" ref="Y42">IF(AND($L42&lt;&gt;"",Y$8&lt;&gt;""),COUNTIFS($I$9:$I$59,$L42,$J$9:$J$59,Y$8),0)</f>
        <v>0</v>
      </c>
      <c r="Z42" s="175">
        <f t="array" ref="Z42">IF(AND($L42&lt;&gt;"",Z$8&lt;&gt;""),COUNTIFS($I$9:$I$59,$L42,$J$9:$J$59,Z$8),0)</f>
        <v>0</v>
      </c>
      <c r="AA42" s="175">
        <f t="array" ref="AA42">IF(AND($L42&lt;&gt;"",AA$8&lt;&gt;""),COUNTIFS($I$9:$I$59,$L42,$J$9:$J$59,AA$8),0)</f>
        <v>0</v>
      </c>
      <c r="AB42" s="175">
        <f t="array" ref="AB42">IF(AND($L42&lt;&gt;"",AB$8&lt;&gt;""),COUNTIFS($I$9:$I$59,$L42,$J$9:$J$59,AB$8),0)</f>
        <v>0</v>
      </c>
      <c r="AC42" s="175">
        <f t="array" ref="AC42">IF(AND($L42&lt;&gt;"",AC$8&lt;&gt;""),COUNTIFS($I$9:$I$59,$L42,$J$9:$J$59,AC$8),0)</f>
        <v>0</v>
      </c>
      <c r="AD42" s="175">
        <f t="array" ref="AD42">IF(AND($L42&lt;&gt;"",AD$8&lt;&gt;""),COUNTIFS($I$9:$I$59,$L42,$J$9:$J$59,AD$8),0)</f>
        <v>0</v>
      </c>
      <c r="AE42" s="175">
        <f t="array" ref="AE42">IF(AND($L42&lt;&gt;"",AE$8&lt;&gt;""),COUNTIFS($I$9:$I$59,$L42,$J$9:$J$59,AE$8),0)</f>
        <v>0</v>
      </c>
      <c r="AF42" s="175">
        <f t="array" ref="AF42">IF(AND($L42&lt;&gt;"",AF$8&lt;&gt;""),COUNTIFS($I$9:$I$59,$L42,$J$9:$J$59,AF$8),0)</f>
        <v>0</v>
      </c>
      <c r="AG42" s="175">
        <f t="array" ref="AG42">IF(AND($L42&lt;&gt;"",AG$8&lt;&gt;""),COUNTIFS($I$9:$I$59,$L42,$J$9:$J$59,AG$8),0)</f>
        <v>0</v>
      </c>
      <c r="AH42" s="175">
        <f t="array" ref="AH42">IF(AND($L42&lt;&gt;"",AH$8&lt;&gt;""),COUNTIFS($I$9:$I$59,$L42,$J$9:$J$59,AH$8),0)</f>
        <v>0</v>
      </c>
      <c r="AI42" s="175">
        <f t="array" ref="AI42">IF(AND($L42&lt;&gt;"",AI$8&lt;&gt;""),COUNTIFS($I$9:$I$59,$L42,$J$9:$J$59,AI$8),0)</f>
        <v>0</v>
      </c>
      <c r="AJ42" s="175">
        <f t="array" ref="AJ42">IF(AND($L42&lt;&gt;"",AJ$8&lt;&gt;""),COUNTIFS($I$9:$I$59,$L42,$J$9:$J$59,AJ$8),0)</f>
        <v>0</v>
      </c>
      <c r="AK42" s="175">
        <f t="array" ref="AK42">IF(AND($L42&lt;&gt;"",AK$8&lt;&gt;""),COUNTIFS($I$9:$I$59,$L42,$J$9:$J$59,AK$8),0)</f>
        <v>0</v>
      </c>
      <c r="AL42" s="175">
        <f t="array" ref="AL42">IF(AND($L42&lt;&gt;"",AL$8&lt;&gt;""),COUNTIFS($I$9:$I$59,$L42,$J$9:$J$59,AL$8),0)</f>
        <v>0</v>
      </c>
      <c r="AM42" s="175">
        <f t="array" ref="AM42">IF(AND($L42&lt;&gt;"",AM$8&lt;&gt;""),COUNTIFS($I$9:$I$59,$L42,$J$9:$J$59,AM$8),0)</f>
        <v>0</v>
      </c>
      <c r="AN42" s="175">
        <f t="array" ref="AN42">IF(AND($L42&lt;&gt;"",AN$8&lt;&gt;""),COUNTIFS($I$9:$I$59,$L42,$J$9:$J$59,AN$8),0)</f>
        <v>0</v>
      </c>
      <c r="AO42" s="175">
        <f t="array" ref="AO42">IF(AND($L42&lt;&gt;"",AO$8&lt;&gt;""),COUNTIFS($I$9:$I$59,$L42,$J$9:$J$59,AO$8),0)</f>
        <v>0</v>
      </c>
      <c r="AP42" s="175">
        <f t="array" ref="AP42">IF(AND($L42&lt;&gt;"",AP$8&lt;&gt;""),COUNTIFS($I$9:$I$59,$L42,$J$9:$J$59,AP$8),0)</f>
        <v>0</v>
      </c>
      <c r="AQ42" s="175">
        <f t="array" ref="AQ42">IF(AND($L42&lt;&gt;"",AQ$8&lt;&gt;""),COUNTIFS($I$9:$I$59,$L42,$J$9:$J$59,AQ$8),0)</f>
        <v>0</v>
      </c>
      <c r="AR42" s="175">
        <f t="array" ref="AR42">IF(AND($L42&lt;&gt;"",AR$8&lt;&gt;""),COUNTIFS($I$9:$I$59,$L42,$J$9:$J$59,AR$8),0)</f>
        <v>0</v>
      </c>
      <c r="AS42" s="175">
        <f t="array" ref="AS42">IF(AND($L42&lt;&gt;"",AS$8&lt;&gt;""),COUNTIFS($I$9:$I$59,$L42,$J$9:$J$59,AS$8),0)</f>
        <v>0</v>
      </c>
      <c r="AT42" s="175">
        <f t="array" ref="AT42">IF(AND($L42&lt;&gt;"",AT$8&lt;&gt;""),COUNTIFS($I$9:$I$59,$L42,$J$9:$J$59,AT$8),0)</f>
        <v>0</v>
      </c>
      <c r="AU42" s="175">
        <f t="array" ref="AU42">IF(AND($L42&lt;&gt;"",AU$8&lt;&gt;""),COUNTIFS($I$9:$I$59,$L42,$J$9:$J$59,AU$8),0)</f>
        <v>0</v>
      </c>
      <c r="AV42" s="175">
        <f t="array" ref="AV42">IF(AND($L42&lt;&gt;"",AV$8&lt;&gt;""),COUNTIFS($I$9:$I$59,$L42,$J$9:$J$59,AV$8),0)</f>
        <v>0</v>
      </c>
      <c r="AW42" s="175">
        <f t="array" ref="AW42">IF(AND($L42&lt;&gt;"",AW$8&lt;&gt;""),COUNTIFS($I$9:$I$59,$L42,$J$9:$J$59,AW$8),0)</f>
        <v>0</v>
      </c>
      <c r="AX42" s="175">
        <f t="array" ref="AX42">IF(AND($L42&lt;&gt;"",AX$8&lt;&gt;""),COUNTIFS($I$9:$I$59,$L42,$J$9:$J$59,AX$8),0)</f>
        <v>0</v>
      </c>
      <c r="AY42" s="175">
        <f t="array" ref="AY42">IF(AND($L42&lt;&gt;"",AY$8&lt;&gt;""),COUNTIFS($I$9:$I$59,$L42,$J$9:$J$59,AY$8),0)</f>
        <v>0</v>
      </c>
      <c r="AZ42" s="175">
        <f t="array" ref="AZ42">IF(AND($L42&lt;&gt;"",AZ$8&lt;&gt;""),COUNTIFS($I$9:$I$59,$L42,$J$9:$J$59,AZ$8),0)</f>
        <v>0</v>
      </c>
      <c r="BA42" s="175">
        <f t="array" ref="BA42">IF(AND($L42&lt;&gt;"",BA$8&lt;&gt;""),COUNTIFS($I$9:$I$59,$L42,$J$9:$J$59,BA$8),0)</f>
        <v>0</v>
      </c>
      <c r="BB42" s="175">
        <f t="array" ref="BB42">IF(AND($L42&lt;&gt;"",BB$8&lt;&gt;""),COUNTIFS($I$9:$I$59,$L42,$J$9:$J$59,BB$8),0)</f>
        <v>0</v>
      </c>
      <c r="BC42" s="175">
        <f t="array" ref="BC42">IF(AND($L42&lt;&gt;"",BC$8&lt;&gt;""),COUNTIFS($I$9:$I$59,$L42,$J$9:$J$59,BC$8),0)</f>
        <v>0</v>
      </c>
      <c r="BD42" s="175">
        <f t="array" ref="BD42">IF(AND($L42&lt;&gt;"",BD$8&lt;&gt;""),COUNTIFS($I$9:$I$59,$L42,$J$9:$J$59,BD$8),0)</f>
        <v>0</v>
      </c>
      <c r="BE42" s="175">
        <f t="array" ref="BE42">IF(AND($L42&lt;&gt;"",BE$8&lt;&gt;""),COUNTIFS($I$9:$I$59,$L42,$J$9:$J$59,BE$8),0)</f>
        <v>0</v>
      </c>
      <c r="BF42" s="175">
        <f t="array" ref="BF42">IF(AND($L42&lt;&gt;"",BF$8&lt;&gt;""),COUNTIFS($I$9:$I$59,$L42,$J$9:$J$59,BF$8),0)</f>
        <v>0</v>
      </c>
      <c r="BG42" s="175">
        <f t="array" ref="BG42">IF(AND($L42&lt;&gt;"",BG$8&lt;&gt;""),COUNTIFS($I$9:$I$59,$L42,$J$9:$J$59,BG$8),0)</f>
        <v>0</v>
      </c>
      <c r="BH42" s="175">
        <f t="array" ref="BH42">IF(AND($L42&lt;&gt;"",BH$8&lt;&gt;""),COUNTIFS($I$9:$I$59,$L42,$J$9:$J$59,BH$8),0)</f>
        <v>0</v>
      </c>
      <c r="BI42" s="175">
        <f t="array" ref="BI42">IF(AND($L42&lt;&gt;"",BI$8&lt;&gt;""),COUNTIFS($I$9:$I$59,$L42,$J$9:$J$59,BI$8),0)</f>
        <v>0</v>
      </c>
      <c r="BJ42" s="175">
        <f t="array" ref="BJ42">IF(AND($L42&lt;&gt;"",BJ$8&lt;&gt;""),COUNTIFS($I$9:$I$59,$L42,$J$9:$J$59,BJ$8),0)</f>
        <v>0</v>
      </c>
    </row>
    <row r="43" spans="1:62" x14ac:dyDescent="0.2">
      <c r="A43" s="14"/>
      <c r="B43" s="108" t="s">
        <v>71</v>
      </c>
      <c r="C43" s="141"/>
      <c r="D43" s="104"/>
      <c r="E43" s="20"/>
      <c r="F43" s="105"/>
      <c r="G43" s="253"/>
      <c r="H43" s="109"/>
      <c r="I43" s="239" t="str">
        <f t="shared" si="1"/>
        <v/>
      </c>
      <c r="J43" s="168" t="str">
        <f t="shared" si="2"/>
        <v/>
      </c>
      <c r="L43" s="174" t="str">
        <f t="array" ref="L43">IFERROR(INDEX($I$9:$I$59,MATCH(0,COUNTIF($L$8:$L42,$I$9:$I$59),0)),"")</f>
        <v/>
      </c>
      <c r="M43" s="175">
        <f t="array" ref="M43">IF(AND($L43&lt;&gt;"",M$8&lt;&gt;""),COUNTIFS($I$9:$I$59,$L43,$J$9:$J$59,M$8),0)</f>
        <v>0</v>
      </c>
      <c r="N43" s="175">
        <f t="array" ref="N43">IF(AND($L43&lt;&gt;"",N$8&lt;&gt;""),COUNTIFS($I$9:$I$59,$L43,$J$9:$J$59,N$8),0)</f>
        <v>0</v>
      </c>
      <c r="O43" s="175">
        <f t="array" ref="O43">IF(AND($L43&lt;&gt;"",O$8&lt;&gt;""),COUNTIFS($I$9:$I$59,$L43,$J$9:$J$59,O$8),0)</f>
        <v>0</v>
      </c>
      <c r="P43" s="175">
        <f t="array" ref="P43">IF(AND($L43&lt;&gt;"",P$8&lt;&gt;""),COUNTIFS($I$9:$I$59,$L43,$J$9:$J$59,P$8),0)</f>
        <v>0</v>
      </c>
      <c r="Q43" s="175">
        <f t="array" ref="Q43">IF(AND($L43&lt;&gt;"",Q$8&lt;&gt;""),COUNTIFS($I$9:$I$59,$L43,$J$9:$J$59,Q$8),0)</f>
        <v>0</v>
      </c>
      <c r="R43" s="175">
        <f t="array" ref="R43">IF(AND($L43&lt;&gt;"",R$8&lt;&gt;""),COUNTIFS($I$9:$I$59,$L43,$J$9:$J$59,R$8),0)</f>
        <v>0</v>
      </c>
      <c r="S43" s="175">
        <f t="array" ref="S43">IF(AND($L43&lt;&gt;"",S$8&lt;&gt;""),COUNTIFS($I$9:$I$59,$L43,$J$9:$J$59,S$8),0)</f>
        <v>0</v>
      </c>
      <c r="T43" s="175">
        <f t="array" ref="T43">IF(AND($L43&lt;&gt;"",T$8&lt;&gt;""),COUNTIFS($I$9:$I$59,$L43,$J$9:$J$59,T$8),0)</f>
        <v>0</v>
      </c>
      <c r="U43" s="175">
        <f t="array" ref="U43">IF(AND($L43&lt;&gt;"",U$8&lt;&gt;""),COUNTIFS($I$9:$I$59,$L43,$J$9:$J$59,U$8),0)</f>
        <v>0</v>
      </c>
      <c r="V43" s="175">
        <f t="array" ref="V43">IF(AND($L43&lt;&gt;"",V$8&lt;&gt;""),COUNTIFS($I$9:$I$59,$L43,$J$9:$J$59,V$8),0)</f>
        <v>0</v>
      </c>
      <c r="W43" s="175">
        <f t="array" ref="W43">IF(AND($L43&lt;&gt;"",W$8&lt;&gt;""),COUNTIFS($I$9:$I$59,$L43,$J$9:$J$59,W$8),0)</f>
        <v>0</v>
      </c>
      <c r="X43" s="175">
        <f t="array" ref="X43">IF(AND($L43&lt;&gt;"",X$8&lt;&gt;""),COUNTIFS($I$9:$I$59,$L43,$J$9:$J$59,X$8),0)</f>
        <v>0</v>
      </c>
      <c r="Y43" s="175">
        <f t="array" ref="Y43">IF(AND($L43&lt;&gt;"",Y$8&lt;&gt;""),COUNTIFS($I$9:$I$59,$L43,$J$9:$J$59,Y$8),0)</f>
        <v>0</v>
      </c>
      <c r="Z43" s="175">
        <f t="array" ref="Z43">IF(AND($L43&lt;&gt;"",Z$8&lt;&gt;""),COUNTIFS($I$9:$I$59,$L43,$J$9:$J$59,Z$8),0)</f>
        <v>0</v>
      </c>
      <c r="AA43" s="175">
        <f t="array" ref="AA43">IF(AND($L43&lt;&gt;"",AA$8&lt;&gt;""),COUNTIFS($I$9:$I$59,$L43,$J$9:$J$59,AA$8),0)</f>
        <v>0</v>
      </c>
      <c r="AB43" s="175">
        <f t="array" ref="AB43">IF(AND($L43&lt;&gt;"",AB$8&lt;&gt;""),COUNTIFS($I$9:$I$59,$L43,$J$9:$J$59,AB$8),0)</f>
        <v>0</v>
      </c>
      <c r="AC43" s="175">
        <f t="array" ref="AC43">IF(AND($L43&lt;&gt;"",AC$8&lt;&gt;""),COUNTIFS($I$9:$I$59,$L43,$J$9:$J$59,AC$8),0)</f>
        <v>0</v>
      </c>
      <c r="AD43" s="175">
        <f t="array" ref="AD43">IF(AND($L43&lt;&gt;"",AD$8&lt;&gt;""),COUNTIFS($I$9:$I$59,$L43,$J$9:$J$59,AD$8),0)</f>
        <v>0</v>
      </c>
      <c r="AE43" s="175">
        <f t="array" ref="AE43">IF(AND($L43&lt;&gt;"",AE$8&lt;&gt;""),COUNTIFS($I$9:$I$59,$L43,$J$9:$J$59,AE$8),0)</f>
        <v>0</v>
      </c>
      <c r="AF43" s="175">
        <f t="array" ref="AF43">IF(AND($L43&lt;&gt;"",AF$8&lt;&gt;""),COUNTIFS($I$9:$I$59,$L43,$J$9:$J$59,AF$8),0)</f>
        <v>0</v>
      </c>
      <c r="AG43" s="175">
        <f t="array" ref="AG43">IF(AND($L43&lt;&gt;"",AG$8&lt;&gt;""),COUNTIFS($I$9:$I$59,$L43,$J$9:$J$59,AG$8),0)</f>
        <v>0</v>
      </c>
      <c r="AH43" s="175">
        <f t="array" ref="AH43">IF(AND($L43&lt;&gt;"",AH$8&lt;&gt;""),COUNTIFS($I$9:$I$59,$L43,$J$9:$J$59,AH$8),0)</f>
        <v>0</v>
      </c>
      <c r="AI43" s="175">
        <f t="array" ref="AI43">IF(AND($L43&lt;&gt;"",AI$8&lt;&gt;""),COUNTIFS($I$9:$I$59,$L43,$J$9:$J$59,AI$8),0)</f>
        <v>0</v>
      </c>
      <c r="AJ43" s="175">
        <f t="array" ref="AJ43">IF(AND($L43&lt;&gt;"",AJ$8&lt;&gt;""),COUNTIFS($I$9:$I$59,$L43,$J$9:$J$59,AJ$8),0)</f>
        <v>0</v>
      </c>
      <c r="AK43" s="175">
        <f t="array" ref="AK43">IF(AND($L43&lt;&gt;"",AK$8&lt;&gt;""),COUNTIFS($I$9:$I$59,$L43,$J$9:$J$59,AK$8),0)</f>
        <v>0</v>
      </c>
      <c r="AL43" s="175">
        <f t="array" ref="AL43">IF(AND($L43&lt;&gt;"",AL$8&lt;&gt;""),COUNTIFS($I$9:$I$59,$L43,$J$9:$J$59,AL$8),0)</f>
        <v>0</v>
      </c>
      <c r="AM43" s="175">
        <f t="array" ref="AM43">IF(AND($L43&lt;&gt;"",AM$8&lt;&gt;""),COUNTIFS($I$9:$I$59,$L43,$J$9:$J$59,AM$8),0)</f>
        <v>0</v>
      </c>
      <c r="AN43" s="175">
        <f t="array" ref="AN43">IF(AND($L43&lt;&gt;"",AN$8&lt;&gt;""),COUNTIFS($I$9:$I$59,$L43,$J$9:$J$59,AN$8),0)</f>
        <v>0</v>
      </c>
      <c r="AO43" s="175">
        <f t="array" ref="AO43">IF(AND($L43&lt;&gt;"",AO$8&lt;&gt;""),COUNTIFS($I$9:$I$59,$L43,$J$9:$J$59,AO$8),0)</f>
        <v>0</v>
      </c>
      <c r="AP43" s="175">
        <f t="array" ref="AP43">IF(AND($L43&lt;&gt;"",AP$8&lt;&gt;""),COUNTIFS($I$9:$I$59,$L43,$J$9:$J$59,AP$8),0)</f>
        <v>0</v>
      </c>
      <c r="AQ43" s="175">
        <f t="array" ref="AQ43">IF(AND($L43&lt;&gt;"",AQ$8&lt;&gt;""),COUNTIFS($I$9:$I$59,$L43,$J$9:$J$59,AQ$8),0)</f>
        <v>0</v>
      </c>
      <c r="AR43" s="175">
        <f t="array" ref="AR43">IF(AND($L43&lt;&gt;"",AR$8&lt;&gt;""),COUNTIFS($I$9:$I$59,$L43,$J$9:$J$59,AR$8),0)</f>
        <v>0</v>
      </c>
      <c r="AS43" s="175">
        <f t="array" ref="AS43">IF(AND($L43&lt;&gt;"",AS$8&lt;&gt;""),COUNTIFS($I$9:$I$59,$L43,$J$9:$J$59,AS$8),0)</f>
        <v>0</v>
      </c>
      <c r="AT43" s="175">
        <f t="array" ref="AT43">IF(AND($L43&lt;&gt;"",AT$8&lt;&gt;""),COUNTIFS($I$9:$I$59,$L43,$J$9:$J$59,AT$8),0)</f>
        <v>0</v>
      </c>
      <c r="AU43" s="175">
        <f t="array" ref="AU43">IF(AND($L43&lt;&gt;"",AU$8&lt;&gt;""),COUNTIFS($I$9:$I$59,$L43,$J$9:$J$59,AU$8),0)</f>
        <v>0</v>
      </c>
      <c r="AV43" s="175">
        <f t="array" ref="AV43">IF(AND($L43&lt;&gt;"",AV$8&lt;&gt;""),COUNTIFS($I$9:$I$59,$L43,$J$9:$J$59,AV$8),0)</f>
        <v>0</v>
      </c>
      <c r="AW43" s="175">
        <f t="array" ref="AW43">IF(AND($L43&lt;&gt;"",AW$8&lt;&gt;""),COUNTIFS($I$9:$I$59,$L43,$J$9:$J$59,AW$8),0)</f>
        <v>0</v>
      </c>
      <c r="AX43" s="175">
        <f t="array" ref="AX43">IF(AND($L43&lt;&gt;"",AX$8&lt;&gt;""),COUNTIFS($I$9:$I$59,$L43,$J$9:$J$59,AX$8),0)</f>
        <v>0</v>
      </c>
      <c r="AY43" s="175">
        <f t="array" ref="AY43">IF(AND($L43&lt;&gt;"",AY$8&lt;&gt;""),COUNTIFS($I$9:$I$59,$L43,$J$9:$J$59,AY$8),0)</f>
        <v>0</v>
      </c>
      <c r="AZ43" s="175">
        <f t="array" ref="AZ43">IF(AND($L43&lt;&gt;"",AZ$8&lt;&gt;""),COUNTIFS($I$9:$I$59,$L43,$J$9:$J$59,AZ$8),0)</f>
        <v>0</v>
      </c>
      <c r="BA43" s="175">
        <f t="array" ref="BA43">IF(AND($L43&lt;&gt;"",BA$8&lt;&gt;""),COUNTIFS($I$9:$I$59,$L43,$J$9:$J$59,BA$8),0)</f>
        <v>0</v>
      </c>
      <c r="BB43" s="175">
        <f t="array" ref="BB43">IF(AND($L43&lt;&gt;"",BB$8&lt;&gt;""),COUNTIFS($I$9:$I$59,$L43,$J$9:$J$59,BB$8),0)</f>
        <v>0</v>
      </c>
      <c r="BC43" s="175">
        <f t="array" ref="BC43">IF(AND($L43&lt;&gt;"",BC$8&lt;&gt;""),COUNTIFS($I$9:$I$59,$L43,$J$9:$J$59,BC$8),0)</f>
        <v>0</v>
      </c>
      <c r="BD43" s="175">
        <f t="array" ref="BD43">IF(AND($L43&lt;&gt;"",BD$8&lt;&gt;""),COUNTIFS($I$9:$I$59,$L43,$J$9:$J$59,BD$8),0)</f>
        <v>0</v>
      </c>
      <c r="BE43" s="175">
        <f t="array" ref="BE43">IF(AND($L43&lt;&gt;"",BE$8&lt;&gt;""),COUNTIFS($I$9:$I$59,$L43,$J$9:$J$59,BE$8),0)</f>
        <v>0</v>
      </c>
      <c r="BF43" s="175">
        <f t="array" ref="BF43">IF(AND($L43&lt;&gt;"",BF$8&lt;&gt;""),COUNTIFS($I$9:$I$59,$L43,$J$9:$J$59,BF$8),0)</f>
        <v>0</v>
      </c>
      <c r="BG43" s="175">
        <f t="array" ref="BG43">IF(AND($L43&lt;&gt;"",BG$8&lt;&gt;""),COUNTIFS($I$9:$I$59,$L43,$J$9:$J$59,BG$8),0)</f>
        <v>0</v>
      </c>
      <c r="BH43" s="175">
        <f t="array" ref="BH43">IF(AND($L43&lt;&gt;"",BH$8&lt;&gt;""),COUNTIFS($I$9:$I$59,$L43,$J$9:$J$59,BH$8),0)</f>
        <v>0</v>
      </c>
      <c r="BI43" s="175">
        <f t="array" ref="BI43">IF(AND($L43&lt;&gt;"",BI$8&lt;&gt;""),COUNTIFS($I$9:$I$59,$L43,$J$9:$J$59,BI$8),0)</f>
        <v>0</v>
      </c>
      <c r="BJ43" s="175">
        <f t="array" ref="BJ43">IF(AND($L43&lt;&gt;"",BJ$8&lt;&gt;""),COUNTIFS($I$9:$I$59,$L43,$J$9:$J$59,BJ$8),0)</f>
        <v>0</v>
      </c>
    </row>
    <row r="44" spans="1:62" x14ac:dyDescent="0.2">
      <c r="A44" s="14"/>
      <c r="B44" s="108" t="s">
        <v>72</v>
      </c>
      <c r="C44" s="141"/>
      <c r="D44" s="104"/>
      <c r="E44" s="20"/>
      <c r="F44" s="105"/>
      <c r="G44" s="253"/>
      <c r="H44" s="109"/>
      <c r="I44" s="239" t="str">
        <f t="shared" si="1"/>
        <v/>
      </c>
      <c r="J44" s="168" t="str">
        <f t="shared" si="2"/>
        <v/>
      </c>
      <c r="L44" s="174" t="str">
        <f t="array" ref="L44">IFERROR(INDEX($I$9:$I$59,MATCH(0,COUNTIF($L$8:$L43,$I$9:$I$59),0)),"")</f>
        <v/>
      </c>
      <c r="M44" s="175">
        <f t="array" ref="M44">IF(AND($L44&lt;&gt;"",M$8&lt;&gt;""),COUNTIFS($I$9:$I$59,$L44,$J$9:$J$59,M$8),0)</f>
        <v>0</v>
      </c>
      <c r="N44" s="175">
        <f t="array" ref="N44">IF(AND($L44&lt;&gt;"",N$8&lt;&gt;""),COUNTIFS($I$9:$I$59,$L44,$J$9:$J$59,N$8),0)</f>
        <v>0</v>
      </c>
      <c r="O44" s="175">
        <f t="array" ref="O44">IF(AND($L44&lt;&gt;"",O$8&lt;&gt;""),COUNTIFS($I$9:$I$59,$L44,$J$9:$J$59,O$8),0)</f>
        <v>0</v>
      </c>
      <c r="P44" s="175">
        <f t="array" ref="P44">IF(AND($L44&lt;&gt;"",P$8&lt;&gt;""),COUNTIFS($I$9:$I$59,$L44,$J$9:$J$59,P$8),0)</f>
        <v>0</v>
      </c>
      <c r="Q44" s="175">
        <f t="array" ref="Q44">IF(AND($L44&lt;&gt;"",Q$8&lt;&gt;""),COUNTIFS($I$9:$I$59,$L44,$J$9:$J$59,Q$8),0)</f>
        <v>0</v>
      </c>
      <c r="R44" s="175">
        <f t="array" ref="R44">IF(AND($L44&lt;&gt;"",R$8&lt;&gt;""),COUNTIFS($I$9:$I$59,$L44,$J$9:$J$59,R$8),0)</f>
        <v>0</v>
      </c>
      <c r="S44" s="175">
        <f t="array" ref="S44">IF(AND($L44&lt;&gt;"",S$8&lt;&gt;""),COUNTIFS($I$9:$I$59,$L44,$J$9:$J$59,S$8),0)</f>
        <v>0</v>
      </c>
      <c r="T44" s="175">
        <f t="array" ref="T44">IF(AND($L44&lt;&gt;"",T$8&lt;&gt;""),COUNTIFS($I$9:$I$59,$L44,$J$9:$J$59,T$8),0)</f>
        <v>0</v>
      </c>
      <c r="U44" s="175">
        <f t="array" ref="U44">IF(AND($L44&lt;&gt;"",U$8&lt;&gt;""),COUNTIFS($I$9:$I$59,$L44,$J$9:$J$59,U$8),0)</f>
        <v>0</v>
      </c>
      <c r="V44" s="175">
        <f t="array" ref="V44">IF(AND($L44&lt;&gt;"",V$8&lt;&gt;""),COUNTIFS($I$9:$I$59,$L44,$J$9:$J$59,V$8),0)</f>
        <v>0</v>
      </c>
      <c r="W44" s="175">
        <f t="array" ref="W44">IF(AND($L44&lt;&gt;"",W$8&lt;&gt;""),COUNTIFS($I$9:$I$59,$L44,$J$9:$J$59,W$8),0)</f>
        <v>0</v>
      </c>
      <c r="X44" s="175">
        <f t="array" ref="X44">IF(AND($L44&lt;&gt;"",X$8&lt;&gt;""),COUNTIFS($I$9:$I$59,$L44,$J$9:$J$59,X$8),0)</f>
        <v>0</v>
      </c>
      <c r="Y44" s="175">
        <f t="array" ref="Y44">IF(AND($L44&lt;&gt;"",Y$8&lt;&gt;""),COUNTIFS($I$9:$I$59,$L44,$J$9:$J$59,Y$8),0)</f>
        <v>0</v>
      </c>
      <c r="Z44" s="175">
        <f t="array" ref="Z44">IF(AND($L44&lt;&gt;"",Z$8&lt;&gt;""),COUNTIFS($I$9:$I$59,$L44,$J$9:$J$59,Z$8),0)</f>
        <v>0</v>
      </c>
      <c r="AA44" s="175">
        <f t="array" ref="AA44">IF(AND($L44&lt;&gt;"",AA$8&lt;&gt;""),COUNTIFS($I$9:$I$59,$L44,$J$9:$J$59,AA$8),0)</f>
        <v>0</v>
      </c>
      <c r="AB44" s="175">
        <f t="array" ref="AB44">IF(AND($L44&lt;&gt;"",AB$8&lt;&gt;""),COUNTIFS($I$9:$I$59,$L44,$J$9:$J$59,AB$8),0)</f>
        <v>0</v>
      </c>
      <c r="AC44" s="175">
        <f t="array" ref="AC44">IF(AND($L44&lt;&gt;"",AC$8&lt;&gt;""),COUNTIFS($I$9:$I$59,$L44,$J$9:$J$59,AC$8),0)</f>
        <v>0</v>
      </c>
      <c r="AD44" s="175">
        <f t="array" ref="AD44">IF(AND($L44&lt;&gt;"",AD$8&lt;&gt;""),COUNTIFS($I$9:$I$59,$L44,$J$9:$J$59,AD$8),0)</f>
        <v>0</v>
      </c>
      <c r="AE44" s="175">
        <f t="array" ref="AE44">IF(AND($L44&lt;&gt;"",AE$8&lt;&gt;""),COUNTIFS($I$9:$I$59,$L44,$J$9:$J$59,AE$8),0)</f>
        <v>0</v>
      </c>
      <c r="AF44" s="175">
        <f t="array" ref="AF44">IF(AND($L44&lt;&gt;"",AF$8&lt;&gt;""),COUNTIFS($I$9:$I$59,$L44,$J$9:$J$59,AF$8),0)</f>
        <v>0</v>
      </c>
      <c r="AG44" s="175">
        <f t="array" ref="AG44">IF(AND($L44&lt;&gt;"",AG$8&lt;&gt;""),COUNTIFS($I$9:$I$59,$L44,$J$9:$J$59,AG$8),0)</f>
        <v>0</v>
      </c>
      <c r="AH44" s="175">
        <f t="array" ref="AH44">IF(AND($L44&lt;&gt;"",AH$8&lt;&gt;""),COUNTIFS($I$9:$I$59,$L44,$J$9:$J$59,AH$8),0)</f>
        <v>0</v>
      </c>
      <c r="AI44" s="175">
        <f t="array" ref="AI44">IF(AND($L44&lt;&gt;"",AI$8&lt;&gt;""),COUNTIFS($I$9:$I$59,$L44,$J$9:$J$59,AI$8),0)</f>
        <v>0</v>
      </c>
      <c r="AJ44" s="175">
        <f t="array" ref="AJ44">IF(AND($L44&lt;&gt;"",AJ$8&lt;&gt;""),COUNTIFS($I$9:$I$59,$L44,$J$9:$J$59,AJ$8),0)</f>
        <v>0</v>
      </c>
      <c r="AK44" s="175">
        <f t="array" ref="AK44">IF(AND($L44&lt;&gt;"",AK$8&lt;&gt;""),COUNTIFS($I$9:$I$59,$L44,$J$9:$J$59,AK$8),0)</f>
        <v>0</v>
      </c>
      <c r="AL44" s="175">
        <f t="array" ref="AL44">IF(AND($L44&lt;&gt;"",AL$8&lt;&gt;""),COUNTIFS($I$9:$I$59,$L44,$J$9:$J$59,AL$8),0)</f>
        <v>0</v>
      </c>
      <c r="AM44" s="175">
        <f t="array" ref="AM44">IF(AND($L44&lt;&gt;"",AM$8&lt;&gt;""),COUNTIFS($I$9:$I$59,$L44,$J$9:$J$59,AM$8),0)</f>
        <v>0</v>
      </c>
      <c r="AN44" s="175">
        <f t="array" ref="AN44">IF(AND($L44&lt;&gt;"",AN$8&lt;&gt;""),COUNTIFS($I$9:$I$59,$L44,$J$9:$J$59,AN$8),0)</f>
        <v>0</v>
      </c>
      <c r="AO44" s="175">
        <f t="array" ref="AO44">IF(AND($L44&lt;&gt;"",AO$8&lt;&gt;""),COUNTIFS($I$9:$I$59,$L44,$J$9:$J$59,AO$8),0)</f>
        <v>0</v>
      </c>
      <c r="AP44" s="175">
        <f t="array" ref="AP44">IF(AND($L44&lt;&gt;"",AP$8&lt;&gt;""),COUNTIFS($I$9:$I$59,$L44,$J$9:$J$59,AP$8),0)</f>
        <v>0</v>
      </c>
      <c r="AQ44" s="175">
        <f t="array" ref="AQ44">IF(AND($L44&lt;&gt;"",AQ$8&lt;&gt;""),COUNTIFS($I$9:$I$59,$L44,$J$9:$J$59,AQ$8),0)</f>
        <v>0</v>
      </c>
      <c r="AR44" s="175">
        <f t="array" ref="AR44">IF(AND($L44&lt;&gt;"",AR$8&lt;&gt;""),COUNTIFS($I$9:$I$59,$L44,$J$9:$J$59,AR$8),0)</f>
        <v>0</v>
      </c>
      <c r="AS44" s="175">
        <f t="array" ref="AS44">IF(AND($L44&lt;&gt;"",AS$8&lt;&gt;""),COUNTIFS($I$9:$I$59,$L44,$J$9:$J$59,AS$8),0)</f>
        <v>0</v>
      </c>
      <c r="AT44" s="175">
        <f t="array" ref="AT44">IF(AND($L44&lt;&gt;"",AT$8&lt;&gt;""),COUNTIFS($I$9:$I$59,$L44,$J$9:$J$59,AT$8),0)</f>
        <v>0</v>
      </c>
      <c r="AU44" s="175">
        <f t="array" ref="AU44">IF(AND($L44&lt;&gt;"",AU$8&lt;&gt;""),COUNTIFS($I$9:$I$59,$L44,$J$9:$J$59,AU$8),0)</f>
        <v>0</v>
      </c>
      <c r="AV44" s="175">
        <f t="array" ref="AV44">IF(AND($L44&lt;&gt;"",AV$8&lt;&gt;""),COUNTIFS($I$9:$I$59,$L44,$J$9:$J$59,AV$8),0)</f>
        <v>0</v>
      </c>
      <c r="AW44" s="175">
        <f t="array" ref="AW44">IF(AND($L44&lt;&gt;"",AW$8&lt;&gt;""),COUNTIFS($I$9:$I$59,$L44,$J$9:$J$59,AW$8),0)</f>
        <v>0</v>
      </c>
      <c r="AX44" s="175">
        <f t="array" ref="AX44">IF(AND($L44&lt;&gt;"",AX$8&lt;&gt;""),COUNTIFS($I$9:$I$59,$L44,$J$9:$J$59,AX$8),0)</f>
        <v>0</v>
      </c>
      <c r="AY44" s="175">
        <f t="array" ref="AY44">IF(AND($L44&lt;&gt;"",AY$8&lt;&gt;""),COUNTIFS($I$9:$I$59,$L44,$J$9:$J$59,AY$8),0)</f>
        <v>0</v>
      </c>
      <c r="AZ44" s="175">
        <f t="array" ref="AZ44">IF(AND($L44&lt;&gt;"",AZ$8&lt;&gt;""),COUNTIFS($I$9:$I$59,$L44,$J$9:$J$59,AZ$8),0)</f>
        <v>0</v>
      </c>
      <c r="BA44" s="175">
        <f t="array" ref="BA44">IF(AND($L44&lt;&gt;"",BA$8&lt;&gt;""),COUNTIFS($I$9:$I$59,$L44,$J$9:$J$59,BA$8),0)</f>
        <v>0</v>
      </c>
      <c r="BB44" s="175">
        <f t="array" ref="BB44">IF(AND($L44&lt;&gt;"",BB$8&lt;&gt;""),COUNTIFS($I$9:$I$59,$L44,$J$9:$J$59,BB$8),0)</f>
        <v>0</v>
      </c>
      <c r="BC44" s="175">
        <f t="array" ref="BC44">IF(AND($L44&lt;&gt;"",BC$8&lt;&gt;""),COUNTIFS($I$9:$I$59,$L44,$J$9:$J$59,BC$8),0)</f>
        <v>0</v>
      </c>
      <c r="BD44" s="175">
        <f t="array" ref="BD44">IF(AND($L44&lt;&gt;"",BD$8&lt;&gt;""),COUNTIFS($I$9:$I$59,$L44,$J$9:$J$59,BD$8),0)</f>
        <v>0</v>
      </c>
      <c r="BE44" s="175">
        <f t="array" ref="BE44">IF(AND($L44&lt;&gt;"",BE$8&lt;&gt;""),COUNTIFS($I$9:$I$59,$L44,$J$9:$J$59,BE$8),0)</f>
        <v>0</v>
      </c>
      <c r="BF44" s="175">
        <f t="array" ref="BF44">IF(AND($L44&lt;&gt;"",BF$8&lt;&gt;""),COUNTIFS($I$9:$I$59,$L44,$J$9:$J$59,BF$8),0)</f>
        <v>0</v>
      </c>
      <c r="BG44" s="175">
        <f t="array" ref="BG44">IF(AND($L44&lt;&gt;"",BG$8&lt;&gt;""),COUNTIFS($I$9:$I$59,$L44,$J$9:$J$59,BG$8),0)</f>
        <v>0</v>
      </c>
      <c r="BH44" s="175">
        <f t="array" ref="BH44">IF(AND($L44&lt;&gt;"",BH$8&lt;&gt;""),COUNTIFS($I$9:$I$59,$L44,$J$9:$J$59,BH$8),0)</f>
        <v>0</v>
      </c>
      <c r="BI44" s="175">
        <f t="array" ref="BI44">IF(AND($L44&lt;&gt;"",BI$8&lt;&gt;""),COUNTIFS($I$9:$I$59,$L44,$J$9:$J$59,BI$8),0)</f>
        <v>0</v>
      </c>
      <c r="BJ44" s="175">
        <f t="array" ref="BJ44">IF(AND($L44&lt;&gt;"",BJ$8&lt;&gt;""),COUNTIFS($I$9:$I$59,$L44,$J$9:$J$59,BJ$8),0)</f>
        <v>0</v>
      </c>
    </row>
    <row r="45" spans="1:62" x14ac:dyDescent="0.2">
      <c r="A45" s="14"/>
      <c r="B45" s="108" t="s">
        <v>73</v>
      </c>
      <c r="C45" s="141"/>
      <c r="D45" s="104"/>
      <c r="E45" s="20"/>
      <c r="F45" s="105"/>
      <c r="G45" s="253"/>
      <c r="H45" s="109"/>
      <c r="I45" s="239" t="str">
        <f t="shared" si="1"/>
        <v/>
      </c>
      <c r="J45" s="168" t="str">
        <f t="shared" si="2"/>
        <v/>
      </c>
      <c r="L45" s="174" t="str">
        <f t="array" ref="L45">IFERROR(INDEX($I$9:$I$59,MATCH(0,COUNTIF($L$8:$L44,$I$9:$I$59),0)),"")</f>
        <v/>
      </c>
      <c r="M45" s="175">
        <f t="array" ref="M45">IF(AND($L45&lt;&gt;"",M$8&lt;&gt;""),COUNTIFS($I$9:$I$59,$L45,$J$9:$J$59,M$8),0)</f>
        <v>0</v>
      </c>
      <c r="N45" s="175">
        <f t="array" ref="N45">IF(AND($L45&lt;&gt;"",N$8&lt;&gt;""),COUNTIFS($I$9:$I$59,$L45,$J$9:$J$59,N$8),0)</f>
        <v>0</v>
      </c>
      <c r="O45" s="175">
        <f t="array" ref="O45">IF(AND($L45&lt;&gt;"",O$8&lt;&gt;""),COUNTIFS($I$9:$I$59,$L45,$J$9:$J$59,O$8),0)</f>
        <v>0</v>
      </c>
      <c r="P45" s="175">
        <f t="array" ref="P45">IF(AND($L45&lt;&gt;"",P$8&lt;&gt;""),COUNTIFS($I$9:$I$59,$L45,$J$9:$J$59,P$8),0)</f>
        <v>0</v>
      </c>
      <c r="Q45" s="175">
        <f t="array" ref="Q45">IF(AND($L45&lt;&gt;"",Q$8&lt;&gt;""),COUNTIFS($I$9:$I$59,$L45,$J$9:$J$59,Q$8),0)</f>
        <v>0</v>
      </c>
      <c r="R45" s="175">
        <f t="array" ref="R45">IF(AND($L45&lt;&gt;"",R$8&lt;&gt;""),COUNTIFS($I$9:$I$59,$L45,$J$9:$J$59,R$8),0)</f>
        <v>0</v>
      </c>
      <c r="S45" s="175">
        <f t="array" ref="S45">IF(AND($L45&lt;&gt;"",S$8&lt;&gt;""),COUNTIFS($I$9:$I$59,$L45,$J$9:$J$59,S$8),0)</f>
        <v>0</v>
      </c>
      <c r="T45" s="175">
        <f t="array" ref="T45">IF(AND($L45&lt;&gt;"",T$8&lt;&gt;""),COUNTIFS($I$9:$I$59,$L45,$J$9:$J$59,T$8),0)</f>
        <v>0</v>
      </c>
      <c r="U45" s="175">
        <f t="array" ref="U45">IF(AND($L45&lt;&gt;"",U$8&lt;&gt;""),COUNTIFS($I$9:$I$59,$L45,$J$9:$J$59,U$8),0)</f>
        <v>0</v>
      </c>
      <c r="V45" s="175">
        <f t="array" ref="V45">IF(AND($L45&lt;&gt;"",V$8&lt;&gt;""),COUNTIFS($I$9:$I$59,$L45,$J$9:$J$59,V$8),0)</f>
        <v>0</v>
      </c>
      <c r="W45" s="175">
        <f t="array" ref="W45">IF(AND($L45&lt;&gt;"",W$8&lt;&gt;""),COUNTIFS($I$9:$I$59,$L45,$J$9:$J$59,W$8),0)</f>
        <v>0</v>
      </c>
      <c r="X45" s="175">
        <f t="array" ref="X45">IF(AND($L45&lt;&gt;"",X$8&lt;&gt;""),COUNTIFS($I$9:$I$59,$L45,$J$9:$J$59,X$8),0)</f>
        <v>0</v>
      </c>
      <c r="Y45" s="175">
        <f t="array" ref="Y45">IF(AND($L45&lt;&gt;"",Y$8&lt;&gt;""),COUNTIFS($I$9:$I$59,$L45,$J$9:$J$59,Y$8),0)</f>
        <v>0</v>
      </c>
      <c r="Z45" s="175">
        <f t="array" ref="Z45">IF(AND($L45&lt;&gt;"",Z$8&lt;&gt;""),COUNTIFS($I$9:$I$59,$L45,$J$9:$J$59,Z$8),0)</f>
        <v>0</v>
      </c>
      <c r="AA45" s="175">
        <f t="array" ref="AA45">IF(AND($L45&lt;&gt;"",AA$8&lt;&gt;""),COUNTIFS($I$9:$I$59,$L45,$J$9:$J$59,AA$8),0)</f>
        <v>0</v>
      </c>
      <c r="AB45" s="175">
        <f t="array" ref="AB45">IF(AND($L45&lt;&gt;"",AB$8&lt;&gt;""),COUNTIFS($I$9:$I$59,$L45,$J$9:$J$59,AB$8),0)</f>
        <v>0</v>
      </c>
      <c r="AC45" s="175">
        <f t="array" ref="AC45">IF(AND($L45&lt;&gt;"",AC$8&lt;&gt;""),COUNTIFS($I$9:$I$59,$L45,$J$9:$J$59,AC$8),0)</f>
        <v>0</v>
      </c>
      <c r="AD45" s="175">
        <f t="array" ref="AD45">IF(AND($L45&lt;&gt;"",AD$8&lt;&gt;""),COUNTIFS($I$9:$I$59,$L45,$J$9:$J$59,AD$8),0)</f>
        <v>0</v>
      </c>
      <c r="AE45" s="175">
        <f t="array" ref="AE45">IF(AND($L45&lt;&gt;"",AE$8&lt;&gt;""),COUNTIFS($I$9:$I$59,$L45,$J$9:$J$59,AE$8),0)</f>
        <v>0</v>
      </c>
      <c r="AF45" s="175">
        <f t="array" ref="AF45">IF(AND($L45&lt;&gt;"",AF$8&lt;&gt;""),COUNTIFS($I$9:$I$59,$L45,$J$9:$J$59,AF$8),0)</f>
        <v>0</v>
      </c>
      <c r="AG45" s="175">
        <f t="array" ref="AG45">IF(AND($L45&lt;&gt;"",AG$8&lt;&gt;""),COUNTIFS($I$9:$I$59,$L45,$J$9:$J$59,AG$8),0)</f>
        <v>0</v>
      </c>
      <c r="AH45" s="175">
        <f t="array" ref="AH45">IF(AND($L45&lt;&gt;"",AH$8&lt;&gt;""),COUNTIFS($I$9:$I$59,$L45,$J$9:$J$59,AH$8),0)</f>
        <v>0</v>
      </c>
      <c r="AI45" s="175">
        <f t="array" ref="AI45">IF(AND($L45&lt;&gt;"",AI$8&lt;&gt;""),COUNTIFS($I$9:$I$59,$L45,$J$9:$J$59,AI$8),0)</f>
        <v>0</v>
      </c>
      <c r="AJ45" s="175">
        <f t="array" ref="AJ45">IF(AND($L45&lt;&gt;"",AJ$8&lt;&gt;""),COUNTIFS($I$9:$I$59,$L45,$J$9:$J$59,AJ$8),0)</f>
        <v>0</v>
      </c>
      <c r="AK45" s="175">
        <f t="array" ref="AK45">IF(AND($L45&lt;&gt;"",AK$8&lt;&gt;""),COUNTIFS($I$9:$I$59,$L45,$J$9:$J$59,AK$8),0)</f>
        <v>0</v>
      </c>
      <c r="AL45" s="175">
        <f t="array" ref="AL45">IF(AND($L45&lt;&gt;"",AL$8&lt;&gt;""),COUNTIFS($I$9:$I$59,$L45,$J$9:$J$59,AL$8),0)</f>
        <v>0</v>
      </c>
      <c r="AM45" s="175">
        <f t="array" ref="AM45">IF(AND($L45&lt;&gt;"",AM$8&lt;&gt;""),COUNTIFS($I$9:$I$59,$L45,$J$9:$J$59,AM$8),0)</f>
        <v>0</v>
      </c>
      <c r="AN45" s="175">
        <f t="array" ref="AN45">IF(AND($L45&lt;&gt;"",AN$8&lt;&gt;""),COUNTIFS($I$9:$I$59,$L45,$J$9:$J$59,AN$8),0)</f>
        <v>0</v>
      </c>
      <c r="AO45" s="175">
        <f t="array" ref="AO45">IF(AND($L45&lt;&gt;"",AO$8&lt;&gt;""),COUNTIFS($I$9:$I$59,$L45,$J$9:$J$59,AO$8),0)</f>
        <v>0</v>
      </c>
      <c r="AP45" s="175">
        <f t="array" ref="AP45">IF(AND($L45&lt;&gt;"",AP$8&lt;&gt;""),COUNTIFS($I$9:$I$59,$L45,$J$9:$J$59,AP$8),0)</f>
        <v>0</v>
      </c>
      <c r="AQ45" s="175">
        <f t="array" ref="AQ45">IF(AND($L45&lt;&gt;"",AQ$8&lt;&gt;""),COUNTIFS($I$9:$I$59,$L45,$J$9:$J$59,AQ$8),0)</f>
        <v>0</v>
      </c>
      <c r="AR45" s="175">
        <f t="array" ref="AR45">IF(AND($L45&lt;&gt;"",AR$8&lt;&gt;""),COUNTIFS($I$9:$I$59,$L45,$J$9:$J$59,AR$8),0)</f>
        <v>0</v>
      </c>
      <c r="AS45" s="175">
        <f t="array" ref="AS45">IF(AND($L45&lt;&gt;"",AS$8&lt;&gt;""),COUNTIFS($I$9:$I$59,$L45,$J$9:$J$59,AS$8),0)</f>
        <v>0</v>
      </c>
      <c r="AT45" s="175">
        <f t="array" ref="AT45">IF(AND($L45&lt;&gt;"",AT$8&lt;&gt;""),COUNTIFS($I$9:$I$59,$L45,$J$9:$J$59,AT$8),0)</f>
        <v>0</v>
      </c>
      <c r="AU45" s="175">
        <f t="array" ref="AU45">IF(AND($L45&lt;&gt;"",AU$8&lt;&gt;""),COUNTIFS($I$9:$I$59,$L45,$J$9:$J$59,AU$8),0)</f>
        <v>0</v>
      </c>
      <c r="AV45" s="175">
        <f t="array" ref="AV45">IF(AND($L45&lt;&gt;"",AV$8&lt;&gt;""),COUNTIFS($I$9:$I$59,$L45,$J$9:$J$59,AV$8),0)</f>
        <v>0</v>
      </c>
      <c r="AW45" s="175">
        <f t="array" ref="AW45">IF(AND($L45&lt;&gt;"",AW$8&lt;&gt;""),COUNTIFS($I$9:$I$59,$L45,$J$9:$J$59,AW$8),0)</f>
        <v>0</v>
      </c>
      <c r="AX45" s="175">
        <f t="array" ref="AX45">IF(AND($L45&lt;&gt;"",AX$8&lt;&gt;""),COUNTIFS($I$9:$I$59,$L45,$J$9:$J$59,AX$8),0)</f>
        <v>0</v>
      </c>
      <c r="AY45" s="175">
        <f t="array" ref="AY45">IF(AND($L45&lt;&gt;"",AY$8&lt;&gt;""),COUNTIFS($I$9:$I$59,$L45,$J$9:$J$59,AY$8),0)</f>
        <v>0</v>
      </c>
      <c r="AZ45" s="175">
        <f t="array" ref="AZ45">IF(AND($L45&lt;&gt;"",AZ$8&lt;&gt;""),COUNTIFS($I$9:$I$59,$L45,$J$9:$J$59,AZ$8),0)</f>
        <v>0</v>
      </c>
      <c r="BA45" s="175">
        <f t="array" ref="BA45">IF(AND($L45&lt;&gt;"",BA$8&lt;&gt;""),COUNTIFS($I$9:$I$59,$L45,$J$9:$J$59,BA$8),0)</f>
        <v>0</v>
      </c>
      <c r="BB45" s="175">
        <f t="array" ref="BB45">IF(AND($L45&lt;&gt;"",BB$8&lt;&gt;""),COUNTIFS($I$9:$I$59,$L45,$J$9:$J$59,BB$8),0)</f>
        <v>0</v>
      </c>
      <c r="BC45" s="175">
        <f t="array" ref="BC45">IF(AND($L45&lt;&gt;"",BC$8&lt;&gt;""),COUNTIFS($I$9:$I$59,$L45,$J$9:$J$59,BC$8),0)</f>
        <v>0</v>
      </c>
      <c r="BD45" s="175">
        <f t="array" ref="BD45">IF(AND($L45&lt;&gt;"",BD$8&lt;&gt;""),COUNTIFS($I$9:$I$59,$L45,$J$9:$J$59,BD$8),0)</f>
        <v>0</v>
      </c>
      <c r="BE45" s="175">
        <f t="array" ref="BE45">IF(AND($L45&lt;&gt;"",BE$8&lt;&gt;""),COUNTIFS($I$9:$I$59,$L45,$J$9:$J$59,BE$8),0)</f>
        <v>0</v>
      </c>
      <c r="BF45" s="175">
        <f t="array" ref="BF45">IF(AND($L45&lt;&gt;"",BF$8&lt;&gt;""),COUNTIFS($I$9:$I$59,$L45,$J$9:$J$59,BF$8),0)</f>
        <v>0</v>
      </c>
      <c r="BG45" s="175">
        <f t="array" ref="BG45">IF(AND($L45&lt;&gt;"",BG$8&lt;&gt;""),COUNTIFS($I$9:$I$59,$L45,$J$9:$J$59,BG$8),0)</f>
        <v>0</v>
      </c>
      <c r="BH45" s="175">
        <f t="array" ref="BH45">IF(AND($L45&lt;&gt;"",BH$8&lt;&gt;""),COUNTIFS($I$9:$I$59,$L45,$J$9:$J$59,BH$8),0)</f>
        <v>0</v>
      </c>
      <c r="BI45" s="175">
        <f t="array" ref="BI45">IF(AND($L45&lt;&gt;"",BI$8&lt;&gt;""),COUNTIFS($I$9:$I$59,$L45,$J$9:$J$59,BI$8),0)</f>
        <v>0</v>
      </c>
      <c r="BJ45" s="175">
        <f t="array" ref="BJ45">IF(AND($L45&lt;&gt;"",BJ$8&lt;&gt;""),COUNTIFS($I$9:$I$59,$L45,$J$9:$J$59,BJ$8),0)</f>
        <v>0</v>
      </c>
    </row>
    <row r="46" spans="1:62" x14ac:dyDescent="0.2">
      <c r="A46" s="14"/>
      <c r="B46" s="108" t="s">
        <v>74</v>
      </c>
      <c r="C46" s="141"/>
      <c r="D46" s="104"/>
      <c r="E46" s="20"/>
      <c r="F46" s="105"/>
      <c r="G46" s="253"/>
      <c r="H46" s="109"/>
      <c r="I46" s="239" t="str">
        <f t="shared" si="1"/>
        <v/>
      </c>
      <c r="J46" s="168" t="str">
        <f t="shared" si="2"/>
        <v/>
      </c>
      <c r="L46" s="174" t="str">
        <f t="array" ref="L46">IFERROR(INDEX($I$9:$I$59,MATCH(0,COUNTIF($L$8:$L45,$I$9:$I$59),0)),"")</f>
        <v/>
      </c>
      <c r="M46" s="175">
        <f t="array" ref="M46">IF(AND($L46&lt;&gt;"",M$8&lt;&gt;""),COUNTIFS($I$9:$I$59,$L46,$J$9:$J$59,M$8),0)</f>
        <v>0</v>
      </c>
      <c r="N46" s="175">
        <f t="array" ref="N46">IF(AND($L46&lt;&gt;"",N$8&lt;&gt;""),COUNTIFS($I$9:$I$59,$L46,$J$9:$J$59,N$8),0)</f>
        <v>0</v>
      </c>
      <c r="O46" s="175">
        <f t="array" ref="O46">IF(AND($L46&lt;&gt;"",O$8&lt;&gt;""),COUNTIFS($I$9:$I$59,$L46,$J$9:$J$59,O$8),0)</f>
        <v>0</v>
      </c>
      <c r="P46" s="175">
        <f t="array" ref="P46">IF(AND($L46&lt;&gt;"",P$8&lt;&gt;""),COUNTIFS($I$9:$I$59,$L46,$J$9:$J$59,P$8),0)</f>
        <v>0</v>
      </c>
      <c r="Q46" s="175">
        <f t="array" ref="Q46">IF(AND($L46&lt;&gt;"",Q$8&lt;&gt;""),COUNTIFS($I$9:$I$59,$L46,$J$9:$J$59,Q$8),0)</f>
        <v>0</v>
      </c>
      <c r="R46" s="175">
        <f t="array" ref="R46">IF(AND($L46&lt;&gt;"",R$8&lt;&gt;""),COUNTIFS($I$9:$I$59,$L46,$J$9:$J$59,R$8),0)</f>
        <v>0</v>
      </c>
      <c r="S46" s="175">
        <f t="array" ref="S46">IF(AND($L46&lt;&gt;"",S$8&lt;&gt;""),COUNTIFS($I$9:$I$59,$L46,$J$9:$J$59,S$8),0)</f>
        <v>0</v>
      </c>
      <c r="T46" s="175">
        <f t="array" ref="T46">IF(AND($L46&lt;&gt;"",T$8&lt;&gt;""),COUNTIFS($I$9:$I$59,$L46,$J$9:$J$59,T$8),0)</f>
        <v>0</v>
      </c>
      <c r="U46" s="175">
        <f t="array" ref="U46">IF(AND($L46&lt;&gt;"",U$8&lt;&gt;""),COUNTIFS($I$9:$I$59,$L46,$J$9:$J$59,U$8),0)</f>
        <v>0</v>
      </c>
      <c r="V46" s="175">
        <f t="array" ref="V46">IF(AND($L46&lt;&gt;"",V$8&lt;&gt;""),COUNTIFS($I$9:$I$59,$L46,$J$9:$J$59,V$8),0)</f>
        <v>0</v>
      </c>
      <c r="W46" s="175">
        <f t="array" ref="W46">IF(AND($L46&lt;&gt;"",W$8&lt;&gt;""),COUNTIFS($I$9:$I$59,$L46,$J$9:$J$59,W$8),0)</f>
        <v>0</v>
      </c>
      <c r="X46" s="175">
        <f t="array" ref="X46">IF(AND($L46&lt;&gt;"",X$8&lt;&gt;""),COUNTIFS($I$9:$I$59,$L46,$J$9:$J$59,X$8),0)</f>
        <v>0</v>
      </c>
      <c r="Y46" s="175">
        <f t="array" ref="Y46">IF(AND($L46&lt;&gt;"",Y$8&lt;&gt;""),COUNTIFS($I$9:$I$59,$L46,$J$9:$J$59,Y$8),0)</f>
        <v>0</v>
      </c>
      <c r="Z46" s="175">
        <f t="array" ref="Z46">IF(AND($L46&lt;&gt;"",Z$8&lt;&gt;""),COUNTIFS($I$9:$I$59,$L46,$J$9:$J$59,Z$8),0)</f>
        <v>0</v>
      </c>
      <c r="AA46" s="175">
        <f t="array" ref="AA46">IF(AND($L46&lt;&gt;"",AA$8&lt;&gt;""),COUNTIFS($I$9:$I$59,$L46,$J$9:$J$59,AA$8),0)</f>
        <v>0</v>
      </c>
      <c r="AB46" s="175">
        <f t="array" ref="AB46">IF(AND($L46&lt;&gt;"",AB$8&lt;&gt;""),COUNTIFS($I$9:$I$59,$L46,$J$9:$J$59,AB$8),0)</f>
        <v>0</v>
      </c>
      <c r="AC46" s="175">
        <f t="array" ref="AC46">IF(AND($L46&lt;&gt;"",AC$8&lt;&gt;""),COUNTIFS($I$9:$I$59,$L46,$J$9:$J$59,AC$8),0)</f>
        <v>0</v>
      </c>
      <c r="AD46" s="175">
        <f t="array" ref="AD46">IF(AND($L46&lt;&gt;"",AD$8&lt;&gt;""),COUNTIFS($I$9:$I$59,$L46,$J$9:$J$59,AD$8),0)</f>
        <v>0</v>
      </c>
      <c r="AE46" s="175">
        <f t="array" ref="AE46">IF(AND($L46&lt;&gt;"",AE$8&lt;&gt;""),COUNTIFS($I$9:$I$59,$L46,$J$9:$J$59,AE$8),0)</f>
        <v>0</v>
      </c>
      <c r="AF46" s="175">
        <f t="array" ref="AF46">IF(AND($L46&lt;&gt;"",AF$8&lt;&gt;""),COUNTIFS($I$9:$I$59,$L46,$J$9:$J$59,AF$8),0)</f>
        <v>0</v>
      </c>
      <c r="AG46" s="175">
        <f t="array" ref="AG46">IF(AND($L46&lt;&gt;"",AG$8&lt;&gt;""),COUNTIFS($I$9:$I$59,$L46,$J$9:$J$59,AG$8),0)</f>
        <v>0</v>
      </c>
      <c r="AH46" s="175">
        <f t="array" ref="AH46">IF(AND($L46&lt;&gt;"",AH$8&lt;&gt;""),COUNTIFS($I$9:$I$59,$L46,$J$9:$J$59,AH$8),0)</f>
        <v>0</v>
      </c>
      <c r="AI46" s="175">
        <f t="array" ref="AI46">IF(AND($L46&lt;&gt;"",AI$8&lt;&gt;""),COUNTIFS($I$9:$I$59,$L46,$J$9:$J$59,AI$8),0)</f>
        <v>0</v>
      </c>
      <c r="AJ46" s="175">
        <f t="array" ref="AJ46">IF(AND($L46&lt;&gt;"",AJ$8&lt;&gt;""),COUNTIFS($I$9:$I$59,$L46,$J$9:$J$59,AJ$8),0)</f>
        <v>0</v>
      </c>
      <c r="AK46" s="175">
        <f t="array" ref="AK46">IF(AND($L46&lt;&gt;"",AK$8&lt;&gt;""),COUNTIFS($I$9:$I$59,$L46,$J$9:$J$59,AK$8),0)</f>
        <v>0</v>
      </c>
      <c r="AL46" s="175">
        <f t="array" ref="AL46">IF(AND($L46&lt;&gt;"",AL$8&lt;&gt;""),COUNTIFS($I$9:$I$59,$L46,$J$9:$J$59,AL$8),0)</f>
        <v>0</v>
      </c>
      <c r="AM46" s="175">
        <f t="array" ref="AM46">IF(AND($L46&lt;&gt;"",AM$8&lt;&gt;""),COUNTIFS($I$9:$I$59,$L46,$J$9:$J$59,AM$8),0)</f>
        <v>0</v>
      </c>
      <c r="AN46" s="175">
        <f t="array" ref="AN46">IF(AND($L46&lt;&gt;"",AN$8&lt;&gt;""),COUNTIFS($I$9:$I$59,$L46,$J$9:$J$59,AN$8),0)</f>
        <v>0</v>
      </c>
      <c r="AO46" s="175">
        <f t="array" ref="AO46">IF(AND($L46&lt;&gt;"",AO$8&lt;&gt;""),COUNTIFS($I$9:$I$59,$L46,$J$9:$J$59,AO$8),0)</f>
        <v>0</v>
      </c>
      <c r="AP46" s="175">
        <f t="array" ref="AP46">IF(AND($L46&lt;&gt;"",AP$8&lt;&gt;""),COUNTIFS($I$9:$I$59,$L46,$J$9:$J$59,AP$8),0)</f>
        <v>0</v>
      </c>
      <c r="AQ46" s="175">
        <f t="array" ref="AQ46">IF(AND($L46&lt;&gt;"",AQ$8&lt;&gt;""),COUNTIFS($I$9:$I$59,$L46,$J$9:$J$59,AQ$8),0)</f>
        <v>0</v>
      </c>
      <c r="AR46" s="175">
        <f t="array" ref="AR46">IF(AND($L46&lt;&gt;"",AR$8&lt;&gt;""),COUNTIFS($I$9:$I$59,$L46,$J$9:$J$59,AR$8),0)</f>
        <v>0</v>
      </c>
      <c r="AS46" s="175">
        <f t="array" ref="AS46">IF(AND($L46&lt;&gt;"",AS$8&lt;&gt;""),COUNTIFS($I$9:$I$59,$L46,$J$9:$J$59,AS$8),0)</f>
        <v>0</v>
      </c>
      <c r="AT46" s="175">
        <f t="array" ref="AT46">IF(AND($L46&lt;&gt;"",AT$8&lt;&gt;""),COUNTIFS($I$9:$I$59,$L46,$J$9:$J$59,AT$8),0)</f>
        <v>0</v>
      </c>
      <c r="AU46" s="175">
        <f t="array" ref="AU46">IF(AND($L46&lt;&gt;"",AU$8&lt;&gt;""),COUNTIFS($I$9:$I$59,$L46,$J$9:$J$59,AU$8),0)</f>
        <v>0</v>
      </c>
      <c r="AV46" s="175">
        <f t="array" ref="AV46">IF(AND($L46&lt;&gt;"",AV$8&lt;&gt;""),COUNTIFS($I$9:$I$59,$L46,$J$9:$J$59,AV$8),0)</f>
        <v>0</v>
      </c>
      <c r="AW46" s="175">
        <f t="array" ref="AW46">IF(AND($L46&lt;&gt;"",AW$8&lt;&gt;""),COUNTIFS($I$9:$I$59,$L46,$J$9:$J$59,AW$8),0)</f>
        <v>0</v>
      </c>
      <c r="AX46" s="175">
        <f t="array" ref="AX46">IF(AND($L46&lt;&gt;"",AX$8&lt;&gt;""),COUNTIFS($I$9:$I$59,$L46,$J$9:$J$59,AX$8),0)</f>
        <v>0</v>
      </c>
      <c r="AY46" s="175">
        <f t="array" ref="AY46">IF(AND($L46&lt;&gt;"",AY$8&lt;&gt;""),COUNTIFS($I$9:$I$59,$L46,$J$9:$J$59,AY$8),0)</f>
        <v>0</v>
      </c>
      <c r="AZ46" s="175">
        <f t="array" ref="AZ46">IF(AND($L46&lt;&gt;"",AZ$8&lt;&gt;""),COUNTIFS($I$9:$I$59,$L46,$J$9:$J$59,AZ$8),0)</f>
        <v>0</v>
      </c>
      <c r="BA46" s="175">
        <f t="array" ref="BA46">IF(AND($L46&lt;&gt;"",BA$8&lt;&gt;""),COUNTIFS($I$9:$I$59,$L46,$J$9:$J$59,BA$8),0)</f>
        <v>0</v>
      </c>
      <c r="BB46" s="175">
        <f t="array" ref="BB46">IF(AND($L46&lt;&gt;"",BB$8&lt;&gt;""),COUNTIFS($I$9:$I$59,$L46,$J$9:$J$59,BB$8),0)</f>
        <v>0</v>
      </c>
      <c r="BC46" s="175">
        <f t="array" ref="BC46">IF(AND($L46&lt;&gt;"",BC$8&lt;&gt;""),COUNTIFS($I$9:$I$59,$L46,$J$9:$J$59,BC$8),0)</f>
        <v>0</v>
      </c>
      <c r="BD46" s="175">
        <f t="array" ref="BD46">IF(AND($L46&lt;&gt;"",BD$8&lt;&gt;""),COUNTIFS($I$9:$I$59,$L46,$J$9:$J$59,BD$8),0)</f>
        <v>0</v>
      </c>
      <c r="BE46" s="175">
        <f t="array" ref="BE46">IF(AND($L46&lt;&gt;"",BE$8&lt;&gt;""),COUNTIFS($I$9:$I$59,$L46,$J$9:$J$59,BE$8),0)</f>
        <v>0</v>
      </c>
      <c r="BF46" s="175">
        <f t="array" ref="BF46">IF(AND($L46&lt;&gt;"",BF$8&lt;&gt;""),COUNTIFS($I$9:$I$59,$L46,$J$9:$J$59,BF$8),0)</f>
        <v>0</v>
      </c>
      <c r="BG46" s="175">
        <f t="array" ref="BG46">IF(AND($L46&lt;&gt;"",BG$8&lt;&gt;""),COUNTIFS($I$9:$I$59,$L46,$J$9:$J$59,BG$8),0)</f>
        <v>0</v>
      </c>
      <c r="BH46" s="175">
        <f t="array" ref="BH46">IF(AND($L46&lt;&gt;"",BH$8&lt;&gt;""),COUNTIFS($I$9:$I$59,$L46,$J$9:$J$59,BH$8),0)</f>
        <v>0</v>
      </c>
      <c r="BI46" s="175">
        <f t="array" ref="BI46">IF(AND($L46&lt;&gt;"",BI$8&lt;&gt;""),COUNTIFS($I$9:$I$59,$L46,$J$9:$J$59,BI$8),0)</f>
        <v>0</v>
      </c>
      <c r="BJ46" s="175">
        <f t="array" ref="BJ46">IF(AND($L46&lt;&gt;"",BJ$8&lt;&gt;""),COUNTIFS($I$9:$I$59,$L46,$J$9:$J$59,BJ$8),0)</f>
        <v>0</v>
      </c>
    </row>
    <row r="47" spans="1:62" x14ac:dyDescent="0.2">
      <c r="A47" s="14"/>
      <c r="B47" s="108" t="s">
        <v>75</v>
      </c>
      <c r="C47" s="141"/>
      <c r="D47" s="104"/>
      <c r="E47" s="20"/>
      <c r="F47" s="105"/>
      <c r="G47" s="253"/>
      <c r="H47" s="109"/>
      <c r="I47" s="239" t="str">
        <f t="shared" si="1"/>
        <v/>
      </c>
      <c r="J47" s="168" t="str">
        <f t="shared" si="2"/>
        <v/>
      </c>
      <c r="L47" s="174" t="str">
        <f t="array" ref="L47">IFERROR(INDEX($I$9:$I$59,MATCH(0,COUNTIF($L$8:$L46,$I$9:$I$59),0)),"")</f>
        <v/>
      </c>
      <c r="M47" s="175">
        <f t="array" ref="M47">IF(AND($L47&lt;&gt;"",M$8&lt;&gt;""),COUNTIFS($I$9:$I$59,$L47,$J$9:$J$59,M$8),0)</f>
        <v>0</v>
      </c>
      <c r="N47" s="175">
        <f t="array" ref="N47">IF(AND($L47&lt;&gt;"",N$8&lt;&gt;""),COUNTIFS($I$9:$I$59,$L47,$J$9:$J$59,N$8),0)</f>
        <v>0</v>
      </c>
      <c r="O47" s="175">
        <f t="array" ref="O47">IF(AND($L47&lt;&gt;"",O$8&lt;&gt;""),COUNTIFS($I$9:$I$59,$L47,$J$9:$J$59,O$8),0)</f>
        <v>0</v>
      </c>
      <c r="P47" s="175">
        <f t="array" ref="P47">IF(AND($L47&lt;&gt;"",P$8&lt;&gt;""),COUNTIFS($I$9:$I$59,$L47,$J$9:$J$59,P$8),0)</f>
        <v>0</v>
      </c>
      <c r="Q47" s="175">
        <f t="array" ref="Q47">IF(AND($L47&lt;&gt;"",Q$8&lt;&gt;""),COUNTIFS($I$9:$I$59,$L47,$J$9:$J$59,Q$8),0)</f>
        <v>0</v>
      </c>
      <c r="R47" s="175">
        <f t="array" ref="R47">IF(AND($L47&lt;&gt;"",R$8&lt;&gt;""),COUNTIFS($I$9:$I$59,$L47,$J$9:$J$59,R$8),0)</f>
        <v>0</v>
      </c>
      <c r="S47" s="175">
        <f t="array" ref="S47">IF(AND($L47&lt;&gt;"",S$8&lt;&gt;""),COUNTIFS($I$9:$I$59,$L47,$J$9:$J$59,S$8),0)</f>
        <v>0</v>
      </c>
      <c r="T47" s="175">
        <f t="array" ref="T47">IF(AND($L47&lt;&gt;"",T$8&lt;&gt;""),COUNTIFS($I$9:$I$59,$L47,$J$9:$J$59,T$8),0)</f>
        <v>0</v>
      </c>
      <c r="U47" s="175">
        <f t="array" ref="U47">IF(AND($L47&lt;&gt;"",U$8&lt;&gt;""),COUNTIFS($I$9:$I$59,$L47,$J$9:$J$59,U$8),0)</f>
        <v>0</v>
      </c>
      <c r="V47" s="175">
        <f t="array" ref="V47">IF(AND($L47&lt;&gt;"",V$8&lt;&gt;""),COUNTIFS($I$9:$I$59,$L47,$J$9:$J$59,V$8),0)</f>
        <v>0</v>
      </c>
      <c r="W47" s="175">
        <f t="array" ref="W47">IF(AND($L47&lt;&gt;"",W$8&lt;&gt;""),COUNTIFS($I$9:$I$59,$L47,$J$9:$J$59,W$8),0)</f>
        <v>0</v>
      </c>
      <c r="X47" s="175">
        <f t="array" ref="X47">IF(AND($L47&lt;&gt;"",X$8&lt;&gt;""),COUNTIFS($I$9:$I$59,$L47,$J$9:$J$59,X$8),0)</f>
        <v>0</v>
      </c>
      <c r="Y47" s="175">
        <f t="array" ref="Y47">IF(AND($L47&lt;&gt;"",Y$8&lt;&gt;""),COUNTIFS($I$9:$I$59,$L47,$J$9:$J$59,Y$8),0)</f>
        <v>0</v>
      </c>
      <c r="Z47" s="175">
        <f t="array" ref="Z47">IF(AND($L47&lt;&gt;"",Z$8&lt;&gt;""),COUNTIFS($I$9:$I$59,$L47,$J$9:$J$59,Z$8),0)</f>
        <v>0</v>
      </c>
      <c r="AA47" s="175">
        <f t="array" ref="AA47">IF(AND($L47&lt;&gt;"",AA$8&lt;&gt;""),COUNTIFS($I$9:$I$59,$L47,$J$9:$J$59,AA$8),0)</f>
        <v>0</v>
      </c>
      <c r="AB47" s="175">
        <f t="array" ref="AB47">IF(AND($L47&lt;&gt;"",AB$8&lt;&gt;""),COUNTIFS($I$9:$I$59,$L47,$J$9:$J$59,AB$8),0)</f>
        <v>0</v>
      </c>
      <c r="AC47" s="175">
        <f t="array" ref="AC47">IF(AND($L47&lt;&gt;"",AC$8&lt;&gt;""),COUNTIFS($I$9:$I$59,$L47,$J$9:$J$59,AC$8),0)</f>
        <v>0</v>
      </c>
      <c r="AD47" s="175">
        <f t="array" ref="AD47">IF(AND($L47&lt;&gt;"",AD$8&lt;&gt;""),COUNTIFS($I$9:$I$59,$L47,$J$9:$J$59,AD$8),0)</f>
        <v>0</v>
      </c>
      <c r="AE47" s="175">
        <f t="array" ref="AE47">IF(AND($L47&lt;&gt;"",AE$8&lt;&gt;""),COUNTIFS($I$9:$I$59,$L47,$J$9:$J$59,AE$8),0)</f>
        <v>0</v>
      </c>
      <c r="AF47" s="175">
        <f t="array" ref="AF47">IF(AND($L47&lt;&gt;"",AF$8&lt;&gt;""),COUNTIFS($I$9:$I$59,$L47,$J$9:$J$59,AF$8),0)</f>
        <v>0</v>
      </c>
      <c r="AG47" s="175">
        <f t="array" ref="AG47">IF(AND($L47&lt;&gt;"",AG$8&lt;&gt;""),COUNTIFS($I$9:$I$59,$L47,$J$9:$J$59,AG$8),0)</f>
        <v>0</v>
      </c>
      <c r="AH47" s="175">
        <f t="array" ref="AH47">IF(AND($L47&lt;&gt;"",AH$8&lt;&gt;""),COUNTIFS($I$9:$I$59,$L47,$J$9:$J$59,AH$8),0)</f>
        <v>0</v>
      </c>
      <c r="AI47" s="175">
        <f t="array" ref="AI47">IF(AND($L47&lt;&gt;"",AI$8&lt;&gt;""),COUNTIFS($I$9:$I$59,$L47,$J$9:$J$59,AI$8),0)</f>
        <v>0</v>
      </c>
      <c r="AJ47" s="175">
        <f t="array" ref="AJ47">IF(AND($L47&lt;&gt;"",AJ$8&lt;&gt;""),COUNTIFS($I$9:$I$59,$L47,$J$9:$J$59,AJ$8),0)</f>
        <v>0</v>
      </c>
      <c r="AK47" s="175">
        <f t="array" ref="AK47">IF(AND($L47&lt;&gt;"",AK$8&lt;&gt;""),COUNTIFS($I$9:$I$59,$L47,$J$9:$J$59,AK$8),0)</f>
        <v>0</v>
      </c>
      <c r="AL47" s="175">
        <f t="array" ref="AL47">IF(AND($L47&lt;&gt;"",AL$8&lt;&gt;""),COUNTIFS($I$9:$I$59,$L47,$J$9:$J$59,AL$8),0)</f>
        <v>0</v>
      </c>
      <c r="AM47" s="175">
        <f t="array" ref="AM47">IF(AND($L47&lt;&gt;"",AM$8&lt;&gt;""),COUNTIFS($I$9:$I$59,$L47,$J$9:$J$59,AM$8),0)</f>
        <v>0</v>
      </c>
      <c r="AN47" s="175">
        <f t="array" ref="AN47">IF(AND($L47&lt;&gt;"",AN$8&lt;&gt;""),COUNTIFS($I$9:$I$59,$L47,$J$9:$J$59,AN$8),0)</f>
        <v>0</v>
      </c>
      <c r="AO47" s="175">
        <f t="array" ref="AO47">IF(AND($L47&lt;&gt;"",AO$8&lt;&gt;""),COUNTIFS($I$9:$I$59,$L47,$J$9:$J$59,AO$8),0)</f>
        <v>0</v>
      </c>
      <c r="AP47" s="175">
        <f t="array" ref="AP47">IF(AND($L47&lt;&gt;"",AP$8&lt;&gt;""),COUNTIFS($I$9:$I$59,$L47,$J$9:$J$59,AP$8),0)</f>
        <v>0</v>
      </c>
      <c r="AQ47" s="175">
        <f t="array" ref="AQ47">IF(AND($L47&lt;&gt;"",AQ$8&lt;&gt;""),COUNTIFS($I$9:$I$59,$L47,$J$9:$J$59,AQ$8),0)</f>
        <v>0</v>
      </c>
      <c r="AR47" s="175">
        <f t="array" ref="AR47">IF(AND($L47&lt;&gt;"",AR$8&lt;&gt;""),COUNTIFS($I$9:$I$59,$L47,$J$9:$J$59,AR$8),0)</f>
        <v>0</v>
      </c>
      <c r="AS47" s="175">
        <f t="array" ref="AS47">IF(AND($L47&lt;&gt;"",AS$8&lt;&gt;""),COUNTIFS($I$9:$I$59,$L47,$J$9:$J$59,AS$8),0)</f>
        <v>0</v>
      </c>
      <c r="AT47" s="175">
        <f t="array" ref="AT47">IF(AND($L47&lt;&gt;"",AT$8&lt;&gt;""),COUNTIFS($I$9:$I$59,$L47,$J$9:$J$59,AT$8),0)</f>
        <v>0</v>
      </c>
      <c r="AU47" s="175">
        <f t="array" ref="AU47">IF(AND($L47&lt;&gt;"",AU$8&lt;&gt;""),COUNTIFS($I$9:$I$59,$L47,$J$9:$J$59,AU$8),0)</f>
        <v>0</v>
      </c>
      <c r="AV47" s="175">
        <f t="array" ref="AV47">IF(AND($L47&lt;&gt;"",AV$8&lt;&gt;""),COUNTIFS($I$9:$I$59,$L47,$J$9:$J$59,AV$8),0)</f>
        <v>0</v>
      </c>
      <c r="AW47" s="175">
        <f t="array" ref="AW47">IF(AND($L47&lt;&gt;"",AW$8&lt;&gt;""),COUNTIFS($I$9:$I$59,$L47,$J$9:$J$59,AW$8),0)</f>
        <v>0</v>
      </c>
      <c r="AX47" s="175">
        <f t="array" ref="AX47">IF(AND($L47&lt;&gt;"",AX$8&lt;&gt;""),COUNTIFS($I$9:$I$59,$L47,$J$9:$J$59,AX$8),0)</f>
        <v>0</v>
      </c>
      <c r="AY47" s="175">
        <f t="array" ref="AY47">IF(AND($L47&lt;&gt;"",AY$8&lt;&gt;""),COUNTIFS($I$9:$I$59,$L47,$J$9:$J$59,AY$8),0)</f>
        <v>0</v>
      </c>
      <c r="AZ47" s="175">
        <f t="array" ref="AZ47">IF(AND($L47&lt;&gt;"",AZ$8&lt;&gt;""),COUNTIFS($I$9:$I$59,$L47,$J$9:$J$59,AZ$8),0)</f>
        <v>0</v>
      </c>
      <c r="BA47" s="175">
        <f t="array" ref="BA47">IF(AND($L47&lt;&gt;"",BA$8&lt;&gt;""),COUNTIFS($I$9:$I$59,$L47,$J$9:$J$59,BA$8),0)</f>
        <v>0</v>
      </c>
      <c r="BB47" s="175">
        <f t="array" ref="BB47">IF(AND($L47&lt;&gt;"",BB$8&lt;&gt;""),COUNTIFS($I$9:$I$59,$L47,$J$9:$J$59,BB$8),0)</f>
        <v>0</v>
      </c>
      <c r="BC47" s="175">
        <f t="array" ref="BC47">IF(AND($L47&lt;&gt;"",BC$8&lt;&gt;""),COUNTIFS($I$9:$I$59,$L47,$J$9:$J$59,BC$8),0)</f>
        <v>0</v>
      </c>
      <c r="BD47" s="175">
        <f t="array" ref="BD47">IF(AND($L47&lt;&gt;"",BD$8&lt;&gt;""),COUNTIFS($I$9:$I$59,$L47,$J$9:$J$59,BD$8),0)</f>
        <v>0</v>
      </c>
      <c r="BE47" s="175">
        <f t="array" ref="BE47">IF(AND($L47&lt;&gt;"",BE$8&lt;&gt;""),COUNTIFS($I$9:$I$59,$L47,$J$9:$J$59,BE$8),0)</f>
        <v>0</v>
      </c>
      <c r="BF47" s="175">
        <f t="array" ref="BF47">IF(AND($L47&lt;&gt;"",BF$8&lt;&gt;""),COUNTIFS($I$9:$I$59,$L47,$J$9:$J$59,BF$8),0)</f>
        <v>0</v>
      </c>
      <c r="BG47" s="175">
        <f t="array" ref="BG47">IF(AND($L47&lt;&gt;"",BG$8&lt;&gt;""),COUNTIFS($I$9:$I$59,$L47,$J$9:$J$59,BG$8),0)</f>
        <v>0</v>
      </c>
      <c r="BH47" s="175">
        <f t="array" ref="BH47">IF(AND($L47&lt;&gt;"",BH$8&lt;&gt;""),COUNTIFS($I$9:$I$59,$L47,$J$9:$J$59,BH$8),0)</f>
        <v>0</v>
      </c>
      <c r="BI47" s="175">
        <f t="array" ref="BI47">IF(AND($L47&lt;&gt;"",BI$8&lt;&gt;""),COUNTIFS($I$9:$I$59,$L47,$J$9:$J$59,BI$8),0)</f>
        <v>0</v>
      </c>
      <c r="BJ47" s="175">
        <f t="array" ref="BJ47">IF(AND($L47&lt;&gt;"",BJ$8&lt;&gt;""),COUNTIFS($I$9:$I$59,$L47,$J$9:$J$59,BJ$8),0)</f>
        <v>0</v>
      </c>
    </row>
    <row r="48" spans="1:62" x14ac:dyDescent="0.2">
      <c r="A48" s="14"/>
      <c r="B48" s="108" t="s">
        <v>76</v>
      </c>
      <c r="C48" s="141"/>
      <c r="D48" s="104"/>
      <c r="E48" s="20"/>
      <c r="F48" s="105"/>
      <c r="G48" s="253"/>
      <c r="H48" s="109"/>
      <c r="I48" s="239" t="str">
        <f t="shared" si="1"/>
        <v/>
      </c>
      <c r="J48" s="168" t="str">
        <f t="shared" si="2"/>
        <v/>
      </c>
      <c r="L48" s="174" t="str">
        <f t="array" ref="L48">IFERROR(INDEX($I$9:$I$59,MATCH(0,COUNTIF($L$8:$L47,$I$9:$I$59),0)),"")</f>
        <v/>
      </c>
      <c r="M48" s="175">
        <f t="array" ref="M48">IF(AND($L48&lt;&gt;"",M$8&lt;&gt;""),COUNTIFS($I$9:$I$59,$L48,$J$9:$J$59,M$8),0)</f>
        <v>0</v>
      </c>
      <c r="N48" s="175">
        <f t="array" ref="N48">IF(AND($L48&lt;&gt;"",N$8&lt;&gt;""),COUNTIFS($I$9:$I$59,$L48,$J$9:$J$59,N$8),0)</f>
        <v>0</v>
      </c>
      <c r="O48" s="175">
        <f t="array" ref="O48">IF(AND($L48&lt;&gt;"",O$8&lt;&gt;""),COUNTIFS($I$9:$I$59,$L48,$J$9:$J$59,O$8),0)</f>
        <v>0</v>
      </c>
      <c r="P48" s="175">
        <f t="array" ref="P48">IF(AND($L48&lt;&gt;"",P$8&lt;&gt;""),COUNTIFS($I$9:$I$59,$L48,$J$9:$J$59,P$8),0)</f>
        <v>0</v>
      </c>
      <c r="Q48" s="175">
        <f t="array" ref="Q48">IF(AND($L48&lt;&gt;"",Q$8&lt;&gt;""),COUNTIFS($I$9:$I$59,$L48,$J$9:$J$59,Q$8),0)</f>
        <v>0</v>
      </c>
      <c r="R48" s="175">
        <f t="array" ref="R48">IF(AND($L48&lt;&gt;"",R$8&lt;&gt;""),COUNTIFS($I$9:$I$59,$L48,$J$9:$J$59,R$8),0)</f>
        <v>0</v>
      </c>
      <c r="S48" s="175">
        <f t="array" ref="S48">IF(AND($L48&lt;&gt;"",S$8&lt;&gt;""),COUNTIFS($I$9:$I$59,$L48,$J$9:$J$59,S$8),0)</f>
        <v>0</v>
      </c>
      <c r="T48" s="175">
        <f t="array" ref="T48">IF(AND($L48&lt;&gt;"",T$8&lt;&gt;""),COUNTIFS($I$9:$I$59,$L48,$J$9:$J$59,T$8),0)</f>
        <v>0</v>
      </c>
      <c r="U48" s="175">
        <f t="array" ref="U48">IF(AND($L48&lt;&gt;"",U$8&lt;&gt;""),COUNTIFS($I$9:$I$59,$L48,$J$9:$J$59,U$8),0)</f>
        <v>0</v>
      </c>
      <c r="V48" s="175">
        <f t="array" ref="V48">IF(AND($L48&lt;&gt;"",V$8&lt;&gt;""),COUNTIFS($I$9:$I$59,$L48,$J$9:$J$59,V$8),0)</f>
        <v>0</v>
      </c>
      <c r="W48" s="175">
        <f t="array" ref="W48">IF(AND($L48&lt;&gt;"",W$8&lt;&gt;""),COUNTIFS($I$9:$I$59,$L48,$J$9:$J$59,W$8),0)</f>
        <v>0</v>
      </c>
      <c r="X48" s="175">
        <f t="array" ref="X48">IF(AND($L48&lt;&gt;"",X$8&lt;&gt;""),COUNTIFS($I$9:$I$59,$L48,$J$9:$J$59,X$8),0)</f>
        <v>0</v>
      </c>
      <c r="Y48" s="175">
        <f t="array" ref="Y48">IF(AND($L48&lt;&gt;"",Y$8&lt;&gt;""),COUNTIFS($I$9:$I$59,$L48,$J$9:$J$59,Y$8),0)</f>
        <v>0</v>
      </c>
      <c r="Z48" s="175">
        <f t="array" ref="Z48">IF(AND($L48&lt;&gt;"",Z$8&lt;&gt;""),COUNTIFS($I$9:$I$59,$L48,$J$9:$J$59,Z$8),0)</f>
        <v>0</v>
      </c>
      <c r="AA48" s="175">
        <f t="array" ref="AA48">IF(AND($L48&lt;&gt;"",AA$8&lt;&gt;""),COUNTIFS($I$9:$I$59,$L48,$J$9:$J$59,AA$8),0)</f>
        <v>0</v>
      </c>
      <c r="AB48" s="175">
        <f t="array" ref="AB48">IF(AND($L48&lt;&gt;"",AB$8&lt;&gt;""),COUNTIFS($I$9:$I$59,$L48,$J$9:$J$59,AB$8),0)</f>
        <v>0</v>
      </c>
      <c r="AC48" s="175">
        <f t="array" ref="AC48">IF(AND($L48&lt;&gt;"",AC$8&lt;&gt;""),COUNTIFS($I$9:$I$59,$L48,$J$9:$J$59,AC$8),0)</f>
        <v>0</v>
      </c>
      <c r="AD48" s="175">
        <f t="array" ref="AD48">IF(AND($L48&lt;&gt;"",AD$8&lt;&gt;""),COUNTIFS($I$9:$I$59,$L48,$J$9:$J$59,AD$8),0)</f>
        <v>0</v>
      </c>
      <c r="AE48" s="175">
        <f t="array" ref="AE48">IF(AND($L48&lt;&gt;"",AE$8&lt;&gt;""),COUNTIFS($I$9:$I$59,$L48,$J$9:$J$59,AE$8),0)</f>
        <v>0</v>
      </c>
      <c r="AF48" s="175">
        <f t="array" ref="AF48">IF(AND($L48&lt;&gt;"",AF$8&lt;&gt;""),COUNTIFS($I$9:$I$59,$L48,$J$9:$J$59,AF$8),0)</f>
        <v>0</v>
      </c>
      <c r="AG48" s="175">
        <f t="array" ref="AG48">IF(AND($L48&lt;&gt;"",AG$8&lt;&gt;""),COUNTIFS($I$9:$I$59,$L48,$J$9:$J$59,AG$8),0)</f>
        <v>0</v>
      </c>
      <c r="AH48" s="175">
        <f t="array" ref="AH48">IF(AND($L48&lt;&gt;"",AH$8&lt;&gt;""),COUNTIFS($I$9:$I$59,$L48,$J$9:$J$59,AH$8),0)</f>
        <v>0</v>
      </c>
      <c r="AI48" s="175">
        <f t="array" ref="AI48">IF(AND($L48&lt;&gt;"",AI$8&lt;&gt;""),COUNTIFS($I$9:$I$59,$L48,$J$9:$J$59,AI$8),0)</f>
        <v>0</v>
      </c>
      <c r="AJ48" s="175">
        <f t="array" ref="AJ48">IF(AND($L48&lt;&gt;"",AJ$8&lt;&gt;""),COUNTIFS($I$9:$I$59,$L48,$J$9:$J$59,AJ$8),0)</f>
        <v>0</v>
      </c>
      <c r="AK48" s="175">
        <f t="array" ref="AK48">IF(AND($L48&lt;&gt;"",AK$8&lt;&gt;""),COUNTIFS($I$9:$I$59,$L48,$J$9:$J$59,AK$8),0)</f>
        <v>0</v>
      </c>
      <c r="AL48" s="175">
        <f t="array" ref="AL48">IF(AND($L48&lt;&gt;"",AL$8&lt;&gt;""),COUNTIFS($I$9:$I$59,$L48,$J$9:$J$59,AL$8),0)</f>
        <v>0</v>
      </c>
      <c r="AM48" s="175">
        <f t="array" ref="AM48">IF(AND($L48&lt;&gt;"",AM$8&lt;&gt;""),COUNTIFS($I$9:$I$59,$L48,$J$9:$J$59,AM$8),0)</f>
        <v>0</v>
      </c>
      <c r="AN48" s="175">
        <f t="array" ref="AN48">IF(AND($L48&lt;&gt;"",AN$8&lt;&gt;""),COUNTIFS($I$9:$I$59,$L48,$J$9:$J$59,AN$8),0)</f>
        <v>0</v>
      </c>
      <c r="AO48" s="175">
        <f t="array" ref="AO48">IF(AND($L48&lt;&gt;"",AO$8&lt;&gt;""),COUNTIFS($I$9:$I$59,$L48,$J$9:$J$59,AO$8),0)</f>
        <v>0</v>
      </c>
      <c r="AP48" s="175">
        <f t="array" ref="AP48">IF(AND($L48&lt;&gt;"",AP$8&lt;&gt;""),COUNTIFS($I$9:$I$59,$L48,$J$9:$J$59,AP$8),0)</f>
        <v>0</v>
      </c>
      <c r="AQ48" s="175">
        <f t="array" ref="AQ48">IF(AND($L48&lt;&gt;"",AQ$8&lt;&gt;""),COUNTIFS($I$9:$I$59,$L48,$J$9:$J$59,AQ$8),0)</f>
        <v>0</v>
      </c>
      <c r="AR48" s="175">
        <f t="array" ref="AR48">IF(AND($L48&lt;&gt;"",AR$8&lt;&gt;""),COUNTIFS($I$9:$I$59,$L48,$J$9:$J$59,AR$8),0)</f>
        <v>0</v>
      </c>
      <c r="AS48" s="175">
        <f t="array" ref="AS48">IF(AND($L48&lt;&gt;"",AS$8&lt;&gt;""),COUNTIFS($I$9:$I$59,$L48,$J$9:$J$59,AS$8),0)</f>
        <v>0</v>
      </c>
      <c r="AT48" s="175">
        <f t="array" ref="AT48">IF(AND($L48&lt;&gt;"",AT$8&lt;&gt;""),COUNTIFS($I$9:$I$59,$L48,$J$9:$J$59,AT$8),0)</f>
        <v>0</v>
      </c>
      <c r="AU48" s="175">
        <f t="array" ref="AU48">IF(AND($L48&lt;&gt;"",AU$8&lt;&gt;""),COUNTIFS($I$9:$I$59,$L48,$J$9:$J$59,AU$8),0)</f>
        <v>0</v>
      </c>
      <c r="AV48" s="175">
        <f t="array" ref="AV48">IF(AND($L48&lt;&gt;"",AV$8&lt;&gt;""),COUNTIFS($I$9:$I$59,$L48,$J$9:$J$59,AV$8),0)</f>
        <v>0</v>
      </c>
      <c r="AW48" s="175">
        <f t="array" ref="AW48">IF(AND($L48&lt;&gt;"",AW$8&lt;&gt;""),COUNTIFS($I$9:$I$59,$L48,$J$9:$J$59,AW$8),0)</f>
        <v>0</v>
      </c>
      <c r="AX48" s="175">
        <f t="array" ref="AX48">IF(AND($L48&lt;&gt;"",AX$8&lt;&gt;""),COUNTIFS($I$9:$I$59,$L48,$J$9:$J$59,AX$8),0)</f>
        <v>0</v>
      </c>
      <c r="AY48" s="175">
        <f t="array" ref="AY48">IF(AND($L48&lt;&gt;"",AY$8&lt;&gt;""),COUNTIFS($I$9:$I$59,$L48,$J$9:$J$59,AY$8),0)</f>
        <v>0</v>
      </c>
      <c r="AZ48" s="175">
        <f t="array" ref="AZ48">IF(AND($L48&lt;&gt;"",AZ$8&lt;&gt;""),COUNTIFS($I$9:$I$59,$L48,$J$9:$J$59,AZ$8),0)</f>
        <v>0</v>
      </c>
      <c r="BA48" s="175">
        <f t="array" ref="BA48">IF(AND($L48&lt;&gt;"",BA$8&lt;&gt;""),COUNTIFS($I$9:$I$59,$L48,$J$9:$J$59,BA$8),0)</f>
        <v>0</v>
      </c>
      <c r="BB48" s="175">
        <f t="array" ref="BB48">IF(AND($L48&lt;&gt;"",BB$8&lt;&gt;""),COUNTIFS($I$9:$I$59,$L48,$J$9:$J$59,BB$8),0)</f>
        <v>0</v>
      </c>
      <c r="BC48" s="175">
        <f t="array" ref="BC48">IF(AND($L48&lt;&gt;"",BC$8&lt;&gt;""),COUNTIFS($I$9:$I$59,$L48,$J$9:$J$59,BC$8),0)</f>
        <v>0</v>
      </c>
      <c r="BD48" s="175">
        <f t="array" ref="BD48">IF(AND($L48&lt;&gt;"",BD$8&lt;&gt;""),COUNTIFS($I$9:$I$59,$L48,$J$9:$J$59,BD$8),0)</f>
        <v>0</v>
      </c>
      <c r="BE48" s="175">
        <f t="array" ref="BE48">IF(AND($L48&lt;&gt;"",BE$8&lt;&gt;""),COUNTIFS($I$9:$I$59,$L48,$J$9:$J$59,BE$8),0)</f>
        <v>0</v>
      </c>
      <c r="BF48" s="175">
        <f t="array" ref="BF48">IF(AND($L48&lt;&gt;"",BF$8&lt;&gt;""),COUNTIFS($I$9:$I$59,$L48,$J$9:$J$59,BF$8),0)</f>
        <v>0</v>
      </c>
      <c r="BG48" s="175">
        <f t="array" ref="BG48">IF(AND($L48&lt;&gt;"",BG$8&lt;&gt;""),COUNTIFS($I$9:$I$59,$L48,$J$9:$J$59,BG$8),0)</f>
        <v>0</v>
      </c>
      <c r="BH48" s="175">
        <f t="array" ref="BH48">IF(AND($L48&lt;&gt;"",BH$8&lt;&gt;""),COUNTIFS($I$9:$I$59,$L48,$J$9:$J$59,BH$8),0)</f>
        <v>0</v>
      </c>
      <c r="BI48" s="175">
        <f t="array" ref="BI48">IF(AND($L48&lt;&gt;"",BI$8&lt;&gt;""),COUNTIFS($I$9:$I$59,$L48,$J$9:$J$59,BI$8),0)</f>
        <v>0</v>
      </c>
      <c r="BJ48" s="175">
        <f t="array" ref="BJ48">IF(AND($L48&lt;&gt;"",BJ$8&lt;&gt;""),COUNTIFS($I$9:$I$59,$L48,$J$9:$J$59,BJ$8),0)</f>
        <v>0</v>
      </c>
    </row>
    <row r="49" spans="1:64" x14ac:dyDescent="0.2">
      <c r="A49" s="14"/>
      <c r="B49" s="108" t="s">
        <v>77</v>
      </c>
      <c r="C49" s="141"/>
      <c r="D49" s="104"/>
      <c r="E49" s="20"/>
      <c r="F49" s="105"/>
      <c r="G49" s="253"/>
      <c r="H49" s="109"/>
      <c r="I49" s="239" t="str">
        <f t="shared" si="1"/>
        <v/>
      </c>
      <c r="J49" s="168" t="str">
        <f t="shared" si="2"/>
        <v/>
      </c>
      <c r="L49" s="174" t="str">
        <f t="array" ref="L49">IFERROR(INDEX($I$9:$I$59,MATCH(0,COUNTIF($L$8:$L48,$I$9:$I$59),0)),"")</f>
        <v/>
      </c>
      <c r="M49" s="175">
        <f t="array" ref="M49">IF(AND($L49&lt;&gt;"",M$8&lt;&gt;""),COUNTIFS($I$9:$I$59,$L49,$J$9:$J$59,M$8),0)</f>
        <v>0</v>
      </c>
      <c r="N49" s="175">
        <f t="array" ref="N49">IF(AND($L49&lt;&gt;"",N$8&lt;&gt;""),COUNTIFS($I$9:$I$59,$L49,$J$9:$J$59,N$8),0)</f>
        <v>0</v>
      </c>
      <c r="O49" s="175">
        <f t="array" ref="O49">IF(AND($L49&lt;&gt;"",O$8&lt;&gt;""),COUNTIFS($I$9:$I$59,$L49,$J$9:$J$59,O$8),0)</f>
        <v>0</v>
      </c>
      <c r="P49" s="175">
        <f t="array" ref="P49">IF(AND($L49&lt;&gt;"",P$8&lt;&gt;""),COUNTIFS($I$9:$I$59,$L49,$J$9:$J$59,P$8),0)</f>
        <v>0</v>
      </c>
      <c r="Q49" s="175">
        <f t="array" ref="Q49">IF(AND($L49&lt;&gt;"",Q$8&lt;&gt;""),COUNTIFS($I$9:$I$59,$L49,$J$9:$J$59,Q$8),0)</f>
        <v>0</v>
      </c>
      <c r="R49" s="175">
        <f t="array" ref="R49">IF(AND($L49&lt;&gt;"",R$8&lt;&gt;""),COUNTIFS($I$9:$I$59,$L49,$J$9:$J$59,R$8),0)</f>
        <v>0</v>
      </c>
      <c r="S49" s="175">
        <f t="array" ref="S49">IF(AND($L49&lt;&gt;"",S$8&lt;&gt;""),COUNTIFS($I$9:$I$59,$L49,$J$9:$J$59,S$8),0)</f>
        <v>0</v>
      </c>
      <c r="T49" s="175">
        <f t="array" ref="T49">IF(AND($L49&lt;&gt;"",T$8&lt;&gt;""),COUNTIFS($I$9:$I$59,$L49,$J$9:$J$59,T$8),0)</f>
        <v>0</v>
      </c>
      <c r="U49" s="175">
        <f t="array" ref="U49">IF(AND($L49&lt;&gt;"",U$8&lt;&gt;""),COUNTIFS($I$9:$I$59,$L49,$J$9:$J$59,U$8),0)</f>
        <v>0</v>
      </c>
      <c r="V49" s="175">
        <f t="array" ref="V49">IF(AND($L49&lt;&gt;"",V$8&lt;&gt;""),COUNTIFS($I$9:$I$59,$L49,$J$9:$J$59,V$8),0)</f>
        <v>0</v>
      </c>
      <c r="W49" s="175">
        <f t="array" ref="W49">IF(AND($L49&lt;&gt;"",W$8&lt;&gt;""),COUNTIFS($I$9:$I$59,$L49,$J$9:$J$59,W$8),0)</f>
        <v>0</v>
      </c>
      <c r="X49" s="175">
        <f t="array" ref="X49">IF(AND($L49&lt;&gt;"",X$8&lt;&gt;""),COUNTIFS($I$9:$I$59,$L49,$J$9:$J$59,X$8),0)</f>
        <v>0</v>
      </c>
      <c r="Y49" s="175">
        <f t="array" ref="Y49">IF(AND($L49&lt;&gt;"",Y$8&lt;&gt;""),COUNTIFS($I$9:$I$59,$L49,$J$9:$J$59,Y$8),0)</f>
        <v>0</v>
      </c>
      <c r="Z49" s="175">
        <f t="array" ref="Z49">IF(AND($L49&lt;&gt;"",Z$8&lt;&gt;""),COUNTIFS($I$9:$I$59,$L49,$J$9:$J$59,Z$8),0)</f>
        <v>0</v>
      </c>
      <c r="AA49" s="175">
        <f t="array" ref="AA49">IF(AND($L49&lt;&gt;"",AA$8&lt;&gt;""),COUNTIFS($I$9:$I$59,$L49,$J$9:$J$59,AA$8),0)</f>
        <v>0</v>
      </c>
      <c r="AB49" s="175">
        <f t="array" ref="AB49">IF(AND($L49&lt;&gt;"",AB$8&lt;&gt;""),COUNTIFS($I$9:$I$59,$L49,$J$9:$J$59,AB$8),0)</f>
        <v>0</v>
      </c>
      <c r="AC49" s="175">
        <f t="array" ref="AC49">IF(AND($L49&lt;&gt;"",AC$8&lt;&gt;""),COUNTIFS($I$9:$I$59,$L49,$J$9:$J$59,AC$8),0)</f>
        <v>0</v>
      </c>
      <c r="AD49" s="175">
        <f t="array" ref="AD49">IF(AND($L49&lt;&gt;"",AD$8&lt;&gt;""),COUNTIFS($I$9:$I$59,$L49,$J$9:$J$59,AD$8),0)</f>
        <v>0</v>
      </c>
      <c r="AE49" s="175">
        <f t="array" ref="AE49">IF(AND($L49&lt;&gt;"",AE$8&lt;&gt;""),COUNTIFS($I$9:$I$59,$L49,$J$9:$J$59,AE$8),0)</f>
        <v>0</v>
      </c>
      <c r="AF49" s="175">
        <f t="array" ref="AF49">IF(AND($L49&lt;&gt;"",AF$8&lt;&gt;""),COUNTIFS($I$9:$I$59,$L49,$J$9:$J$59,AF$8),0)</f>
        <v>0</v>
      </c>
      <c r="AG49" s="175">
        <f t="array" ref="AG49">IF(AND($L49&lt;&gt;"",AG$8&lt;&gt;""),COUNTIFS($I$9:$I$59,$L49,$J$9:$J$59,AG$8),0)</f>
        <v>0</v>
      </c>
      <c r="AH49" s="175">
        <f t="array" ref="AH49">IF(AND($L49&lt;&gt;"",AH$8&lt;&gt;""),COUNTIFS($I$9:$I$59,$L49,$J$9:$J$59,AH$8),0)</f>
        <v>0</v>
      </c>
      <c r="AI49" s="175">
        <f t="array" ref="AI49">IF(AND($L49&lt;&gt;"",AI$8&lt;&gt;""),COUNTIFS($I$9:$I$59,$L49,$J$9:$J$59,AI$8),0)</f>
        <v>0</v>
      </c>
      <c r="AJ49" s="175">
        <f t="array" ref="AJ49">IF(AND($L49&lt;&gt;"",AJ$8&lt;&gt;""),COUNTIFS($I$9:$I$59,$L49,$J$9:$J$59,AJ$8),0)</f>
        <v>0</v>
      </c>
      <c r="AK49" s="175">
        <f t="array" ref="AK49">IF(AND($L49&lt;&gt;"",AK$8&lt;&gt;""),COUNTIFS($I$9:$I$59,$L49,$J$9:$J$59,AK$8),0)</f>
        <v>0</v>
      </c>
      <c r="AL49" s="175">
        <f t="array" ref="AL49">IF(AND($L49&lt;&gt;"",AL$8&lt;&gt;""),COUNTIFS($I$9:$I$59,$L49,$J$9:$J$59,AL$8),0)</f>
        <v>0</v>
      </c>
      <c r="AM49" s="175">
        <f t="array" ref="AM49">IF(AND($L49&lt;&gt;"",AM$8&lt;&gt;""),COUNTIFS($I$9:$I$59,$L49,$J$9:$J$59,AM$8),0)</f>
        <v>0</v>
      </c>
      <c r="AN49" s="175">
        <f t="array" ref="AN49">IF(AND($L49&lt;&gt;"",AN$8&lt;&gt;""),COUNTIFS($I$9:$I$59,$L49,$J$9:$J$59,AN$8),0)</f>
        <v>0</v>
      </c>
      <c r="AO49" s="175">
        <f t="array" ref="AO49">IF(AND($L49&lt;&gt;"",AO$8&lt;&gt;""),COUNTIFS($I$9:$I$59,$L49,$J$9:$J$59,AO$8),0)</f>
        <v>0</v>
      </c>
      <c r="AP49" s="175">
        <f t="array" ref="AP49">IF(AND($L49&lt;&gt;"",AP$8&lt;&gt;""),COUNTIFS($I$9:$I$59,$L49,$J$9:$J$59,AP$8),0)</f>
        <v>0</v>
      </c>
      <c r="AQ49" s="175">
        <f t="array" ref="AQ49">IF(AND($L49&lt;&gt;"",AQ$8&lt;&gt;""),COUNTIFS($I$9:$I$59,$L49,$J$9:$J$59,AQ$8),0)</f>
        <v>0</v>
      </c>
      <c r="AR49" s="175">
        <f t="array" ref="AR49">IF(AND($L49&lt;&gt;"",AR$8&lt;&gt;""),COUNTIFS($I$9:$I$59,$L49,$J$9:$J$59,AR$8),0)</f>
        <v>0</v>
      </c>
      <c r="AS49" s="175">
        <f t="array" ref="AS49">IF(AND($L49&lt;&gt;"",AS$8&lt;&gt;""),COUNTIFS($I$9:$I$59,$L49,$J$9:$J$59,AS$8),0)</f>
        <v>0</v>
      </c>
      <c r="AT49" s="175">
        <f t="array" ref="AT49">IF(AND($L49&lt;&gt;"",AT$8&lt;&gt;""),COUNTIFS($I$9:$I$59,$L49,$J$9:$J$59,AT$8),0)</f>
        <v>0</v>
      </c>
      <c r="AU49" s="175">
        <f t="array" ref="AU49">IF(AND($L49&lt;&gt;"",AU$8&lt;&gt;""),COUNTIFS($I$9:$I$59,$L49,$J$9:$J$59,AU$8),0)</f>
        <v>0</v>
      </c>
      <c r="AV49" s="175">
        <f t="array" ref="AV49">IF(AND($L49&lt;&gt;"",AV$8&lt;&gt;""),COUNTIFS($I$9:$I$59,$L49,$J$9:$J$59,AV$8),0)</f>
        <v>0</v>
      </c>
      <c r="AW49" s="175">
        <f t="array" ref="AW49">IF(AND($L49&lt;&gt;"",AW$8&lt;&gt;""),COUNTIFS($I$9:$I$59,$L49,$J$9:$J$59,AW$8),0)</f>
        <v>0</v>
      </c>
      <c r="AX49" s="175">
        <f t="array" ref="AX49">IF(AND($L49&lt;&gt;"",AX$8&lt;&gt;""),COUNTIFS($I$9:$I$59,$L49,$J$9:$J$59,AX$8),0)</f>
        <v>0</v>
      </c>
      <c r="AY49" s="175">
        <f t="array" ref="AY49">IF(AND($L49&lt;&gt;"",AY$8&lt;&gt;""),COUNTIFS($I$9:$I$59,$L49,$J$9:$J$59,AY$8),0)</f>
        <v>0</v>
      </c>
      <c r="AZ49" s="175">
        <f t="array" ref="AZ49">IF(AND($L49&lt;&gt;"",AZ$8&lt;&gt;""),COUNTIFS($I$9:$I$59,$L49,$J$9:$J$59,AZ$8),0)</f>
        <v>0</v>
      </c>
      <c r="BA49" s="175">
        <f t="array" ref="BA49">IF(AND($L49&lt;&gt;"",BA$8&lt;&gt;""),COUNTIFS($I$9:$I$59,$L49,$J$9:$J$59,BA$8),0)</f>
        <v>0</v>
      </c>
      <c r="BB49" s="175">
        <f t="array" ref="BB49">IF(AND($L49&lt;&gt;"",BB$8&lt;&gt;""),COUNTIFS($I$9:$I$59,$L49,$J$9:$J$59,BB$8),0)</f>
        <v>0</v>
      </c>
      <c r="BC49" s="175">
        <f t="array" ref="BC49">IF(AND($L49&lt;&gt;"",BC$8&lt;&gt;""),COUNTIFS($I$9:$I$59,$L49,$J$9:$J$59,BC$8),0)</f>
        <v>0</v>
      </c>
      <c r="BD49" s="175">
        <f t="array" ref="BD49">IF(AND($L49&lt;&gt;"",BD$8&lt;&gt;""),COUNTIFS($I$9:$I$59,$L49,$J$9:$J$59,BD$8),0)</f>
        <v>0</v>
      </c>
      <c r="BE49" s="175">
        <f t="array" ref="BE49">IF(AND($L49&lt;&gt;"",BE$8&lt;&gt;""),COUNTIFS($I$9:$I$59,$L49,$J$9:$J$59,BE$8),0)</f>
        <v>0</v>
      </c>
      <c r="BF49" s="175">
        <f t="array" ref="BF49">IF(AND($L49&lt;&gt;"",BF$8&lt;&gt;""),COUNTIFS($I$9:$I$59,$L49,$J$9:$J$59,BF$8),0)</f>
        <v>0</v>
      </c>
      <c r="BG49" s="175">
        <f t="array" ref="BG49">IF(AND($L49&lt;&gt;"",BG$8&lt;&gt;""),COUNTIFS($I$9:$I$59,$L49,$J$9:$J$59,BG$8),0)</f>
        <v>0</v>
      </c>
      <c r="BH49" s="175">
        <f t="array" ref="BH49">IF(AND($L49&lt;&gt;"",BH$8&lt;&gt;""),COUNTIFS($I$9:$I$59,$L49,$J$9:$J$59,BH$8),0)</f>
        <v>0</v>
      </c>
      <c r="BI49" s="175">
        <f t="array" ref="BI49">IF(AND($L49&lt;&gt;"",BI$8&lt;&gt;""),COUNTIFS($I$9:$I$59,$L49,$J$9:$J$59,BI$8),0)</f>
        <v>0</v>
      </c>
      <c r="BJ49" s="175">
        <f t="array" ref="BJ49">IF(AND($L49&lt;&gt;"",BJ$8&lt;&gt;""),COUNTIFS($I$9:$I$59,$L49,$J$9:$J$59,BJ$8),0)</f>
        <v>0</v>
      </c>
    </row>
    <row r="50" spans="1:64" x14ac:dyDescent="0.2">
      <c r="A50" s="14"/>
      <c r="B50" s="108" t="s">
        <v>78</v>
      </c>
      <c r="C50" s="141"/>
      <c r="D50" s="104"/>
      <c r="E50" s="20"/>
      <c r="F50" s="105"/>
      <c r="G50" s="253"/>
      <c r="H50" s="109"/>
      <c r="I50" s="239" t="str">
        <f t="shared" si="1"/>
        <v/>
      </c>
      <c r="J50" s="168" t="str">
        <f t="shared" si="2"/>
        <v/>
      </c>
      <c r="L50" s="174" t="str">
        <f t="array" ref="L50">IFERROR(INDEX($I$9:$I$59,MATCH(0,COUNTIF($L$8:$L49,$I$9:$I$59),0)),"")</f>
        <v/>
      </c>
      <c r="M50" s="175">
        <f t="array" ref="M50">IF(AND($L50&lt;&gt;"",M$8&lt;&gt;""),COUNTIFS($I$9:$I$59,$L50,$J$9:$J$59,M$8),0)</f>
        <v>0</v>
      </c>
      <c r="N50" s="175">
        <f t="array" ref="N50">IF(AND($L50&lt;&gt;"",N$8&lt;&gt;""),COUNTIFS($I$9:$I$59,$L50,$J$9:$J$59,N$8),0)</f>
        <v>0</v>
      </c>
      <c r="O50" s="175">
        <f t="array" ref="O50">IF(AND($L50&lt;&gt;"",O$8&lt;&gt;""),COUNTIFS($I$9:$I$59,$L50,$J$9:$J$59,O$8),0)</f>
        <v>0</v>
      </c>
      <c r="P50" s="175">
        <f t="array" ref="P50">IF(AND($L50&lt;&gt;"",P$8&lt;&gt;""),COUNTIFS($I$9:$I$59,$L50,$J$9:$J$59,P$8),0)</f>
        <v>0</v>
      </c>
      <c r="Q50" s="175">
        <f t="array" ref="Q50">IF(AND($L50&lt;&gt;"",Q$8&lt;&gt;""),COUNTIFS($I$9:$I$59,$L50,$J$9:$J$59,Q$8),0)</f>
        <v>0</v>
      </c>
      <c r="R50" s="175">
        <f t="array" ref="R50">IF(AND($L50&lt;&gt;"",R$8&lt;&gt;""),COUNTIFS($I$9:$I$59,$L50,$J$9:$J$59,R$8),0)</f>
        <v>0</v>
      </c>
      <c r="S50" s="175">
        <f t="array" ref="S50">IF(AND($L50&lt;&gt;"",S$8&lt;&gt;""),COUNTIFS($I$9:$I$59,$L50,$J$9:$J$59,S$8),0)</f>
        <v>0</v>
      </c>
      <c r="T50" s="175">
        <f t="array" ref="T50">IF(AND($L50&lt;&gt;"",T$8&lt;&gt;""),COUNTIFS($I$9:$I$59,$L50,$J$9:$J$59,T$8),0)</f>
        <v>0</v>
      </c>
      <c r="U50" s="175">
        <f t="array" ref="U50">IF(AND($L50&lt;&gt;"",U$8&lt;&gt;""),COUNTIFS($I$9:$I$59,$L50,$J$9:$J$59,U$8),0)</f>
        <v>0</v>
      </c>
      <c r="V50" s="175">
        <f t="array" ref="V50">IF(AND($L50&lt;&gt;"",V$8&lt;&gt;""),COUNTIFS($I$9:$I$59,$L50,$J$9:$J$59,V$8),0)</f>
        <v>0</v>
      </c>
      <c r="W50" s="175">
        <f t="array" ref="W50">IF(AND($L50&lt;&gt;"",W$8&lt;&gt;""),COUNTIFS($I$9:$I$59,$L50,$J$9:$J$59,W$8),0)</f>
        <v>0</v>
      </c>
      <c r="X50" s="175">
        <f t="array" ref="X50">IF(AND($L50&lt;&gt;"",X$8&lt;&gt;""),COUNTIFS($I$9:$I$59,$L50,$J$9:$J$59,X$8),0)</f>
        <v>0</v>
      </c>
      <c r="Y50" s="175">
        <f t="array" ref="Y50">IF(AND($L50&lt;&gt;"",Y$8&lt;&gt;""),COUNTIFS($I$9:$I$59,$L50,$J$9:$J$59,Y$8),0)</f>
        <v>0</v>
      </c>
      <c r="Z50" s="175">
        <f t="array" ref="Z50">IF(AND($L50&lt;&gt;"",Z$8&lt;&gt;""),COUNTIFS($I$9:$I$59,$L50,$J$9:$J$59,Z$8),0)</f>
        <v>0</v>
      </c>
      <c r="AA50" s="175">
        <f t="array" ref="AA50">IF(AND($L50&lt;&gt;"",AA$8&lt;&gt;""),COUNTIFS($I$9:$I$59,$L50,$J$9:$J$59,AA$8),0)</f>
        <v>0</v>
      </c>
      <c r="AB50" s="175">
        <f t="array" ref="AB50">IF(AND($L50&lt;&gt;"",AB$8&lt;&gt;""),COUNTIFS($I$9:$I$59,$L50,$J$9:$J$59,AB$8),0)</f>
        <v>0</v>
      </c>
      <c r="AC50" s="175">
        <f t="array" ref="AC50">IF(AND($L50&lt;&gt;"",AC$8&lt;&gt;""),COUNTIFS($I$9:$I$59,$L50,$J$9:$J$59,AC$8),0)</f>
        <v>0</v>
      </c>
      <c r="AD50" s="175">
        <f t="array" ref="AD50">IF(AND($L50&lt;&gt;"",AD$8&lt;&gt;""),COUNTIFS($I$9:$I$59,$L50,$J$9:$J$59,AD$8),0)</f>
        <v>0</v>
      </c>
      <c r="AE50" s="175">
        <f t="array" ref="AE50">IF(AND($L50&lt;&gt;"",AE$8&lt;&gt;""),COUNTIFS($I$9:$I$59,$L50,$J$9:$J$59,AE$8),0)</f>
        <v>0</v>
      </c>
      <c r="AF50" s="175">
        <f t="array" ref="AF50">IF(AND($L50&lt;&gt;"",AF$8&lt;&gt;""),COUNTIFS($I$9:$I$59,$L50,$J$9:$J$59,AF$8),0)</f>
        <v>0</v>
      </c>
      <c r="AG50" s="175">
        <f t="array" ref="AG50">IF(AND($L50&lt;&gt;"",AG$8&lt;&gt;""),COUNTIFS($I$9:$I$59,$L50,$J$9:$J$59,AG$8),0)</f>
        <v>0</v>
      </c>
      <c r="AH50" s="175">
        <f t="array" ref="AH50">IF(AND($L50&lt;&gt;"",AH$8&lt;&gt;""),COUNTIFS($I$9:$I$59,$L50,$J$9:$J$59,AH$8),0)</f>
        <v>0</v>
      </c>
      <c r="AI50" s="175">
        <f t="array" ref="AI50">IF(AND($L50&lt;&gt;"",AI$8&lt;&gt;""),COUNTIFS($I$9:$I$59,$L50,$J$9:$J$59,AI$8),0)</f>
        <v>0</v>
      </c>
      <c r="AJ50" s="175">
        <f t="array" ref="AJ50">IF(AND($L50&lt;&gt;"",AJ$8&lt;&gt;""),COUNTIFS($I$9:$I$59,$L50,$J$9:$J$59,AJ$8),0)</f>
        <v>0</v>
      </c>
      <c r="AK50" s="175">
        <f t="array" ref="AK50">IF(AND($L50&lt;&gt;"",AK$8&lt;&gt;""),COUNTIFS($I$9:$I$59,$L50,$J$9:$J$59,AK$8),0)</f>
        <v>0</v>
      </c>
      <c r="AL50" s="175">
        <f t="array" ref="AL50">IF(AND($L50&lt;&gt;"",AL$8&lt;&gt;""),COUNTIFS($I$9:$I$59,$L50,$J$9:$J$59,AL$8),0)</f>
        <v>0</v>
      </c>
      <c r="AM50" s="175">
        <f t="array" ref="AM50">IF(AND($L50&lt;&gt;"",AM$8&lt;&gt;""),COUNTIFS($I$9:$I$59,$L50,$J$9:$J$59,AM$8),0)</f>
        <v>0</v>
      </c>
      <c r="AN50" s="175">
        <f t="array" ref="AN50">IF(AND($L50&lt;&gt;"",AN$8&lt;&gt;""),COUNTIFS($I$9:$I$59,$L50,$J$9:$J$59,AN$8),0)</f>
        <v>0</v>
      </c>
      <c r="AO50" s="175">
        <f t="array" ref="AO50">IF(AND($L50&lt;&gt;"",AO$8&lt;&gt;""),COUNTIFS($I$9:$I$59,$L50,$J$9:$J$59,AO$8),0)</f>
        <v>0</v>
      </c>
      <c r="AP50" s="175">
        <f t="array" ref="AP50">IF(AND($L50&lt;&gt;"",AP$8&lt;&gt;""),COUNTIFS($I$9:$I$59,$L50,$J$9:$J$59,AP$8),0)</f>
        <v>0</v>
      </c>
      <c r="AQ50" s="175">
        <f t="array" ref="AQ50">IF(AND($L50&lt;&gt;"",AQ$8&lt;&gt;""),COUNTIFS($I$9:$I$59,$L50,$J$9:$J$59,AQ$8),0)</f>
        <v>0</v>
      </c>
      <c r="AR50" s="175">
        <f t="array" ref="AR50">IF(AND($L50&lt;&gt;"",AR$8&lt;&gt;""),COUNTIFS($I$9:$I$59,$L50,$J$9:$J$59,AR$8),0)</f>
        <v>0</v>
      </c>
      <c r="AS50" s="175">
        <f t="array" ref="AS50">IF(AND($L50&lt;&gt;"",AS$8&lt;&gt;""),COUNTIFS($I$9:$I$59,$L50,$J$9:$J$59,AS$8),0)</f>
        <v>0</v>
      </c>
      <c r="AT50" s="175">
        <f t="array" ref="AT50">IF(AND($L50&lt;&gt;"",AT$8&lt;&gt;""),COUNTIFS($I$9:$I$59,$L50,$J$9:$J$59,AT$8),0)</f>
        <v>0</v>
      </c>
      <c r="AU50" s="175">
        <f t="array" ref="AU50">IF(AND($L50&lt;&gt;"",AU$8&lt;&gt;""),COUNTIFS($I$9:$I$59,$L50,$J$9:$J$59,AU$8),0)</f>
        <v>0</v>
      </c>
      <c r="AV50" s="175">
        <f t="array" ref="AV50">IF(AND($L50&lt;&gt;"",AV$8&lt;&gt;""),COUNTIFS($I$9:$I$59,$L50,$J$9:$J$59,AV$8),0)</f>
        <v>0</v>
      </c>
      <c r="AW50" s="175">
        <f t="array" ref="AW50">IF(AND($L50&lt;&gt;"",AW$8&lt;&gt;""),COUNTIFS($I$9:$I$59,$L50,$J$9:$J$59,AW$8),0)</f>
        <v>0</v>
      </c>
      <c r="AX50" s="175">
        <f t="array" ref="AX50">IF(AND($L50&lt;&gt;"",AX$8&lt;&gt;""),COUNTIFS($I$9:$I$59,$L50,$J$9:$J$59,AX$8),0)</f>
        <v>0</v>
      </c>
      <c r="AY50" s="175">
        <f t="array" ref="AY50">IF(AND($L50&lt;&gt;"",AY$8&lt;&gt;""),COUNTIFS($I$9:$I$59,$L50,$J$9:$J$59,AY$8),0)</f>
        <v>0</v>
      </c>
      <c r="AZ50" s="175">
        <f t="array" ref="AZ50">IF(AND($L50&lt;&gt;"",AZ$8&lt;&gt;""),COUNTIFS($I$9:$I$59,$L50,$J$9:$J$59,AZ$8),0)</f>
        <v>0</v>
      </c>
      <c r="BA50" s="175">
        <f t="array" ref="BA50">IF(AND($L50&lt;&gt;"",BA$8&lt;&gt;""),COUNTIFS($I$9:$I$59,$L50,$J$9:$J$59,BA$8),0)</f>
        <v>0</v>
      </c>
      <c r="BB50" s="175">
        <f t="array" ref="BB50">IF(AND($L50&lt;&gt;"",BB$8&lt;&gt;""),COUNTIFS($I$9:$I$59,$L50,$J$9:$J$59,BB$8),0)</f>
        <v>0</v>
      </c>
      <c r="BC50" s="175">
        <f t="array" ref="BC50">IF(AND($L50&lt;&gt;"",BC$8&lt;&gt;""),COUNTIFS($I$9:$I$59,$L50,$J$9:$J$59,BC$8),0)</f>
        <v>0</v>
      </c>
      <c r="BD50" s="175">
        <f t="array" ref="BD50">IF(AND($L50&lt;&gt;"",BD$8&lt;&gt;""),COUNTIFS($I$9:$I$59,$L50,$J$9:$J$59,BD$8),0)</f>
        <v>0</v>
      </c>
      <c r="BE50" s="175">
        <f t="array" ref="BE50">IF(AND($L50&lt;&gt;"",BE$8&lt;&gt;""),COUNTIFS($I$9:$I$59,$L50,$J$9:$J$59,BE$8),0)</f>
        <v>0</v>
      </c>
      <c r="BF50" s="175">
        <f t="array" ref="BF50">IF(AND($L50&lt;&gt;"",BF$8&lt;&gt;""),COUNTIFS($I$9:$I$59,$L50,$J$9:$J$59,BF$8),0)</f>
        <v>0</v>
      </c>
      <c r="BG50" s="175">
        <f t="array" ref="BG50">IF(AND($L50&lt;&gt;"",BG$8&lt;&gt;""),COUNTIFS($I$9:$I$59,$L50,$J$9:$J$59,BG$8),0)</f>
        <v>0</v>
      </c>
      <c r="BH50" s="175">
        <f t="array" ref="BH50">IF(AND($L50&lt;&gt;"",BH$8&lt;&gt;""),COUNTIFS($I$9:$I$59,$L50,$J$9:$J$59,BH$8),0)</f>
        <v>0</v>
      </c>
      <c r="BI50" s="175">
        <f t="array" ref="BI50">IF(AND($L50&lt;&gt;"",BI$8&lt;&gt;""),COUNTIFS($I$9:$I$59,$L50,$J$9:$J$59,BI$8),0)</f>
        <v>0</v>
      </c>
      <c r="BJ50" s="175">
        <f t="array" ref="BJ50">IF(AND($L50&lt;&gt;"",BJ$8&lt;&gt;""),COUNTIFS($I$9:$I$59,$L50,$J$9:$J$59,BJ$8),0)</f>
        <v>0</v>
      </c>
    </row>
    <row r="51" spans="1:64" x14ac:dyDescent="0.2">
      <c r="A51" s="14"/>
      <c r="B51" s="108" t="s">
        <v>79</v>
      </c>
      <c r="C51" s="141"/>
      <c r="D51" s="104"/>
      <c r="E51" s="20"/>
      <c r="F51" s="105"/>
      <c r="G51" s="253"/>
      <c r="H51" s="109"/>
      <c r="I51" s="239" t="str">
        <f t="shared" si="1"/>
        <v/>
      </c>
      <c r="J51" s="168" t="str">
        <f t="shared" si="2"/>
        <v/>
      </c>
      <c r="L51" s="174" t="str">
        <f t="array" ref="L51">IFERROR(INDEX($I$9:$I$59,MATCH(0,COUNTIF($L$8:$L50,$I$9:$I$59),0)),"")</f>
        <v/>
      </c>
      <c r="M51" s="175">
        <f t="array" ref="M51">IF(AND($L51&lt;&gt;"",M$8&lt;&gt;""),COUNTIFS($I$9:$I$59,$L51,$J$9:$J$59,M$8),0)</f>
        <v>0</v>
      </c>
      <c r="N51" s="175">
        <f t="array" ref="N51">IF(AND($L51&lt;&gt;"",N$8&lt;&gt;""),COUNTIFS($I$9:$I$59,$L51,$J$9:$J$59,N$8),0)</f>
        <v>0</v>
      </c>
      <c r="O51" s="175">
        <f t="array" ref="O51">IF(AND($L51&lt;&gt;"",O$8&lt;&gt;""),COUNTIFS($I$9:$I$59,$L51,$J$9:$J$59,O$8),0)</f>
        <v>0</v>
      </c>
      <c r="P51" s="175">
        <f t="array" ref="P51">IF(AND($L51&lt;&gt;"",P$8&lt;&gt;""),COUNTIFS($I$9:$I$59,$L51,$J$9:$J$59,P$8),0)</f>
        <v>0</v>
      </c>
      <c r="Q51" s="175">
        <f t="array" ref="Q51">IF(AND($L51&lt;&gt;"",Q$8&lt;&gt;""),COUNTIFS($I$9:$I$59,$L51,$J$9:$J$59,Q$8),0)</f>
        <v>0</v>
      </c>
      <c r="R51" s="175">
        <f t="array" ref="R51">IF(AND($L51&lt;&gt;"",R$8&lt;&gt;""),COUNTIFS($I$9:$I$59,$L51,$J$9:$J$59,R$8),0)</f>
        <v>0</v>
      </c>
      <c r="S51" s="175">
        <f t="array" ref="S51">IF(AND($L51&lt;&gt;"",S$8&lt;&gt;""),COUNTIFS($I$9:$I$59,$L51,$J$9:$J$59,S$8),0)</f>
        <v>0</v>
      </c>
      <c r="T51" s="175">
        <f t="array" ref="T51">IF(AND($L51&lt;&gt;"",T$8&lt;&gt;""),COUNTIFS($I$9:$I$59,$L51,$J$9:$J$59,T$8),0)</f>
        <v>0</v>
      </c>
      <c r="U51" s="175">
        <f t="array" ref="U51">IF(AND($L51&lt;&gt;"",U$8&lt;&gt;""),COUNTIFS($I$9:$I$59,$L51,$J$9:$J$59,U$8),0)</f>
        <v>0</v>
      </c>
      <c r="V51" s="175">
        <f t="array" ref="V51">IF(AND($L51&lt;&gt;"",V$8&lt;&gt;""),COUNTIFS($I$9:$I$59,$L51,$J$9:$J$59,V$8),0)</f>
        <v>0</v>
      </c>
      <c r="W51" s="175">
        <f t="array" ref="W51">IF(AND($L51&lt;&gt;"",W$8&lt;&gt;""),COUNTIFS($I$9:$I$59,$L51,$J$9:$J$59,W$8),0)</f>
        <v>0</v>
      </c>
      <c r="X51" s="175">
        <f t="array" ref="X51">IF(AND($L51&lt;&gt;"",X$8&lt;&gt;""),COUNTIFS($I$9:$I$59,$L51,$J$9:$J$59,X$8),0)</f>
        <v>0</v>
      </c>
      <c r="Y51" s="175">
        <f t="array" ref="Y51">IF(AND($L51&lt;&gt;"",Y$8&lt;&gt;""),COUNTIFS($I$9:$I$59,$L51,$J$9:$J$59,Y$8),0)</f>
        <v>0</v>
      </c>
      <c r="Z51" s="175">
        <f t="array" ref="Z51">IF(AND($L51&lt;&gt;"",Z$8&lt;&gt;""),COUNTIFS($I$9:$I$59,$L51,$J$9:$J$59,Z$8),0)</f>
        <v>0</v>
      </c>
      <c r="AA51" s="175">
        <f t="array" ref="AA51">IF(AND($L51&lt;&gt;"",AA$8&lt;&gt;""),COUNTIFS($I$9:$I$59,$L51,$J$9:$J$59,AA$8),0)</f>
        <v>0</v>
      </c>
      <c r="AB51" s="175">
        <f t="array" ref="AB51">IF(AND($L51&lt;&gt;"",AB$8&lt;&gt;""),COUNTIFS($I$9:$I$59,$L51,$J$9:$J$59,AB$8),0)</f>
        <v>0</v>
      </c>
      <c r="AC51" s="175">
        <f t="array" ref="AC51">IF(AND($L51&lt;&gt;"",AC$8&lt;&gt;""),COUNTIFS($I$9:$I$59,$L51,$J$9:$J$59,AC$8),0)</f>
        <v>0</v>
      </c>
      <c r="AD51" s="175">
        <f t="array" ref="AD51">IF(AND($L51&lt;&gt;"",AD$8&lt;&gt;""),COUNTIFS($I$9:$I$59,$L51,$J$9:$J$59,AD$8),0)</f>
        <v>0</v>
      </c>
      <c r="AE51" s="175">
        <f t="array" ref="AE51">IF(AND($L51&lt;&gt;"",AE$8&lt;&gt;""),COUNTIFS($I$9:$I$59,$L51,$J$9:$J$59,AE$8),0)</f>
        <v>0</v>
      </c>
      <c r="AF51" s="175">
        <f t="array" ref="AF51">IF(AND($L51&lt;&gt;"",AF$8&lt;&gt;""),COUNTIFS($I$9:$I$59,$L51,$J$9:$J$59,AF$8),0)</f>
        <v>0</v>
      </c>
      <c r="AG51" s="175">
        <f t="array" ref="AG51">IF(AND($L51&lt;&gt;"",AG$8&lt;&gt;""),COUNTIFS($I$9:$I$59,$L51,$J$9:$J$59,AG$8),0)</f>
        <v>0</v>
      </c>
      <c r="AH51" s="175">
        <f t="array" ref="AH51">IF(AND($L51&lt;&gt;"",AH$8&lt;&gt;""),COUNTIFS($I$9:$I$59,$L51,$J$9:$J$59,AH$8),0)</f>
        <v>0</v>
      </c>
      <c r="AI51" s="175">
        <f t="array" ref="AI51">IF(AND($L51&lt;&gt;"",AI$8&lt;&gt;""),COUNTIFS($I$9:$I$59,$L51,$J$9:$J$59,AI$8),0)</f>
        <v>0</v>
      </c>
      <c r="AJ51" s="175">
        <f t="array" ref="AJ51">IF(AND($L51&lt;&gt;"",AJ$8&lt;&gt;""),COUNTIFS($I$9:$I$59,$L51,$J$9:$J$59,AJ$8),0)</f>
        <v>0</v>
      </c>
      <c r="AK51" s="175">
        <f t="array" ref="AK51">IF(AND($L51&lt;&gt;"",AK$8&lt;&gt;""),COUNTIFS($I$9:$I$59,$L51,$J$9:$J$59,AK$8),0)</f>
        <v>0</v>
      </c>
      <c r="AL51" s="175">
        <f t="array" ref="AL51">IF(AND($L51&lt;&gt;"",AL$8&lt;&gt;""),COUNTIFS($I$9:$I$59,$L51,$J$9:$J$59,AL$8),0)</f>
        <v>0</v>
      </c>
      <c r="AM51" s="175">
        <f t="array" ref="AM51">IF(AND($L51&lt;&gt;"",AM$8&lt;&gt;""),COUNTIFS($I$9:$I$59,$L51,$J$9:$J$59,AM$8),0)</f>
        <v>0</v>
      </c>
      <c r="AN51" s="175">
        <f t="array" ref="AN51">IF(AND($L51&lt;&gt;"",AN$8&lt;&gt;""),COUNTIFS($I$9:$I$59,$L51,$J$9:$J$59,AN$8),0)</f>
        <v>0</v>
      </c>
      <c r="AO51" s="175">
        <f t="array" ref="AO51">IF(AND($L51&lt;&gt;"",AO$8&lt;&gt;""),COUNTIFS($I$9:$I$59,$L51,$J$9:$J$59,AO$8),0)</f>
        <v>0</v>
      </c>
      <c r="AP51" s="175">
        <f t="array" ref="AP51">IF(AND($L51&lt;&gt;"",AP$8&lt;&gt;""),COUNTIFS($I$9:$I$59,$L51,$J$9:$J$59,AP$8),0)</f>
        <v>0</v>
      </c>
      <c r="AQ51" s="175">
        <f t="array" ref="AQ51">IF(AND($L51&lt;&gt;"",AQ$8&lt;&gt;""),COUNTIFS($I$9:$I$59,$L51,$J$9:$J$59,AQ$8),0)</f>
        <v>0</v>
      </c>
      <c r="AR51" s="175">
        <f t="array" ref="AR51">IF(AND($L51&lt;&gt;"",AR$8&lt;&gt;""),COUNTIFS($I$9:$I$59,$L51,$J$9:$J$59,AR$8),0)</f>
        <v>0</v>
      </c>
      <c r="AS51" s="175">
        <f t="array" ref="AS51">IF(AND($L51&lt;&gt;"",AS$8&lt;&gt;""),COUNTIFS($I$9:$I$59,$L51,$J$9:$J$59,AS$8),0)</f>
        <v>0</v>
      </c>
      <c r="AT51" s="175">
        <f t="array" ref="AT51">IF(AND($L51&lt;&gt;"",AT$8&lt;&gt;""),COUNTIFS($I$9:$I$59,$L51,$J$9:$J$59,AT$8),0)</f>
        <v>0</v>
      </c>
      <c r="AU51" s="175">
        <f t="array" ref="AU51">IF(AND($L51&lt;&gt;"",AU$8&lt;&gt;""),COUNTIFS($I$9:$I$59,$L51,$J$9:$J$59,AU$8),0)</f>
        <v>0</v>
      </c>
      <c r="AV51" s="175">
        <f t="array" ref="AV51">IF(AND($L51&lt;&gt;"",AV$8&lt;&gt;""),COUNTIFS($I$9:$I$59,$L51,$J$9:$J$59,AV$8),0)</f>
        <v>0</v>
      </c>
      <c r="AW51" s="175">
        <f t="array" ref="AW51">IF(AND($L51&lt;&gt;"",AW$8&lt;&gt;""),COUNTIFS($I$9:$I$59,$L51,$J$9:$J$59,AW$8),0)</f>
        <v>0</v>
      </c>
      <c r="AX51" s="175">
        <f t="array" ref="AX51">IF(AND($L51&lt;&gt;"",AX$8&lt;&gt;""),COUNTIFS($I$9:$I$59,$L51,$J$9:$J$59,AX$8),0)</f>
        <v>0</v>
      </c>
      <c r="AY51" s="175">
        <f t="array" ref="AY51">IF(AND($L51&lt;&gt;"",AY$8&lt;&gt;""),COUNTIFS($I$9:$I$59,$L51,$J$9:$J$59,AY$8),0)</f>
        <v>0</v>
      </c>
      <c r="AZ51" s="175">
        <f t="array" ref="AZ51">IF(AND($L51&lt;&gt;"",AZ$8&lt;&gt;""),COUNTIFS($I$9:$I$59,$L51,$J$9:$J$59,AZ$8),0)</f>
        <v>0</v>
      </c>
      <c r="BA51" s="175">
        <f t="array" ref="BA51">IF(AND($L51&lt;&gt;"",BA$8&lt;&gt;""),COUNTIFS($I$9:$I$59,$L51,$J$9:$J$59,BA$8),0)</f>
        <v>0</v>
      </c>
      <c r="BB51" s="175">
        <f t="array" ref="BB51">IF(AND($L51&lt;&gt;"",BB$8&lt;&gt;""),COUNTIFS($I$9:$I$59,$L51,$J$9:$J$59,BB$8),0)</f>
        <v>0</v>
      </c>
      <c r="BC51" s="175">
        <f t="array" ref="BC51">IF(AND($L51&lt;&gt;"",BC$8&lt;&gt;""),COUNTIFS($I$9:$I$59,$L51,$J$9:$J$59,BC$8),0)</f>
        <v>0</v>
      </c>
      <c r="BD51" s="175">
        <f t="array" ref="BD51">IF(AND($L51&lt;&gt;"",BD$8&lt;&gt;""),COUNTIFS($I$9:$I$59,$L51,$J$9:$J$59,BD$8),0)</f>
        <v>0</v>
      </c>
      <c r="BE51" s="175">
        <f t="array" ref="BE51">IF(AND($L51&lt;&gt;"",BE$8&lt;&gt;""),COUNTIFS($I$9:$I$59,$L51,$J$9:$J$59,BE$8),0)</f>
        <v>0</v>
      </c>
      <c r="BF51" s="175">
        <f t="array" ref="BF51">IF(AND($L51&lt;&gt;"",BF$8&lt;&gt;""),COUNTIFS($I$9:$I$59,$L51,$J$9:$J$59,BF$8),0)</f>
        <v>0</v>
      </c>
      <c r="BG51" s="175">
        <f t="array" ref="BG51">IF(AND($L51&lt;&gt;"",BG$8&lt;&gt;""),COUNTIFS($I$9:$I$59,$L51,$J$9:$J$59,BG$8),0)</f>
        <v>0</v>
      </c>
      <c r="BH51" s="175">
        <f t="array" ref="BH51">IF(AND($L51&lt;&gt;"",BH$8&lt;&gt;""),COUNTIFS($I$9:$I$59,$L51,$J$9:$J$59,BH$8),0)</f>
        <v>0</v>
      </c>
      <c r="BI51" s="175">
        <f t="array" ref="BI51">IF(AND($L51&lt;&gt;"",BI$8&lt;&gt;""),COUNTIFS($I$9:$I$59,$L51,$J$9:$J$59,BI$8),0)</f>
        <v>0</v>
      </c>
      <c r="BJ51" s="175">
        <f t="array" ref="BJ51">IF(AND($L51&lt;&gt;"",BJ$8&lt;&gt;""),COUNTIFS($I$9:$I$59,$L51,$J$9:$J$59,BJ$8),0)</f>
        <v>0</v>
      </c>
    </row>
    <row r="52" spans="1:64" x14ac:dyDescent="0.2">
      <c r="A52" s="14"/>
      <c r="B52" s="108" t="s">
        <v>80</v>
      </c>
      <c r="C52" s="141"/>
      <c r="D52" s="104"/>
      <c r="E52" s="20"/>
      <c r="F52" s="105"/>
      <c r="G52" s="253"/>
      <c r="H52" s="109"/>
      <c r="I52" s="239" t="str">
        <f t="shared" si="1"/>
        <v/>
      </c>
      <c r="J52" s="168" t="str">
        <f t="shared" si="2"/>
        <v/>
      </c>
      <c r="L52" s="174" t="str">
        <f t="array" ref="L52">IFERROR(INDEX($I$9:$I$59,MATCH(0,COUNTIF($L$8:$L51,$I$9:$I$59),0)),"")</f>
        <v/>
      </c>
      <c r="M52" s="175">
        <f t="array" ref="M52">IF(AND($L52&lt;&gt;"",M$8&lt;&gt;""),COUNTIFS($I$9:$I$59,$L52,$J$9:$J$59,M$8),0)</f>
        <v>0</v>
      </c>
      <c r="N52" s="175">
        <f t="array" ref="N52">IF(AND($L52&lt;&gt;"",N$8&lt;&gt;""),COUNTIFS($I$9:$I$59,$L52,$J$9:$J$59,N$8),0)</f>
        <v>0</v>
      </c>
      <c r="O52" s="175">
        <f t="array" ref="O52">IF(AND($L52&lt;&gt;"",O$8&lt;&gt;""),COUNTIFS($I$9:$I$59,$L52,$J$9:$J$59,O$8),0)</f>
        <v>0</v>
      </c>
      <c r="P52" s="175">
        <f t="array" ref="P52">IF(AND($L52&lt;&gt;"",P$8&lt;&gt;""),COUNTIFS($I$9:$I$59,$L52,$J$9:$J$59,P$8),0)</f>
        <v>0</v>
      </c>
      <c r="Q52" s="175">
        <f t="array" ref="Q52">IF(AND($L52&lt;&gt;"",Q$8&lt;&gt;""),COUNTIFS($I$9:$I$59,$L52,$J$9:$J$59,Q$8),0)</f>
        <v>0</v>
      </c>
      <c r="R52" s="175">
        <f t="array" ref="R52">IF(AND($L52&lt;&gt;"",R$8&lt;&gt;""),COUNTIFS($I$9:$I$59,$L52,$J$9:$J$59,R$8),0)</f>
        <v>0</v>
      </c>
      <c r="S52" s="175">
        <f t="array" ref="S52">IF(AND($L52&lt;&gt;"",S$8&lt;&gt;""),COUNTIFS($I$9:$I$59,$L52,$J$9:$J$59,S$8),0)</f>
        <v>0</v>
      </c>
      <c r="T52" s="175">
        <f t="array" ref="T52">IF(AND($L52&lt;&gt;"",T$8&lt;&gt;""),COUNTIFS($I$9:$I$59,$L52,$J$9:$J$59,T$8),0)</f>
        <v>0</v>
      </c>
      <c r="U52" s="175">
        <f t="array" ref="U52">IF(AND($L52&lt;&gt;"",U$8&lt;&gt;""),COUNTIFS($I$9:$I$59,$L52,$J$9:$J$59,U$8),0)</f>
        <v>0</v>
      </c>
      <c r="V52" s="175">
        <f t="array" ref="V52">IF(AND($L52&lt;&gt;"",V$8&lt;&gt;""),COUNTIFS($I$9:$I$59,$L52,$J$9:$J$59,V$8),0)</f>
        <v>0</v>
      </c>
      <c r="W52" s="175">
        <f t="array" ref="W52">IF(AND($L52&lt;&gt;"",W$8&lt;&gt;""),COUNTIFS($I$9:$I$59,$L52,$J$9:$J$59,W$8),0)</f>
        <v>0</v>
      </c>
      <c r="X52" s="175">
        <f t="array" ref="X52">IF(AND($L52&lt;&gt;"",X$8&lt;&gt;""),COUNTIFS($I$9:$I$59,$L52,$J$9:$J$59,X$8),0)</f>
        <v>0</v>
      </c>
      <c r="Y52" s="175">
        <f t="array" ref="Y52">IF(AND($L52&lt;&gt;"",Y$8&lt;&gt;""),COUNTIFS($I$9:$I$59,$L52,$J$9:$J$59,Y$8),0)</f>
        <v>0</v>
      </c>
      <c r="Z52" s="175">
        <f t="array" ref="Z52">IF(AND($L52&lt;&gt;"",Z$8&lt;&gt;""),COUNTIFS($I$9:$I$59,$L52,$J$9:$J$59,Z$8),0)</f>
        <v>0</v>
      </c>
      <c r="AA52" s="175">
        <f t="array" ref="AA52">IF(AND($L52&lt;&gt;"",AA$8&lt;&gt;""),COUNTIFS($I$9:$I$59,$L52,$J$9:$J$59,AA$8),0)</f>
        <v>0</v>
      </c>
      <c r="AB52" s="175">
        <f t="array" ref="AB52">IF(AND($L52&lt;&gt;"",AB$8&lt;&gt;""),COUNTIFS($I$9:$I$59,$L52,$J$9:$J$59,AB$8),0)</f>
        <v>0</v>
      </c>
      <c r="AC52" s="175">
        <f t="array" ref="AC52">IF(AND($L52&lt;&gt;"",AC$8&lt;&gt;""),COUNTIFS($I$9:$I$59,$L52,$J$9:$J$59,AC$8),0)</f>
        <v>0</v>
      </c>
      <c r="AD52" s="175">
        <f t="array" ref="AD52">IF(AND($L52&lt;&gt;"",AD$8&lt;&gt;""),COUNTIFS($I$9:$I$59,$L52,$J$9:$J$59,AD$8),0)</f>
        <v>0</v>
      </c>
      <c r="AE52" s="175">
        <f t="array" ref="AE52">IF(AND($L52&lt;&gt;"",AE$8&lt;&gt;""),COUNTIFS($I$9:$I$59,$L52,$J$9:$J$59,AE$8),0)</f>
        <v>0</v>
      </c>
      <c r="AF52" s="175">
        <f t="array" ref="AF52">IF(AND($L52&lt;&gt;"",AF$8&lt;&gt;""),COUNTIFS($I$9:$I$59,$L52,$J$9:$J$59,AF$8),0)</f>
        <v>0</v>
      </c>
      <c r="AG52" s="175">
        <f t="array" ref="AG52">IF(AND($L52&lt;&gt;"",AG$8&lt;&gt;""),COUNTIFS($I$9:$I$59,$L52,$J$9:$J$59,AG$8),0)</f>
        <v>0</v>
      </c>
      <c r="AH52" s="175">
        <f t="array" ref="AH52">IF(AND($L52&lt;&gt;"",AH$8&lt;&gt;""),COUNTIFS($I$9:$I$59,$L52,$J$9:$J$59,AH$8),0)</f>
        <v>0</v>
      </c>
      <c r="AI52" s="175">
        <f t="array" ref="AI52">IF(AND($L52&lt;&gt;"",AI$8&lt;&gt;""),COUNTIFS($I$9:$I$59,$L52,$J$9:$J$59,AI$8),0)</f>
        <v>0</v>
      </c>
      <c r="AJ52" s="175">
        <f t="array" ref="AJ52">IF(AND($L52&lt;&gt;"",AJ$8&lt;&gt;""),COUNTIFS($I$9:$I$59,$L52,$J$9:$J$59,AJ$8),0)</f>
        <v>0</v>
      </c>
      <c r="AK52" s="175">
        <f t="array" ref="AK52">IF(AND($L52&lt;&gt;"",AK$8&lt;&gt;""),COUNTIFS($I$9:$I$59,$L52,$J$9:$J$59,AK$8),0)</f>
        <v>0</v>
      </c>
      <c r="AL52" s="175">
        <f t="array" ref="AL52">IF(AND($L52&lt;&gt;"",AL$8&lt;&gt;""),COUNTIFS($I$9:$I$59,$L52,$J$9:$J$59,AL$8),0)</f>
        <v>0</v>
      </c>
      <c r="AM52" s="175">
        <f t="array" ref="AM52">IF(AND($L52&lt;&gt;"",AM$8&lt;&gt;""),COUNTIFS($I$9:$I$59,$L52,$J$9:$J$59,AM$8),0)</f>
        <v>0</v>
      </c>
      <c r="AN52" s="175">
        <f t="array" ref="AN52">IF(AND($L52&lt;&gt;"",AN$8&lt;&gt;""),COUNTIFS($I$9:$I$59,$L52,$J$9:$J$59,AN$8),0)</f>
        <v>0</v>
      </c>
      <c r="AO52" s="175">
        <f t="array" ref="AO52">IF(AND($L52&lt;&gt;"",AO$8&lt;&gt;""),COUNTIFS($I$9:$I$59,$L52,$J$9:$J$59,AO$8),0)</f>
        <v>0</v>
      </c>
      <c r="AP52" s="175">
        <f t="array" ref="AP52">IF(AND($L52&lt;&gt;"",AP$8&lt;&gt;""),COUNTIFS($I$9:$I$59,$L52,$J$9:$J$59,AP$8),0)</f>
        <v>0</v>
      </c>
      <c r="AQ52" s="175">
        <f t="array" ref="AQ52">IF(AND($L52&lt;&gt;"",AQ$8&lt;&gt;""),COUNTIFS($I$9:$I$59,$L52,$J$9:$J$59,AQ$8),0)</f>
        <v>0</v>
      </c>
      <c r="AR52" s="175">
        <f t="array" ref="AR52">IF(AND($L52&lt;&gt;"",AR$8&lt;&gt;""),COUNTIFS($I$9:$I$59,$L52,$J$9:$J$59,AR$8),0)</f>
        <v>0</v>
      </c>
      <c r="AS52" s="175">
        <f t="array" ref="AS52">IF(AND($L52&lt;&gt;"",AS$8&lt;&gt;""),COUNTIFS($I$9:$I$59,$L52,$J$9:$J$59,AS$8),0)</f>
        <v>0</v>
      </c>
      <c r="AT52" s="175">
        <f t="array" ref="AT52">IF(AND($L52&lt;&gt;"",AT$8&lt;&gt;""),COUNTIFS($I$9:$I$59,$L52,$J$9:$J$59,AT$8),0)</f>
        <v>0</v>
      </c>
      <c r="AU52" s="175">
        <f t="array" ref="AU52">IF(AND($L52&lt;&gt;"",AU$8&lt;&gt;""),COUNTIFS($I$9:$I$59,$L52,$J$9:$J$59,AU$8),0)</f>
        <v>0</v>
      </c>
      <c r="AV52" s="175">
        <f t="array" ref="AV52">IF(AND($L52&lt;&gt;"",AV$8&lt;&gt;""),COUNTIFS($I$9:$I$59,$L52,$J$9:$J$59,AV$8),0)</f>
        <v>0</v>
      </c>
      <c r="AW52" s="175">
        <f t="array" ref="AW52">IF(AND($L52&lt;&gt;"",AW$8&lt;&gt;""),COUNTIFS($I$9:$I$59,$L52,$J$9:$J$59,AW$8),0)</f>
        <v>0</v>
      </c>
      <c r="AX52" s="175">
        <f t="array" ref="AX52">IF(AND($L52&lt;&gt;"",AX$8&lt;&gt;""),COUNTIFS($I$9:$I$59,$L52,$J$9:$J$59,AX$8),0)</f>
        <v>0</v>
      </c>
      <c r="AY52" s="175">
        <f t="array" ref="AY52">IF(AND($L52&lt;&gt;"",AY$8&lt;&gt;""),COUNTIFS($I$9:$I$59,$L52,$J$9:$J$59,AY$8),0)</f>
        <v>0</v>
      </c>
      <c r="AZ52" s="175">
        <f t="array" ref="AZ52">IF(AND($L52&lt;&gt;"",AZ$8&lt;&gt;""),COUNTIFS($I$9:$I$59,$L52,$J$9:$J$59,AZ$8),0)</f>
        <v>0</v>
      </c>
      <c r="BA52" s="175">
        <f t="array" ref="BA52">IF(AND($L52&lt;&gt;"",BA$8&lt;&gt;""),COUNTIFS($I$9:$I$59,$L52,$J$9:$J$59,BA$8),0)</f>
        <v>0</v>
      </c>
      <c r="BB52" s="175">
        <f t="array" ref="BB52">IF(AND($L52&lt;&gt;"",BB$8&lt;&gt;""),COUNTIFS($I$9:$I$59,$L52,$J$9:$J$59,BB$8),0)</f>
        <v>0</v>
      </c>
      <c r="BC52" s="175">
        <f t="array" ref="BC52">IF(AND($L52&lt;&gt;"",BC$8&lt;&gt;""),COUNTIFS($I$9:$I$59,$L52,$J$9:$J$59,BC$8),0)</f>
        <v>0</v>
      </c>
      <c r="BD52" s="175">
        <f t="array" ref="BD52">IF(AND($L52&lt;&gt;"",BD$8&lt;&gt;""),COUNTIFS($I$9:$I$59,$L52,$J$9:$J$59,BD$8),0)</f>
        <v>0</v>
      </c>
      <c r="BE52" s="175">
        <f t="array" ref="BE52">IF(AND($L52&lt;&gt;"",BE$8&lt;&gt;""),COUNTIFS($I$9:$I$59,$L52,$J$9:$J$59,BE$8),0)</f>
        <v>0</v>
      </c>
      <c r="BF52" s="175">
        <f t="array" ref="BF52">IF(AND($L52&lt;&gt;"",BF$8&lt;&gt;""),COUNTIFS($I$9:$I$59,$L52,$J$9:$J$59,BF$8),0)</f>
        <v>0</v>
      </c>
      <c r="BG52" s="175">
        <f t="array" ref="BG52">IF(AND($L52&lt;&gt;"",BG$8&lt;&gt;""),COUNTIFS($I$9:$I$59,$L52,$J$9:$J$59,BG$8),0)</f>
        <v>0</v>
      </c>
      <c r="BH52" s="175">
        <f t="array" ref="BH52">IF(AND($L52&lt;&gt;"",BH$8&lt;&gt;""),COUNTIFS($I$9:$I$59,$L52,$J$9:$J$59,BH$8),0)</f>
        <v>0</v>
      </c>
      <c r="BI52" s="175">
        <f t="array" ref="BI52">IF(AND($L52&lt;&gt;"",BI$8&lt;&gt;""),COUNTIFS($I$9:$I$59,$L52,$J$9:$J$59,BI$8),0)</f>
        <v>0</v>
      </c>
      <c r="BJ52" s="175">
        <f t="array" ref="BJ52">IF(AND($L52&lt;&gt;"",BJ$8&lt;&gt;""),COUNTIFS($I$9:$I$59,$L52,$J$9:$J$59,BJ$8),0)</f>
        <v>0</v>
      </c>
    </row>
    <row r="53" spans="1:64" x14ac:dyDescent="0.2">
      <c r="A53" s="14"/>
      <c r="B53" s="108" t="s">
        <v>81</v>
      </c>
      <c r="C53" s="141"/>
      <c r="D53" s="104"/>
      <c r="E53" s="20"/>
      <c r="F53" s="105"/>
      <c r="G53" s="253"/>
      <c r="H53" s="109"/>
      <c r="I53" s="239" t="str">
        <f t="shared" si="1"/>
        <v/>
      </c>
      <c r="J53" s="168" t="str">
        <f t="shared" si="2"/>
        <v/>
      </c>
      <c r="L53" s="174" t="str">
        <f t="array" ref="L53">IFERROR(INDEX($I$9:$I$59,MATCH(0,COUNTIF($L$8:$L52,$I$9:$I$59),0)),"")</f>
        <v/>
      </c>
      <c r="M53" s="175">
        <f t="array" ref="M53">IF(AND($L53&lt;&gt;"",M$8&lt;&gt;""),COUNTIFS($I$9:$I$59,$L53,$J$9:$J$59,M$8),0)</f>
        <v>0</v>
      </c>
      <c r="N53" s="175">
        <f t="array" ref="N53">IF(AND($L53&lt;&gt;"",N$8&lt;&gt;""),COUNTIFS($I$9:$I$59,$L53,$J$9:$J$59,N$8),0)</f>
        <v>0</v>
      </c>
      <c r="O53" s="175">
        <f t="array" ref="O53">IF(AND($L53&lt;&gt;"",O$8&lt;&gt;""),COUNTIFS($I$9:$I$59,$L53,$J$9:$J$59,O$8),0)</f>
        <v>0</v>
      </c>
      <c r="P53" s="175">
        <f t="array" ref="P53">IF(AND($L53&lt;&gt;"",P$8&lt;&gt;""),COUNTIFS($I$9:$I$59,$L53,$J$9:$J$59,P$8),0)</f>
        <v>0</v>
      </c>
      <c r="Q53" s="175">
        <f t="array" ref="Q53">IF(AND($L53&lt;&gt;"",Q$8&lt;&gt;""),COUNTIFS($I$9:$I$59,$L53,$J$9:$J$59,Q$8),0)</f>
        <v>0</v>
      </c>
      <c r="R53" s="175">
        <f t="array" ref="R53">IF(AND($L53&lt;&gt;"",R$8&lt;&gt;""),COUNTIFS($I$9:$I$59,$L53,$J$9:$J$59,R$8),0)</f>
        <v>0</v>
      </c>
      <c r="S53" s="175">
        <f t="array" ref="S53">IF(AND($L53&lt;&gt;"",S$8&lt;&gt;""),COUNTIFS($I$9:$I$59,$L53,$J$9:$J$59,S$8),0)</f>
        <v>0</v>
      </c>
      <c r="T53" s="175">
        <f t="array" ref="T53">IF(AND($L53&lt;&gt;"",T$8&lt;&gt;""),COUNTIFS($I$9:$I$59,$L53,$J$9:$J$59,T$8),0)</f>
        <v>0</v>
      </c>
      <c r="U53" s="175">
        <f t="array" ref="U53">IF(AND($L53&lt;&gt;"",U$8&lt;&gt;""),COUNTIFS($I$9:$I$59,$L53,$J$9:$J$59,U$8),0)</f>
        <v>0</v>
      </c>
      <c r="V53" s="175">
        <f t="array" ref="V53">IF(AND($L53&lt;&gt;"",V$8&lt;&gt;""),COUNTIFS($I$9:$I$59,$L53,$J$9:$J$59,V$8),0)</f>
        <v>0</v>
      </c>
      <c r="W53" s="175">
        <f t="array" ref="W53">IF(AND($L53&lt;&gt;"",W$8&lt;&gt;""),COUNTIFS($I$9:$I$59,$L53,$J$9:$J$59,W$8),0)</f>
        <v>0</v>
      </c>
      <c r="X53" s="175">
        <f t="array" ref="X53">IF(AND($L53&lt;&gt;"",X$8&lt;&gt;""),COUNTIFS($I$9:$I$59,$L53,$J$9:$J$59,X$8),0)</f>
        <v>0</v>
      </c>
      <c r="Y53" s="175">
        <f t="array" ref="Y53">IF(AND($L53&lt;&gt;"",Y$8&lt;&gt;""),COUNTIFS($I$9:$I$59,$L53,$J$9:$J$59,Y$8),0)</f>
        <v>0</v>
      </c>
      <c r="Z53" s="175">
        <f t="array" ref="Z53">IF(AND($L53&lt;&gt;"",Z$8&lt;&gt;""),COUNTIFS($I$9:$I$59,$L53,$J$9:$J$59,Z$8),0)</f>
        <v>0</v>
      </c>
      <c r="AA53" s="175">
        <f t="array" ref="AA53">IF(AND($L53&lt;&gt;"",AA$8&lt;&gt;""),COUNTIFS($I$9:$I$59,$L53,$J$9:$J$59,AA$8),0)</f>
        <v>0</v>
      </c>
      <c r="AB53" s="175">
        <f t="array" ref="AB53">IF(AND($L53&lt;&gt;"",AB$8&lt;&gt;""),COUNTIFS($I$9:$I$59,$L53,$J$9:$J$59,AB$8),0)</f>
        <v>0</v>
      </c>
      <c r="AC53" s="175">
        <f t="array" ref="AC53">IF(AND($L53&lt;&gt;"",AC$8&lt;&gt;""),COUNTIFS($I$9:$I$59,$L53,$J$9:$J$59,AC$8),0)</f>
        <v>0</v>
      </c>
      <c r="AD53" s="175">
        <f t="array" ref="AD53">IF(AND($L53&lt;&gt;"",AD$8&lt;&gt;""),COUNTIFS($I$9:$I$59,$L53,$J$9:$J$59,AD$8),0)</f>
        <v>0</v>
      </c>
      <c r="AE53" s="175">
        <f t="array" ref="AE53">IF(AND($L53&lt;&gt;"",AE$8&lt;&gt;""),COUNTIFS($I$9:$I$59,$L53,$J$9:$J$59,AE$8),0)</f>
        <v>0</v>
      </c>
      <c r="AF53" s="175">
        <f t="array" ref="AF53">IF(AND($L53&lt;&gt;"",AF$8&lt;&gt;""),COUNTIFS($I$9:$I$59,$L53,$J$9:$J$59,AF$8),0)</f>
        <v>0</v>
      </c>
      <c r="AG53" s="175">
        <f t="array" ref="AG53">IF(AND($L53&lt;&gt;"",AG$8&lt;&gt;""),COUNTIFS($I$9:$I$59,$L53,$J$9:$J$59,AG$8),0)</f>
        <v>0</v>
      </c>
      <c r="AH53" s="175">
        <f t="array" ref="AH53">IF(AND($L53&lt;&gt;"",AH$8&lt;&gt;""),COUNTIFS($I$9:$I$59,$L53,$J$9:$J$59,AH$8),0)</f>
        <v>0</v>
      </c>
      <c r="AI53" s="175">
        <f t="array" ref="AI53">IF(AND($L53&lt;&gt;"",AI$8&lt;&gt;""),COUNTIFS($I$9:$I$59,$L53,$J$9:$J$59,AI$8),0)</f>
        <v>0</v>
      </c>
      <c r="AJ53" s="175">
        <f t="array" ref="AJ53">IF(AND($L53&lt;&gt;"",AJ$8&lt;&gt;""),COUNTIFS($I$9:$I$59,$L53,$J$9:$J$59,AJ$8),0)</f>
        <v>0</v>
      </c>
      <c r="AK53" s="175">
        <f t="array" ref="AK53">IF(AND($L53&lt;&gt;"",AK$8&lt;&gt;""),COUNTIFS($I$9:$I$59,$L53,$J$9:$J$59,AK$8),0)</f>
        <v>0</v>
      </c>
      <c r="AL53" s="175">
        <f t="array" ref="AL53">IF(AND($L53&lt;&gt;"",AL$8&lt;&gt;""),COUNTIFS($I$9:$I$59,$L53,$J$9:$J$59,AL$8),0)</f>
        <v>0</v>
      </c>
      <c r="AM53" s="175">
        <f t="array" ref="AM53">IF(AND($L53&lt;&gt;"",AM$8&lt;&gt;""),COUNTIFS($I$9:$I$59,$L53,$J$9:$J$59,AM$8),0)</f>
        <v>0</v>
      </c>
      <c r="AN53" s="175">
        <f t="array" ref="AN53">IF(AND($L53&lt;&gt;"",AN$8&lt;&gt;""),COUNTIFS($I$9:$I$59,$L53,$J$9:$J$59,AN$8),0)</f>
        <v>0</v>
      </c>
      <c r="AO53" s="175">
        <f t="array" ref="AO53">IF(AND($L53&lt;&gt;"",AO$8&lt;&gt;""),COUNTIFS($I$9:$I$59,$L53,$J$9:$J$59,AO$8),0)</f>
        <v>0</v>
      </c>
      <c r="AP53" s="175">
        <f t="array" ref="AP53">IF(AND($L53&lt;&gt;"",AP$8&lt;&gt;""),COUNTIFS($I$9:$I$59,$L53,$J$9:$J$59,AP$8),0)</f>
        <v>0</v>
      </c>
      <c r="AQ53" s="175">
        <f t="array" ref="AQ53">IF(AND($L53&lt;&gt;"",AQ$8&lt;&gt;""),COUNTIFS($I$9:$I$59,$L53,$J$9:$J$59,AQ$8),0)</f>
        <v>0</v>
      </c>
      <c r="AR53" s="175">
        <f t="array" ref="AR53">IF(AND($L53&lt;&gt;"",AR$8&lt;&gt;""),COUNTIFS($I$9:$I$59,$L53,$J$9:$J$59,AR$8),0)</f>
        <v>0</v>
      </c>
      <c r="AS53" s="175">
        <f t="array" ref="AS53">IF(AND($L53&lt;&gt;"",AS$8&lt;&gt;""),COUNTIFS($I$9:$I$59,$L53,$J$9:$J$59,AS$8),0)</f>
        <v>0</v>
      </c>
      <c r="AT53" s="175">
        <f t="array" ref="AT53">IF(AND($L53&lt;&gt;"",AT$8&lt;&gt;""),COUNTIFS($I$9:$I$59,$L53,$J$9:$J$59,AT$8),0)</f>
        <v>0</v>
      </c>
      <c r="AU53" s="175">
        <f t="array" ref="AU53">IF(AND($L53&lt;&gt;"",AU$8&lt;&gt;""),COUNTIFS($I$9:$I$59,$L53,$J$9:$J$59,AU$8),0)</f>
        <v>0</v>
      </c>
      <c r="AV53" s="175">
        <f t="array" ref="AV53">IF(AND($L53&lt;&gt;"",AV$8&lt;&gt;""),COUNTIFS($I$9:$I$59,$L53,$J$9:$J$59,AV$8),0)</f>
        <v>0</v>
      </c>
      <c r="AW53" s="175">
        <f t="array" ref="AW53">IF(AND($L53&lt;&gt;"",AW$8&lt;&gt;""),COUNTIFS($I$9:$I$59,$L53,$J$9:$J$59,AW$8),0)</f>
        <v>0</v>
      </c>
      <c r="AX53" s="175">
        <f t="array" ref="AX53">IF(AND($L53&lt;&gt;"",AX$8&lt;&gt;""),COUNTIFS($I$9:$I$59,$L53,$J$9:$J$59,AX$8),0)</f>
        <v>0</v>
      </c>
      <c r="AY53" s="175">
        <f t="array" ref="AY53">IF(AND($L53&lt;&gt;"",AY$8&lt;&gt;""),COUNTIFS($I$9:$I$59,$L53,$J$9:$J$59,AY$8),0)</f>
        <v>0</v>
      </c>
      <c r="AZ53" s="175">
        <f t="array" ref="AZ53">IF(AND($L53&lt;&gt;"",AZ$8&lt;&gt;""),COUNTIFS($I$9:$I$59,$L53,$J$9:$J$59,AZ$8),0)</f>
        <v>0</v>
      </c>
      <c r="BA53" s="175">
        <f t="array" ref="BA53">IF(AND($L53&lt;&gt;"",BA$8&lt;&gt;""),COUNTIFS($I$9:$I$59,$L53,$J$9:$J$59,BA$8),0)</f>
        <v>0</v>
      </c>
      <c r="BB53" s="175">
        <f t="array" ref="BB53">IF(AND($L53&lt;&gt;"",BB$8&lt;&gt;""),COUNTIFS($I$9:$I$59,$L53,$J$9:$J$59,BB$8),0)</f>
        <v>0</v>
      </c>
      <c r="BC53" s="175">
        <f t="array" ref="BC53">IF(AND($L53&lt;&gt;"",BC$8&lt;&gt;""),COUNTIFS($I$9:$I$59,$L53,$J$9:$J$59,BC$8),0)</f>
        <v>0</v>
      </c>
      <c r="BD53" s="175">
        <f t="array" ref="BD53">IF(AND($L53&lt;&gt;"",BD$8&lt;&gt;""),COUNTIFS($I$9:$I$59,$L53,$J$9:$J$59,BD$8),0)</f>
        <v>0</v>
      </c>
      <c r="BE53" s="175">
        <f t="array" ref="BE53">IF(AND($L53&lt;&gt;"",BE$8&lt;&gt;""),COUNTIFS($I$9:$I$59,$L53,$J$9:$J$59,BE$8),0)</f>
        <v>0</v>
      </c>
      <c r="BF53" s="175">
        <f t="array" ref="BF53">IF(AND($L53&lt;&gt;"",BF$8&lt;&gt;""),COUNTIFS($I$9:$I$59,$L53,$J$9:$J$59,BF$8),0)</f>
        <v>0</v>
      </c>
      <c r="BG53" s="175">
        <f t="array" ref="BG53">IF(AND($L53&lt;&gt;"",BG$8&lt;&gt;""),COUNTIFS($I$9:$I$59,$L53,$J$9:$J$59,BG$8),0)</f>
        <v>0</v>
      </c>
      <c r="BH53" s="175">
        <f t="array" ref="BH53">IF(AND($L53&lt;&gt;"",BH$8&lt;&gt;""),COUNTIFS($I$9:$I$59,$L53,$J$9:$J$59,BH$8),0)</f>
        <v>0</v>
      </c>
      <c r="BI53" s="175">
        <f t="array" ref="BI53">IF(AND($L53&lt;&gt;"",BI$8&lt;&gt;""),COUNTIFS($I$9:$I$59,$L53,$J$9:$J$59,BI$8),0)</f>
        <v>0</v>
      </c>
      <c r="BJ53" s="175">
        <f t="array" ref="BJ53">IF(AND($L53&lt;&gt;"",BJ$8&lt;&gt;""),COUNTIFS($I$9:$I$59,$L53,$J$9:$J$59,BJ$8),0)</f>
        <v>0</v>
      </c>
    </row>
    <row r="54" spans="1:64" ht="12.75" customHeight="1" x14ac:dyDescent="0.2">
      <c r="A54" s="14"/>
      <c r="B54" s="108" t="s">
        <v>82</v>
      </c>
      <c r="C54" s="148"/>
      <c r="D54" s="110"/>
      <c r="E54" s="110"/>
      <c r="F54" s="110"/>
      <c r="G54" s="110"/>
      <c r="H54" s="111"/>
      <c r="I54" s="239" t="str">
        <f t="shared" si="1"/>
        <v/>
      </c>
      <c r="J54" s="168" t="str">
        <f t="shared" si="2"/>
        <v/>
      </c>
      <c r="L54" s="174" t="str">
        <f t="array" ref="L54">IFERROR(INDEX($I$9:$I$59,MATCH(0,COUNTIF($L$8:$L53,$I$9:$I$59),0)),"")</f>
        <v/>
      </c>
      <c r="M54" s="175">
        <f t="array" ref="M54">IF(AND($L54&lt;&gt;"",M$8&lt;&gt;""),COUNTIFS($I$9:$I$59,$L54,$J$9:$J$59,M$8),0)</f>
        <v>0</v>
      </c>
      <c r="N54" s="175">
        <f t="array" ref="N54">IF(AND($L54&lt;&gt;"",N$8&lt;&gt;""),COUNTIFS($I$9:$I$59,$L54,$J$9:$J$59,N$8),0)</f>
        <v>0</v>
      </c>
      <c r="O54" s="175">
        <f t="array" ref="O54">IF(AND($L54&lt;&gt;"",O$8&lt;&gt;""),COUNTIFS($I$9:$I$59,$L54,$J$9:$J$59,O$8),0)</f>
        <v>0</v>
      </c>
      <c r="P54" s="175">
        <f t="array" ref="P54">IF(AND($L54&lt;&gt;"",P$8&lt;&gt;""),COUNTIFS($I$9:$I$59,$L54,$J$9:$J$59,P$8),0)</f>
        <v>0</v>
      </c>
      <c r="Q54" s="175">
        <f t="array" ref="Q54">IF(AND($L54&lt;&gt;"",Q$8&lt;&gt;""),COUNTIFS($I$9:$I$59,$L54,$J$9:$J$59,Q$8),0)</f>
        <v>0</v>
      </c>
      <c r="R54" s="175">
        <f t="array" ref="R54">IF(AND($L54&lt;&gt;"",R$8&lt;&gt;""),COUNTIFS($I$9:$I$59,$L54,$J$9:$J$59,R$8),0)</f>
        <v>0</v>
      </c>
      <c r="S54" s="175">
        <f t="array" ref="S54">IF(AND($L54&lt;&gt;"",S$8&lt;&gt;""),COUNTIFS($I$9:$I$59,$L54,$J$9:$J$59,S$8),0)</f>
        <v>0</v>
      </c>
      <c r="T54" s="175">
        <f t="array" ref="T54">IF(AND($L54&lt;&gt;"",T$8&lt;&gt;""),COUNTIFS($I$9:$I$59,$L54,$J$9:$J$59,T$8),0)</f>
        <v>0</v>
      </c>
      <c r="U54" s="175">
        <f t="array" ref="U54">IF(AND($L54&lt;&gt;"",U$8&lt;&gt;""),COUNTIFS($I$9:$I$59,$L54,$J$9:$J$59,U$8),0)</f>
        <v>0</v>
      </c>
      <c r="V54" s="175">
        <f t="array" ref="V54">IF(AND($L54&lt;&gt;"",V$8&lt;&gt;""),COUNTIFS($I$9:$I$59,$L54,$J$9:$J$59,V$8),0)</f>
        <v>0</v>
      </c>
      <c r="W54" s="175">
        <f t="array" ref="W54">IF(AND($L54&lt;&gt;"",W$8&lt;&gt;""),COUNTIFS($I$9:$I$59,$L54,$J$9:$J$59,W$8),0)</f>
        <v>0</v>
      </c>
      <c r="X54" s="175">
        <f t="array" ref="X54">IF(AND($L54&lt;&gt;"",X$8&lt;&gt;""),COUNTIFS($I$9:$I$59,$L54,$J$9:$J$59,X$8),0)</f>
        <v>0</v>
      </c>
      <c r="Y54" s="175">
        <f t="array" ref="Y54">IF(AND($L54&lt;&gt;"",Y$8&lt;&gt;""),COUNTIFS($I$9:$I$59,$L54,$J$9:$J$59,Y$8),0)</f>
        <v>0</v>
      </c>
      <c r="Z54" s="175">
        <f t="array" ref="Z54">IF(AND($L54&lt;&gt;"",Z$8&lt;&gt;""),COUNTIFS($I$9:$I$59,$L54,$J$9:$J$59,Z$8),0)</f>
        <v>0</v>
      </c>
      <c r="AA54" s="175">
        <f t="array" ref="AA54">IF(AND($L54&lt;&gt;"",AA$8&lt;&gt;""),COUNTIFS($I$9:$I$59,$L54,$J$9:$J$59,AA$8),0)</f>
        <v>0</v>
      </c>
      <c r="AB54" s="175">
        <f t="array" ref="AB54">IF(AND($L54&lt;&gt;"",AB$8&lt;&gt;""),COUNTIFS($I$9:$I$59,$L54,$J$9:$J$59,AB$8),0)</f>
        <v>0</v>
      </c>
      <c r="AC54" s="175">
        <f t="array" ref="AC54">IF(AND($L54&lt;&gt;"",AC$8&lt;&gt;""),COUNTIFS($I$9:$I$59,$L54,$J$9:$J$59,AC$8),0)</f>
        <v>0</v>
      </c>
      <c r="AD54" s="175">
        <f t="array" ref="AD54">IF(AND($L54&lt;&gt;"",AD$8&lt;&gt;""),COUNTIFS($I$9:$I$59,$L54,$J$9:$J$59,AD$8),0)</f>
        <v>0</v>
      </c>
      <c r="AE54" s="175">
        <f t="array" ref="AE54">IF(AND($L54&lt;&gt;"",AE$8&lt;&gt;""),COUNTIFS($I$9:$I$59,$L54,$J$9:$J$59,AE$8),0)</f>
        <v>0</v>
      </c>
      <c r="AF54" s="175">
        <f t="array" ref="AF54">IF(AND($L54&lt;&gt;"",AF$8&lt;&gt;""),COUNTIFS($I$9:$I$59,$L54,$J$9:$J$59,AF$8),0)</f>
        <v>0</v>
      </c>
      <c r="AG54" s="175">
        <f t="array" ref="AG54">IF(AND($L54&lt;&gt;"",AG$8&lt;&gt;""),COUNTIFS($I$9:$I$59,$L54,$J$9:$J$59,AG$8),0)</f>
        <v>0</v>
      </c>
      <c r="AH54" s="175">
        <f t="array" ref="AH54">IF(AND($L54&lt;&gt;"",AH$8&lt;&gt;""),COUNTIFS($I$9:$I$59,$L54,$J$9:$J$59,AH$8),0)</f>
        <v>0</v>
      </c>
      <c r="AI54" s="175">
        <f t="array" ref="AI54">IF(AND($L54&lt;&gt;"",AI$8&lt;&gt;""),COUNTIFS($I$9:$I$59,$L54,$J$9:$J$59,AI$8),0)</f>
        <v>0</v>
      </c>
      <c r="AJ54" s="175">
        <f t="array" ref="AJ54">IF(AND($L54&lt;&gt;"",AJ$8&lt;&gt;""),COUNTIFS($I$9:$I$59,$L54,$J$9:$J$59,AJ$8),0)</f>
        <v>0</v>
      </c>
      <c r="AK54" s="175">
        <f t="array" ref="AK54">IF(AND($L54&lt;&gt;"",AK$8&lt;&gt;""),COUNTIFS($I$9:$I$59,$L54,$J$9:$J$59,AK$8),0)</f>
        <v>0</v>
      </c>
      <c r="AL54" s="175">
        <f t="array" ref="AL54">IF(AND($L54&lt;&gt;"",AL$8&lt;&gt;""),COUNTIFS($I$9:$I$59,$L54,$J$9:$J$59,AL$8),0)</f>
        <v>0</v>
      </c>
      <c r="AM54" s="175">
        <f t="array" ref="AM54">IF(AND($L54&lt;&gt;"",AM$8&lt;&gt;""),COUNTIFS($I$9:$I$59,$L54,$J$9:$J$59,AM$8),0)</f>
        <v>0</v>
      </c>
      <c r="AN54" s="175">
        <f t="array" ref="AN54">IF(AND($L54&lt;&gt;"",AN$8&lt;&gt;""),COUNTIFS($I$9:$I$59,$L54,$J$9:$J$59,AN$8),0)</f>
        <v>0</v>
      </c>
      <c r="AO54" s="175">
        <f t="array" ref="AO54">IF(AND($L54&lt;&gt;"",AO$8&lt;&gt;""),COUNTIFS($I$9:$I$59,$L54,$J$9:$J$59,AO$8),0)</f>
        <v>0</v>
      </c>
      <c r="AP54" s="175">
        <f t="array" ref="AP54">IF(AND($L54&lt;&gt;"",AP$8&lt;&gt;""),COUNTIFS($I$9:$I$59,$L54,$J$9:$J$59,AP$8),0)</f>
        <v>0</v>
      </c>
      <c r="AQ54" s="175">
        <f t="array" ref="AQ54">IF(AND($L54&lt;&gt;"",AQ$8&lt;&gt;""),COUNTIFS($I$9:$I$59,$L54,$J$9:$J$59,AQ$8),0)</f>
        <v>0</v>
      </c>
      <c r="AR54" s="175">
        <f t="array" ref="AR54">IF(AND($L54&lt;&gt;"",AR$8&lt;&gt;""),COUNTIFS($I$9:$I$59,$L54,$J$9:$J$59,AR$8),0)</f>
        <v>0</v>
      </c>
      <c r="AS54" s="175">
        <f t="array" ref="AS54">IF(AND($L54&lt;&gt;"",AS$8&lt;&gt;""),COUNTIFS($I$9:$I$59,$L54,$J$9:$J$59,AS$8),0)</f>
        <v>0</v>
      </c>
      <c r="AT54" s="175">
        <f t="array" ref="AT54">IF(AND($L54&lt;&gt;"",AT$8&lt;&gt;""),COUNTIFS($I$9:$I$59,$L54,$J$9:$J$59,AT$8),0)</f>
        <v>0</v>
      </c>
      <c r="AU54" s="175">
        <f t="array" ref="AU54">IF(AND($L54&lt;&gt;"",AU$8&lt;&gt;""),COUNTIFS($I$9:$I$59,$L54,$J$9:$J$59,AU$8),0)</f>
        <v>0</v>
      </c>
      <c r="AV54" s="175">
        <f t="array" ref="AV54">IF(AND($L54&lt;&gt;"",AV$8&lt;&gt;""),COUNTIFS($I$9:$I$59,$L54,$J$9:$J$59,AV$8),0)</f>
        <v>0</v>
      </c>
      <c r="AW54" s="175">
        <f t="array" ref="AW54">IF(AND($L54&lt;&gt;"",AW$8&lt;&gt;""),COUNTIFS($I$9:$I$59,$L54,$J$9:$J$59,AW$8),0)</f>
        <v>0</v>
      </c>
      <c r="AX54" s="175">
        <f t="array" ref="AX54">IF(AND($L54&lt;&gt;"",AX$8&lt;&gt;""),COUNTIFS($I$9:$I$59,$L54,$J$9:$J$59,AX$8),0)</f>
        <v>0</v>
      </c>
      <c r="AY54" s="175">
        <f t="array" ref="AY54">IF(AND($L54&lt;&gt;"",AY$8&lt;&gt;""),COUNTIFS($I$9:$I$59,$L54,$J$9:$J$59,AY$8),0)</f>
        <v>0</v>
      </c>
      <c r="AZ54" s="175">
        <f t="array" ref="AZ54">IF(AND($L54&lt;&gt;"",AZ$8&lt;&gt;""),COUNTIFS($I$9:$I$59,$L54,$J$9:$J$59,AZ$8),0)</f>
        <v>0</v>
      </c>
      <c r="BA54" s="175">
        <f t="array" ref="BA54">IF(AND($L54&lt;&gt;"",BA$8&lt;&gt;""),COUNTIFS($I$9:$I$59,$L54,$J$9:$J$59,BA$8),0)</f>
        <v>0</v>
      </c>
      <c r="BB54" s="175">
        <f t="array" ref="BB54">IF(AND($L54&lt;&gt;"",BB$8&lt;&gt;""),COUNTIFS($I$9:$I$59,$L54,$J$9:$J$59,BB$8),0)</f>
        <v>0</v>
      </c>
      <c r="BC54" s="175">
        <f t="array" ref="BC54">IF(AND($L54&lt;&gt;"",BC$8&lt;&gt;""),COUNTIFS($I$9:$I$59,$L54,$J$9:$J$59,BC$8),0)</f>
        <v>0</v>
      </c>
      <c r="BD54" s="175">
        <f t="array" ref="BD54">IF(AND($L54&lt;&gt;"",BD$8&lt;&gt;""),COUNTIFS($I$9:$I$59,$L54,$J$9:$J$59,BD$8),0)</f>
        <v>0</v>
      </c>
      <c r="BE54" s="175">
        <f t="array" ref="BE54">IF(AND($L54&lt;&gt;"",BE$8&lt;&gt;""),COUNTIFS($I$9:$I$59,$L54,$J$9:$J$59,BE$8),0)</f>
        <v>0</v>
      </c>
      <c r="BF54" s="175">
        <f t="array" ref="BF54">IF(AND($L54&lt;&gt;"",BF$8&lt;&gt;""),COUNTIFS($I$9:$I$59,$L54,$J$9:$J$59,BF$8),0)</f>
        <v>0</v>
      </c>
      <c r="BG54" s="175">
        <f t="array" ref="BG54">IF(AND($L54&lt;&gt;"",BG$8&lt;&gt;""),COUNTIFS($I$9:$I$59,$L54,$J$9:$J$59,BG$8),0)</f>
        <v>0</v>
      </c>
      <c r="BH54" s="175">
        <f t="array" ref="BH54">IF(AND($L54&lt;&gt;"",BH$8&lt;&gt;""),COUNTIFS($I$9:$I$59,$L54,$J$9:$J$59,BH$8),0)</f>
        <v>0</v>
      </c>
      <c r="BI54" s="175">
        <f t="array" ref="BI54">IF(AND($L54&lt;&gt;"",BI$8&lt;&gt;""),COUNTIFS($I$9:$I$59,$L54,$J$9:$J$59,BI$8),0)</f>
        <v>0</v>
      </c>
      <c r="BJ54" s="175">
        <f t="array" ref="BJ54">IF(AND($L54&lt;&gt;"",BJ$8&lt;&gt;""),COUNTIFS($I$9:$I$59,$L54,$J$9:$J$59,BJ$8),0)</f>
        <v>0</v>
      </c>
    </row>
    <row r="55" spans="1:64" ht="12.75" customHeight="1" x14ac:dyDescent="0.2">
      <c r="A55" s="14"/>
      <c r="B55" s="108" t="s">
        <v>83</v>
      </c>
      <c r="C55" s="148"/>
      <c r="D55" s="110"/>
      <c r="E55" s="110"/>
      <c r="F55" s="110"/>
      <c r="G55" s="110"/>
      <c r="H55" s="111"/>
      <c r="I55" s="239" t="str">
        <f t="shared" si="1"/>
        <v/>
      </c>
      <c r="J55" s="168" t="str">
        <f t="shared" si="2"/>
        <v/>
      </c>
      <c r="L55" s="174" t="str">
        <f t="array" ref="L55">IFERROR(INDEX($I$9:$I$59,MATCH(0,COUNTIF($L$8:$L54,$I$9:$I$59),0)),"")</f>
        <v/>
      </c>
      <c r="M55" s="175">
        <f t="array" ref="M55">IF(AND($L55&lt;&gt;"",M$8&lt;&gt;""),COUNTIFS($I$9:$I$59,$L55,$J$9:$J$59,M$8),0)</f>
        <v>0</v>
      </c>
      <c r="N55" s="175">
        <f t="array" ref="N55">IF(AND($L55&lt;&gt;"",N$8&lt;&gt;""),COUNTIFS($I$9:$I$59,$L55,$J$9:$J$59,N$8),0)</f>
        <v>0</v>
      </c>
      <c r="O55" s="175">
        <f t="array" ref="O55">IF(AND($L55&lt;&gt;"",O$8&lt;&gt;""),COUNTIFS($I$9:$I$59,$L55,$J$9:$J$59,O$8),0)</f>
        <v>0</v>
      </c>
      <c r="P55" s="175">
        <f t="array" ref="P55">IF(AND($L55&lt;&gt;"",P$8&lt;&gt;""),COUNTIFS($I$9:$I$59,$L55,$J$9:$J$59,P$8),0)</f>
        <v>0</v>
      </c>
      <c r="Q55" s="175">
        <f t="array" ref="Q55">IF(AND($L55&lt;&gt;"",Q$8&lt;&gt;""),COUNTIFS($I$9:$I$59,$L55,$J$9:$J$59,Q$8),0)</f>
        <v>0</v>
      </c>
      <c r="R55" s="175">
        <f t="array" ref="R55">IF(AND($L55&lt;&gt;"",R$8&lt;&gt;""),COUNTIFS($I$9:$I$59,$L55,$J$9:$J$59,R$8),0)</f>
        <v>0</v>
      </c>
      <c r="S55" s="175">
        <f t="array" ref="S55">IF(AND($L55&lt;&gt;"",S$8&lt;&gt;""),COUNTIFS($I$9:$I$59,$L55,$J$9:$J$59,S$8),0)</f>
        <v>0</v>
      </c>
      <c r="T55" s="175">
        <f t="array" ref="T55">IF(AND($L55&lt;&gt;"",T$8&lt;&gt;""),COUNTIFS($I$9:$I$59,$L55,$J$9:$J$59,T$8),0)</f>
        <v>0</v>
      </c>
      <c r="U55" s="175">
        <f t="array" ref="U55">IF(AND($L55&lt;&gt;"",U$8&lt;&gt;""),COUNTIFS($I$9:$I$59,$L55,$J$9:$J$59,U$8),0)</f>
        <v>0</v>
      </c>
      <c r="V55" s="175">
        <f t="array" ref="V55">IF(AND($L55&lt;&gt;"",V$8&lt;&gt;""),COUNTIFS($I$9:$I$59,$L55,$J$9:$J$59,V$8),0)</f>
        <v>0</v>
      </c>
      <c r="W55" s="175">
        <f t="array" ref="W55">IF(AND($L55&lt;&gt;"",W$8&lt;&gt;""),COUNTIFS($I$9:$I$59,$L55,$J$9:$J$59,W$8),0)</f>
        <v>0</v>
      </c>
      <c r="X55" s="175">
        <f t="array" ref="X55">IF(AND($L55&lt;&gt;"",X$8&lt;&gt;""),COUNTIFS($I$9:$I$59,$L55,$J$9:$J$59,X$8),0)</f>
        <v>0</v>
      </c>
      <c r="Y55" s="175">
        <f t="array" ref="Y55">IF(AND($L55&lt;&gt;"",Y$8&lt;&gt;""),COUNTIFS($I$9:$I$59,$L55,$J$9:$J$59,Y$8),0)</f>
        <v>0</v>
      </c>
      <c r="Z55" s="175">
        <f t="array" ref="Z55">IF(AND($L55&lt;&gt;"",Z$8&lt;&gt;""),COUNTIFS($I$9:$I$59,$L55,$J$9:$J$59,Z$8),0)</f>
        <v>0</v>
      </c>
      <c r="AA55" s="175">
        <f t="array" ref="AA55">IF(AND($L55&lt;&gt;"",AA$8&lt;&gt;""),COUNTIFS($I$9:$I$59,$L55,$J$9:$J$59,AA$8),0)</f>
        <v>0</v>
      </c>
      <c r="AB55" s="175">
        <f t="array" ref="AB55">IF(AND($L55&lt;&gt;"",AB$8&lt;&gt;""),COUNTIFS($I$9:$I$59,$L55,$J$9:$J$59,AB$8),0)</f>
        <v>0</v>
      </c>
      <c r="AC55" s="175">
        <f t="array" ref="AC55">IF(AND($L55&lt;&gt;"",AC$8&lt;&gt;""),COUNTIFS($I$9:$I$59,$L55,$J$9:$J$59,AC$8),0)</f>
        <v>0</v>
      </c>
      <c r="AD55" s="175">
        <f t="array" ref="AD55">IF(AND($L55&lt;&gt;"",AD$8&lt;&gt;""),COUNTIFS($I$9:$I$59,$L55,$J$9:$J$59,AD$8),0)</f>
        <v>0</v>
      </c>
      <c r="AE55" s="175">
        <f t="array" ref="AE55">IF(AND($L55&lt;&gt;"",AE$8&lt;&gt;""),COUNTIFS($I$9:$I$59,$L55,$J$9:$J$59,AE$8),0)</f>
        <v>0</v>
      </c>
      <c r="AF55" s="175">
        <f t="array" ref="AF55">IF(AND($L55&lt;&gt;"",AF$8&lt;&gt;""),COUNTIFS($I$9:$I$59,$L55,$J$9:$J$59,AF$8),0)</f>
        <v>0</v>
      </c>
      <c r="AG55" s="175">
        <f t="array" ref="AG55">IF(AND($L55&lt;&gt;"",AG$8&lt;&gt;""),COUNTIFS($I$9:$I$59,$L55,$J$9:$J$59,AG$8),0)</f>
        <v>0</v>
      </c>
      <c r="AH55" s="175">
        <f t="array" ref="AH55">IF(AND($L55&lt;&gt;"",AH$8&lt;&gt;""),COUNTIFS($I$9:$I$59,$L55,$J$9:$J$59,AH$8),0)</f>
        <v>0</v>
      </c>
      <c r="AI55" s="175">
        <f t="array" ref="AI55">IF(AND($L55&lt;&gt;"",AI$8&lt;&gt;""),COUNTIFS($I$9:$I$59,$L55,$J$9:$J$59,AI$8),0)</f>
        <v>0</v>
      </c>
      <c r="AJ55" s="175">
        <f t="array" ref="AJ55">IF(AND($L55&lt;&gt;"",AJ$8&lt;&gt;""),COUNTIFS($I$9:$I$59,$L55,$J$9:$J$59,AJ$8),0)</f>
        <v>0</v>
      </c>
      <c r="AK55" s="175">
        <f t="array" ref="AK55">IF(AND($L55&lt;&gt;"",AK$8&lt;&gt;""),COUNTIFS($I$9:$I$59,$L55,$J$9:$J$59,AK$8),0)</f>
        <v>0</v>
      </c>
      <c r="AL55" s="175">
        <f t="array" ref="AL55">IF(AND($L55&lt;&gt;"",AL$8&lt;&gt;""),COUNTIFS($I$9:$I$59,$L55,$J$9:$J$59,AL$8),0)</f>
        <v>0</v>
      </c>
      <c r="AM55" s="175">
        <f t="array" ref="AM55">IF(AND($L55&lt;&gt;"",AM$8&lt;&gt;""),COUNTIFS($I$9:$I$59,$L55,$J$9:$J$59,AM$8),0)</f>
        <v>0</v>
      </c>
      <c r="AN55" s="175">
        <f t="array" ref="AN55">IF(AND($L55&lt;&gt;"",AN$8&lt;&gt;""),COUNTIFS($I$9:$I$59,$L55,$J$9:$J$59,AN$8),0)</f>
        <v>0</v>
      </c>
      <c r="AO55" s="175">
        <f t="array" ref="AO55">IF(AND($L55&lt;&gt;"",AO$8&lt;&gt;""),COUNTIFS($I$9:$I$59,$L55,$J$9:$J$59,AO$8),0)</f>
        <v>0</v>
      </c>
      <c r="AP55" s="175">
        <f t="array" ref="AP55">IF(AND($L55&lt;&gt;"",AP$8&lt;&gt;""),COUNTIFS($I$9:$I$59,$L55,$J$9:$J$59,AP$8),0)</f>
        <v>0</v>
      </c>
      <c r="AQ55" s="175">
        <f t="array" ref="AQ55">IF(AND($L55&lt;&gt;"",AQ$8&lt;&gt;""),COUNTIFS($I$9:$I$59,$L55,$J$9:$J$59,AQ$8),0)</f>
        <v>0</v>
      </c>
      <c r="AR55" s="175">
        <f t="array" ref="AR55">IF(AND($L55&lt;&gt;"",AR$8&lt;&gt;""),COUNTIFS($I$9:$I$59,$L55,$J$9:$J$59,AR$8),0)</f>
        <v>0</v>
      </c>
      <c r="AS55" s="175">
        <f t="array" ref="AS55">IF(AND($L55&lt;&gt;"",AS$8&lt;&gt;""),COUNTIFS($I$9:$I$59,$L55,$J$9:$J$59,AS$8),0)</f>
        <v>0</v>
      </c>
      <c r="AT55" s="175">
        <f t="array" ref="AT55">IF(AND($L55&lt;&gt;"",AT$8&lt;&gt;""),COUNTIFS($I$9:$I$59,$L55,$J$9:$J$59,AT$8),0)</f>
        <v>0</v>
      </c>
      <c r="AU55" s="175">
        <f t="array" ref="AU55">IF(AND($L55&lt;&gt;"",AU$8&lt;&gt;""),COUNTIFS($I$9:$I$59,$L55,$J$9:$J$59,AU$8),0)</f>
        <v>0</v>
      </c>
      <c r="AV55" s="175">
        <f t="array" ref="AV55">IF(AND($L55&lt;&gt;"",AV$8&lt;&gt;""),COUNTIFS($I$9:$I$59,$L55,$J$9:$J$59,AV$8),0)</f>
        <v>0</v>
      </c>
      <c r="AW55" s="175">
        <f t="array" ref="AW55">IF(AND($L55&lt;&gt;"",AW$8&lt;&gt;""),COUNTIFS($I$9:$I$59,$L55,$J$9:$J$59,AW$8),0)</f>
        <v>0</v>
      </c>
      <c r="AX55" s="175">
        <f t="array" ref="AX55">IF(AND($L55&lt;&gt;"",AX$8&lt;&gt;""),COUNTIFS($I$9:$I$59,$L55,$J$9:$J$59,AX$8),0)</f>
        <v>0</v>
      </c>
      <c r="AY55" s="175">
        <f t="array" ref="AY55">IF(AND($L55&lt;&gt;"",AY$8&lt;&gt;""),COUNTIFS($I$9:$I$59,$L55,$J$9:$J$59,AY$8),0)</f>
        <v>0</v>
      </c>
      <c r="AZ55" s="175">
        <f t="array" ref="AZ55">IF(AND($L55&lt;&gt;"",AZ$8&lt;&gt;""),COUNTIFS($I$9:$I$59,$L55,$J$9:$J$59,AZ$8),0)</f>
        <v>0</v>
      </c>
      <c r="BA55" s="175">
        <f t="array" ref="BA55">IF(AND($L55&lt;&gt;"",BA$8&lt;&gt;""),COUNTIFS($I$9:$I$59,$L55,$J$9:$J$59,BA$8),0)</f>
        <v>0</v>
      </c>
      <c r="BB55" s="175">
        <f t="array" ref="BB55">IF(AND($L55&lt;&gt;"",BB$8&lt;&gt;""),COUNTIFS($I$9:$I$59,$L55,$J$9:$J$59,BB$8),0)</f>
        <v>0</v>
      </c>
      <c r="BC55" s="175">
        <f t="array" ref="BC55">IF(AND($L55&lt;&gt;"",BC$8&lt;&gt;""),COUNTIFS($I$9:$I$59,$L55,$J$9:$J$59,BC$8),0)</f>
        <v>0</v>
      </c>
      <c r="BD55" s="175">
        <f t="array" ref="BD55">IF(AND($L55&lt;&gt;"",BD$8&lt;&gt;""),COUNTIFS($I$9:$I$59,$L55,$J$9:$J$59,BD$8),0)</f>
        <v>0</v>
      </c>
      <c r="BE55" s="175">
        <f t="array" ref="BE55">IF(AND($L55&lt;&gt;"",BE$8&lt;&gt;""),COUNTIFS($I$9:$I$59,$L55,$J$9:$J$59,BE$8),0)</f>
        <v>0</v>
      </c>
      <c r="BF55" s="175">
        <f t="array" ref="BF55">IF(AND($L55&lt;&gt;"",BF$8&lt;&gt;""),COUNTIFS($I$9:$I$59,$L55,$J$9:$J$59,BF$8),0)</f>
        <v>0</v>
      </c>
      <c r="BG55" s="175">
        <f t="array" ref="BG55">IF(AND($L55&lt;&gt;"",BG$8&lt;&gt;""),COUNTIFS($I$9:$I$59,$L55,$J$9:$J$59,BG$8),0)</f>
        <v>0</v>
      </c>
      <c r="BH55" s="175">
        <f t="array" ref="BH55">IF(AND($L55&lt;&gt;"",BH$8&lt;&gt;""),COUNTIFS($I$9:$I$59,$L55,$J$9:$J$59,BH$8),0)</f>
        <v>0</v>
      </c>
      <c r="BI55" s="175">
        <f t="array" ref="BI55">IF(AND($L55&lt;&gt;"",BI$8&lt;&gt;""),COUNTIFS($I$9:$I$59,$L55,$J$9:$J$59,BI$8),0)</f>
        <v>0</v>
      </c>
      <c r="BJ55" s="175">
        <f t="array" ref="BJ55">IF(AND($L55&lt;&gt;"",BJ$8&lt;&gt;""),COUNTIFS($I$9:$I$59,$L55,$J$9:$J$59,BJ$8),0)</f>
        <v>0</v>
      </c>
    </row>
    <row r="56" spans="1:64" ht="12.75" customHeight="1" x14ac:dyDescent="0.2">
      <c r="A56" s="14"/>
      <c r="B56" s="108" t="s">
        <v>84</v>
      </c>
      <c r="C56" s="148"/>
      <c r="D56" s="110"/>
      <c r="E56" s="110"/>
      <c r="F56" s="110"/>
      <c r="G56" s="110"/>
      <c r="H56" s="111"/>
      <c r="I56" s="239" t="str">
        <f t="shared" si="1"/>
        <v/>
      </c>
      <c r="J56" s="168" t="str">
        <f t="shared" si="2"/>
        <v/>
      </c>
      <c r="L56" s="174" t="str">
        <f t="array" ref="L56">IFERROR(INDEX($I$9:$I$59,MATCH(0,COUNTIF($L$8:$L55,$I$9:$I$59),0)),"")</f>
        <v/>
      </c>
      <c r="M56" s="175">
        <f t="array" ref="M56">IF(AND($L56&lt;&gt;"",M$8&lt;&gt;""),COUNTIFS($I$9:$I$59,$L56,$J$9:$J$59,M$8),0)</f>
        <v>0</v>
      </c>
      <c r="N56" s="175">
        <f t="array" ref="N56">IF(AND($L56&lt;&gt;"",N$8&lt;&gt;""),COUNTIFS($I$9:$I$59,$L56,$J$9:$J$59,N$8),0)</f>
        <v>0</v>
      </c>
      <c r="O56" s="175">
        <f t="array" ref="O56">IF(AND($L56&lt;&gt;"",O$8&lt;&gt;""),COUNTIFS($I$9:$I$59,$L56,$J$9:$J$59,O$8),0)</f>
        <v>0</v>
      </c>
      <c r="P56" s="175">
        <f t="array" ref="P56">IF(AND($L56&lt;&gt;"",P$8&lt;&gt;""),COUNTIFS($I$9:$I$59,$L56,$J$9:$J$59,P$8),0)</f>
        <v>0</v>
      </c>
      <c r="Q56" s="175">
        <f t="array" ref="Q56">IF(AND($L56&lt;&gt;"",Q$8&lt;&gt;""),COUNTIFS($I$9:$I$59,$L56,$J$9:$J$59,Q$8),0)</f>
        <v>0</v>
      </c>
      <c r="R56" s="175">
        <f t="array" ref="R56">IF(AND($L56&lt;&gt;"",R$8&lt;&gt;""),COUNTIFS($I$9:$I$59,$L56,$J$9:$J$59,R$8),0)</f>
        <v>0</v>
      </c>
      <c r="S56" s="175">
        <f t="array" ref="S56">IF(AND($L56&lt;&gt;"",S$8&lt;&gt;""),COUNTIFS($I$9:$I$59,$L56,$J$9:$J$59,S$8),0)</f>
        <v>0</v>
      </c>
      <c r="T56" s="175">
        <f t="array" ref="T56">IF(AND($L56&lt;&gt;"",T$8&lt;&gt;""),COUNTIFS($I$9:$I$59,$L56,$J$9:$J$59,T$8),0)</f>
        <v>0</v>
      </c>
      <c r="U56" s="175">
        <f t="array" ref="U56">IF(AND($L56&lt;&gt;"",U$8&lt;&gt;""),COUNTIFS($I$9:$I$59,$L56,$J$9:$J$59,U$8),0)</f>
        <v>0</v>
      </c>
      <c r="V56" s="175">
        <f t="array" ref="V56">IF(AND($L56&lt;&gt;"",V$8&lt;&gt;""),COUNTIFS($I$9:$I$59,$L56,$J$9:$J$59,V$8),0)</f>
        <v>0</v>
      </c>
      <c r="W56" s="175">
        <f t="array" ref="W56">IF(AND($L56&lt;&gt;"",W$8&lt;&gt;""),COUNTIFS($I$9:$I$59,$L56,$J$9:$J$59,W$8),0)</f>
        <v>0</v>
      </c>
      <c r="X56" s="175">
        <f t="array" ref="X56">IF(AND($L56&lt;&gt;"",X$8&lt;&gt;""),COUNTIFS($I$9:$I$59,$L56,$J$9:$J$59,X$8),0)</f>
        <v>0</v>
      </c>
      <c r="Y56" s="175">
        <f t="array" ref="Y56">IF(AND($L56&lt;&gt;"",Y$8&lt;&gt;""),COUNTIFS($I$9:$I$59,$L56,$J$9:$J$59,Y$8),0)</f>
        <v>0</v>
      </c>
      <c r="Z56" s="175">
        <f t="array" ref="Z56">IF(AND($L56&lt;&gt;"",Z$8&lt;&gt;""),COUNTIFS($I$9:$I$59,$L56,$J$9:$J$59,Z$8),0)</f>
        <v>0</v>
      </c>
      <c r="AA56" s="175">
        <f t="array" ref="AA56">IF(AND($L56&lt;&gt;"",AA$8&lt;&gt;""),COUNTIFS($I$9:$I$59,$L56,$J$9:$J$59,AA$8),0)</f>
        <v>0</v>
      </c>
      <c r="AB56" s="175">
        <f t="array" ref="AB56">IF(AND($L56&lt;&gt;"",AB$8&lt;&gt;""),COUNTIFS($I$9:$I$59,$L56,$J$9:$J$59,AB$8),0)</f>
        <v>0</v>
      </c>
      <c r="AC56" s="175">
        <f t="array" ref="AC56">IF(AND($L56&lt;&gt;"",AC$8&lt;&gt;""),COUNTIFS($I$9:$I$59,$L56,$J$9:$J$59,AC$8),0)</f>
        <v>0</v>
      </c>
      <c r="AD56" s="175">
        <f t="array" ref="AD56">IF(AND($L56&lt;&gt;"",AD$8&lt;&gt;""),COUNTIFS($I$9:$I$59,$L56,$J$9:$J$59,AD$8),0)</f>
        <v>0</v>
      </c>
      <c r="AE56" s="175">
        <f t="array" ref="AE56">IF(AND($L56&lt;&gt;"",AE$8&lt;&gt;""),COUNTIFS($I$9:$I$59,$L56,$J$9:$J$59,AE$8),0)</f>
        <v>0</v>
      </c>
      <c r="AF56" s="175">
        <f t="array" ref="AF56">IF(AND($L56&lt;&gt;"",AF$8&lt;&gt;""),COUNTIFS($I$9:$I$59,$L56,$J$9:$J$59,AF$8),0)</f>
        <v>0</v>
      </c>
      <c r="AG56" s="175">
        <f t="array" ref="AG56">IF(AND($L56&lt;&gt;"",AG$8&lt;&gt;""),COUNTIFS($I$9:$I$59,$L56,$J$9:$J$59,AG$8),0)</f>
        <v>0</v>
      </c>
      <c r="AH56" s="175">
        <f t="array" ref="AH56">IF(AND($L56&lt;&gt;"",AH$8&lt;&gt;""),COUNTIFS($I$9:$I$59,$L56,$J$9:$J$59,AH$8),0)</f>
        <v>0</v>
      </c>
      <c r="AI56" s="175">
        <f t="array" ref="AI56">IF(AND($L56&lt;&gt;"",AI$8&lt;&gt;""),COUNTIFS($I$9:$I$59,$L56,$J$9:$J$59,AI$8),0)</f>
        <v>0</v>
      </c>
      <c r="AJ56" s="175">
        <f t="array" ref="AJ56">IF(AND($L56&lt;&gt;"",AJ$8&lt;&gt;""),COUNTIFS($I$9:$I$59,$L56,$J$9:$J$59,AJ$8),0)</f>
        <v>0</v>
      </c>
      <c r="AK56" s="175">
        <f t="array" ref="AK56">IF(AND($L56&lt;&gt;"",AK$8&lt;&gt;""),COUNTIFS($I$9:$I$59,$L56,$J$9:$J$59,AK$8),0)</f>
        <v>0</v>
      </c>
      <c r="AL56" s="175">
        <f t="array" ref="AL56">IF(AND($L56&lt;&gt;"",AL$8&lt;&gt;""),COUNTIFS($I$9:$I$59,$L56,$J$9:$J$59,AL$8),0)</f>
        <v>0</v>
      </c>
      <c r="AM56" s="175">
        <f t="array" ref="AM56">IF(AND($L56&lt;&gt;"",AM$8&lt;&gt;""),COUNTIFS($I$9:$I$59,$L56,$J$9:$J$59,AM$8),0)</f>
        <v>0</v>
      </c>
      <c r="AN56" s="175">
        <f t="array" ref="AN56">IF(AND($L56&lt;&gt;"",AN$8&lt;&gt;""),COUNTIFS($I$9:$I$59,$L56,$J$9:$J$59,AN$8),0)</f>
        <v>0</v>
      </c>
      <c r="AO56" s="175">
        <f t="array" ref="AO56">IF(AND($L56&lt;&gt;"",AO$8&lt;&gt;""),COUNTIFS($I$9:$I$59,$L56,$J$9:$J$59,AO$8),0)</f>
        <v>0</v>
      </c>
      <c r="AP56" s="175">
        <f t="array" ref="AP56">IF(AND($L56&lt;&gt;"",AP$8&lt;&gt;""),COUNTIFS($I$9:$I$59,$L56,$J$9:$J$59,AP$8),0)</f>
        <v>0</v>
      </c>
      <c r="AQ56" s="175">
        <f t="array" ref="AQ56">IF(AND($L56&lt;&gt;"",AQ$8&lt;&gt;""),COUNTIFS($I$9:$I$59,$L56,$J$9:$J$59,AQ$8),0)</f>
        <v>0</v>
      </c>
      <c r="AR56" s="175">
        <f t="array" ref="AR56">IF(AND($L56&lt;&gt;"",AR$8&lt;&gt;""),COUNTIFS($I$9:$I$59,$L56,$J$9:$J$59,AR$8),0)</f>
        <v>0</v>
      </c>
      <c r="AS56" s="175">
        <f t="array" ref="AS56">IF(AND($L56&lt;&gt;"",AS$8&lt;&gt;""),COUNTIFS($I$9:$I$59,$L56,$J$9:$J$59,AS$8),0)</f>
        <v>0</v>
      </c>
      <c r="AT56" s="175">
        <f t="array" ref="AT56">IF(AND($L56&lt;&gt;"",AT$8&lt;&gt;""),COUNTIFS($I$9:$I$59,$L56,$J$9:$J$59,AT$8),0)</f>
        <v>0</v>
      </c>
      <c r="AU56" s="175">
        <f t="array" ref="AU56">IF(AND($L56&lt;&gt;"",AU$8&lt;&gt;""),COUNTIFS($I$9:$I$59,$L56,$J$9:$J$59,AU$8),0)</f>
        <v>0</v>
      </c>
      <c r="AV56" s="175">
        <f t="array" ref="AV56">IF(AND($L56&lt;&gt;"",AV$8&lt;&gt;""),COUNTIFS($I$9:$I$59,$L56,$J$9:$J$59,AV$8),0)</f>
        <v>0</v>
      </c>
      <c r="AW56" s="175">
        <f t="array" ref="AW56">IF(AND($L56&lt;&gt;"",AW$8&lt;&gt;""),COUNTIFS($I$9:$I$59,$L56,$J$9:$J$59,AW$8),0)</f>
        <v>0</v>
      </c>
      <c r="AX56" s="175">
        <f t="array" ref="AX56">IF(AND($L56&lt;&gt;"",AX$8&lt;&gt;""),COUNTIFS($I$9:$I$59,$L56,$J$9:$J$59,AX$8),0)</f>
        <v>0</v>
      </c>
      <c r="AY56" s="175">
        <f t="array" ref="AY56">IF(AND($L56&lt;&gt;"",AY$8&lt;&gt;""),COUNTIFS($I$9:$I$59,$L56,$J$9:$J$59,AY$8),0)</f>
        <v>0</v>
      </c>
      <c r="AZ56" s="175">
        <f t="array" ref="AZ56">IF(AND($L56&lt;&gt;"",AZ$8&lt;&gt;""),COUNTIFS($I$9:$I$59,$L56,$J$9:$J$59,AZ$8),0)</f>
        <v>0</v>
      </c>
      <c r="BA56" s="175">
        <f t="array" ref="BA56">IF(AND($L56&lt;&gt;"",BA$8&lt;&gt;""),COUNTIFS($I$9:$I$59,$L56,$J$9:$J$59,BA$8),0)</f>
        <v>0</v>
      </c>
      <c r="BB56" s="175">
        <f t="array" ref="BB56">IF(AND($L56&lt;&gt;"",BB$8&lt;&gt;""),COUNTIFS($I$9:$I$59,$L56,$J$9:$J$59,BB$8),0)</f>
        <v>0</v>
      </c>
      <c r="BC56" s="175">
        <f t="array" ref="BC56">IF(AND($L56&lt;&gt;"",BC$8&lt;&gt;""),COUNTIFS($I$9:$I$59,$L56,$J$9:$J$59,BC$8),0)</f>
        <v>0</v>
      </c>
      <c r="BD56" s="175">
        <f t="array" ref="BD56">IF(AND($L56&lt;&gt;"",BD$8&lt;&gt;""),COUNTIFS($I$9:$I$59,$L56,$J$9:$J$59,BD$8),0)</f>
        <v>0</v>
      </c>
      <c r="BE56" s="175">
        <f t="array" ref="BE56">IF(AND($L56&lt;&gt;"",BE$8&lt;&gt;""),COUNTIFS($I$9:$I$59,$L56,$J$9:$J$59,BE$8),0)</f>
        <v>0</v>
      </c>
      <c r="BF56" s="175">
        <f t="array" ref="BF56">IF(AND($L56&lt;&gt;"",BF$8&lt;&gt;""),COUNTIFS($I$9:$I$59,$L56,$J$9:$J$59,BF$8),0)</f>
        <v>0</v>
      </c>
      <c r="BG56" s="175">
        <f t="array" ref="BG56">IF(AND($L56&lt;&gt;"",BG$8&lt;&gt;""),COUNTIFS($I$9:$I$59,$L56,$J$9:$J$59,BG$8),0)</f>
        <v>0</v>
      </c>
      <c r="BH56" s="175">
        <f t="array" ref="BH56">IF(AND($L56&lt;&gt;"",BH$8&lt;&gt;""),COUNTIFS($I$9:$I$59,$L56,$J$9:$J$59,BH$8),0)</f>
        <v>0</v>
      </c>
      <c r="BI56" s="175">
        <f t="array" ref="BI56">IF(AND($L56&lt;&gt;"",BI$8&lt;&gt;""),COUNTIFS($I$9:$I$59,$L56,$J$9:$J$59,BI$8),0)</f>
        <v>0</v>
      </c>
      <c r="BJ56" s="175">
        <f t="array" ref="BJ56">IF(AND($L56&lt;&gt;"",BJ$8&lt;&gt;""),COUNTIFS($I$9:$I$59,$L56,$J$9:$J$59,BJ$8),0)</f>
        <v>0</v>
      </c>
    </row>
    <row r="57" spans="1:64" ht="12.75" customHeight="1" x14ac:dyDescent="0.2">
      <c r="A57" s="14"/>
      <c r="B57" s="108" t="s">
        <v>85</v>
      </c>
      <c r="C57" s="148"/>
      <c r="D57" s="110"/>
      <c r="E57" s="110"/>
      <c r="F57" s="110"/>
      <c r="G57" s="110"/>
      <c r="H57" s="111"/>
      <c r="I57" s="239" t="str">
        <f t="shared" si="1"/>
        <v/>
      </c>
      <c r="J57" s="168" t="str">
        <f t="shared" si="2"/>
        <v/>
      </c>
      <c r="L57" s="174" t="str">
        <f t="array" ref="L57">IFERROR(INDEX($I$9:$I$59,MATCH(0,COUNTIF($L$8:$L56,$I$9:$I$59),0)),"")</f>
        <v/>
      </c>
      <c r="M57" s="175">
        <f t="array" ref="M57">IF(AND($L57&lt;&gt;"",M$8&lt;&gt;""),COUNTIFS($I$9:$I$59,$L57,$J$9:$J$59,M$8),0)</f>
        <v>0</v>
      </c>
      <c r="N57" s="175">
        <f t="array" ref="N57">IF(AND($L57&lt;&gt;"",N$8&lt;&gt;""),COUNTIFS($I$9:$I$59,$L57,$J$9:$J$59,N$8),0)</f>
        <v>0</v>
      </c>
      <c r="O57" s="175">
        <f t="array" ref="O57">IF(AND($L57&lt;&gt;"",O$8&lt;&gt;""),COUNTIFS($I$9:$I$59,$L57,$J$9:$J$59,O$8),0)</f>
        <v>0</v>
      </c>
      <c r="P57" s="175">
        <f t="array" ref="P57">IF(AND($L57&lt;&gt;"",P$8&lt;&gt;""),COUNTIFS($I$9:$I$59,$L57,$J$9:$J$59,P$8),0)</f>
        <v>0</v>
      </c>
      <c r="Q57" s="175">
        <f t="array" ref="Q57">IF(AND($L57&lt;&gt;"",Q$8&lt;&gt;""),COUNTIFS($I$9:$I$59,$L57,$J$9:$J$59,Q$8),0)</f>
        <v>0</v>
      </c>
      <c r="R57" s="175">
        <f t="array" ref="R57">IF(AND($L57&lt;&gt;"",R$8&lt;&gt;""),COUNTIFS($I$9:$I$59,$L57,$J$9:$J$59,R$8),0)</f>
        <v>0</v>
      </c>
      <c r="S57" s="175">
        <f t="array" ref="S57">IF(AND($L57&lt;&gt;"",S$8&lt;&gt;""),COUNTIFS($I$9:$I$59,$L57,$J$9:$J$59,S$8),0)</f>
        <v>0</v>
      </c>
      <c r="T57" s="175">
        <f t="array" ref="T57">IF(AND($L57&lt;&gt;"",T$8&lt;&gt;""),COUNTIFS($I$9:$I$59,$L57,$J$9:$J$59,T$8),0)</f>
        <v>0</v>
      </c>
      <c r="U57" s="175">
        <f t="array" ref="U57">IF(AND($L57&lt;&gt;"",U$8&lt;&gt;""),COUNTIFS($I$9:$I$59,$L57,$J$9:$J$59,U$8),0)</f>
        <v>0</v>
      </c>
      <c r="V57" s="175">
        <f t="array" ref="V57">IF(AND($L57&lt;&gt;"",V$8&lt;&gt;""),COUNTIFS($I$9:$I$59,$L57,$J$9:$J$59,V$8),0)</f>
        <v>0</v>
      </c>
      <c r="W57" s="175">
        <f t="array" ref="W57">IF(AND($L57&lt;&gt;"",W$8&lt;&gt;""),COUNTIFS($I$9:$I$59,$L57,$J$9:$J$59,W$8),0)</f>
        <v>0</v>
      </c>
      <c r="X57" s="175">
        <f t="array" ref="X57">IF(AND($L57&lt;&gt;"",X$8&lt;&gt;""),COUNTIFS($I$9:$I$59,$L57,$J$9:$J$59,X$8),0)</f>
        <v>0</v>
      </c>
      <c r="Y57" s="175">
        <f t="array" ref="Y57">IF(AND($L57&lt;&gt;"",Y$8&lt;&gt;""),COUNTIFS($I$9:$I$59,$L57,$J$9:$J$59,Y$8),0)</f>
        <v>0</v>
      </c>
      <c r="Z57" s="175">
        <f t="array" ref="Z57">IF(AND($L57&lt;&gt;"",Z$8&lt;&gt;""),COUNTIFS($I$9:$I$59,$L57,$J$9:$J$59,Z$8),0)</f>
        <v>0</v>
      </c>
      <c r="AA57" s="175">
        <f t="array" ref="AA57">IF(AND($L57&lt;&gt;"",AA$8&lt;&gt;""),COUNTIFS($I$9:$I$59,$L57,$J$9:$J$59,AA$8),0)</f>
        <v>0</v>
      </c>
      <c r="AB57" s="175">
        <f t="array" ref="AB57">IF(AND($L57&lt;&gt;"",AB$8&lt;&gt;""),COUNTIFS($I$9:$I$59,$L57,$J$9:$J$59,AB$8),0)</f>
        <v>0</v>
      </c>
      <c r="AC57" s="175">
        <f t="array" ref="AC57">IF(AND($L57&lt;&gt;"",AC$8&lt;&gt;""),COUNTIFS($I$9:$I$59,$L57,$J$9:$J$59,AC$8),0)</f>
        <v>0</v>
      </c>
      <c r="AD57" s="175">
        <f t="array" ref="AD57">IF(AND($L57&lt;&gt;"",AD$8&lt;&gt;""),COUNTIFS($I$9:$I$59,$L57,$J$9:$J$59,AD$8),0)</f>
        <v>0</v>
      </c>
      <c r="AE57" s="175">
        <f t="array" ref="AE57">IF(AND($L57&lt;&gt;"",AE$8&lt;&gt;""),COUNTIFS($I$9:$I$59,$L57,$J$9:$J$59,AE$8),0)</f>
        <v>0</v>
      </c>
      <c r="AF57" s="175">
        <f t="array" ref="AF57">IF(AND($L57&lt;&gt;"",AF$8&lt;&gt;""),COUNTIFS($I$9:$I$59,$L57,$J$9:$J$59,AF$8),0)</f>
        <v>0</v>
      </c>
      <c r="AG57" s="175">
        <f t="array" ref="AG57">IF(AND($L57&lt;&gt;"",AG$8&lt;&gt;""),COUNTIFS($I$9:$I$59,$L57,$J$9:$J$59,AG$8),0)</f>
        <v>0</v>
      </c>
      <c r="AH57" s="175">
        <f t="array" ref="AH57">IF(AND($L57&lt;&gt;"",AH$8&lt;&gt;""),COUNTIFS($I$9:$I$59,$L57,$J$9:$J$59,AH$8),0)</f>
        <v>0</v>
      </c>
      <c r="AI57" s="175">
        <f t="array" ref="AI57">IF(AND($L57&lt;&gt;"",AI$8&lt;&gt;""),COUNTIFS($I$9:$I$59,$L57,$J$9:$J$59,AI$8),0)</f>
        <v>0</v>
      </c>
      <c r="AJ57" s="175">
        <f t="array" ref="AJ57">IF(AND($L57&lt;&gt;"",AJ$8&lt;&gt;""),COUNTIFS($I$9:$I$59,$L57,$J$9:$J$59,AJ$8),0)</f>
        <v>0</v>
      </c>
      <c r="AK57" s="175">
        <f t="array" ref="AK57">IF(AND($L57&lt;&gt;"",AK$8&lt;&gt;""),COUNTIFS($I$9:$I$59,$L57,$J$9:$J$59,AK$8),0)</f>
        <v>0</v>
      </c>
      <c r="AL57" s="175">
        <f t="array" ref="AL57">IF(AND($L57&lt;&gt;"",AL$8&lt;&gt;""),COUNTIFS($I$9:$I$59,$L57,$J$9:$J$59,AL$8),0)</f>
        <v>0</v>
      </c>
      <c r="AM57" s="175">
        <f t="array" ref="AM57">IF(AND($L57&lt;&gt;"",AM$8&lt;&gt;""),COUNTIFS($I$9:$I$59,$L57,$J$9:$J$59,AM$8),0)</f>
        <v>0</v>
      </c>
      <c r="AN57" s="175">
        <f t="array" ref="AN57">IF(AND($L57&lt;&gt;"",AN$8&lt;&gt;""),COUNTIFS($I$9:$I$59,$L57,$J$9:$J$59,AN$8),0)</f>
        <v>0</v>
      </c>
      <c r="AO57" s="175">
        <f t="array" ref="AO57">IF(AND($L57&lt;&gt;"",AO$8&lt;&gt;""),COUNTIFS($I$9:$I$59,$L57,$J$9:$J$59,AO$8),0)</f>
        <v>0</v>
      </c>
      <c r="AP57" s="175">
        <f t="array" ref="AP57">IF(AND($L57&lt;&gt;"",AP$8&lt;&gt;""),COUNTIFS($I$9:$I$59,$L57,$J$9:$J$59,AP$8),0)</f>
        <v>0</v>
      </c>
      <c r="AQ57" s="175">
        <f t="array" ref="AQ57">IF(AND($L57&lt;&gt;"",AQ$8&lt;&gt;""),COUNTIFS($I$9:$I$59,$L57,$J$9:$J$59,AQ$8),0)</f>
        <v>0</v>
      </c>
      <c r="AR57" s="175">
        <f t="array" ref="AR57">IF(AND($L57&lt;&gt;"",AR$8&lt;&gt;""),COUNTIFS($I$9:$I$59,$L57,$J$9:$J$59,AR$8),0)</f>
        <v>0</v>
      </c>
      <c r="AS57" s="175">
        <f t="array" ref="AS57">IF(AND($L57&lt;&gt;"",AS$8&lt;&gt;""),COUNTIFS($I$9:$I$59,$L57,$J$9:$J$59,AS$8),0)</f>
        <v>0</v>
      </c>
      <c r="AT57" s="175">
        <f t="array" ref="AT57">IF(AND($L57&lt;&gt;"",AT$8&lt;&gt;""),COUNTIFS($I$9:$I$59,$L57,$J$9:$J$59,AT$8),0)</f>
        <v>0</v>
      </c>
      <c r="AU57" s="175">
        <f t="array" ref="AU57">IF(AND($L57&lt;&gt;"",AU$8&lt;&gt;""),COUNTIFS($I$9:$I$59,$L57,$J$9:$J$59,AU$8),0)</f>
        <v>0</v>
      </c>
      <c r="AV57" s="175">
        <f t="array" ref="AV57">IF(AND($L57&lt;&gt;"",AV$8&lt;&gt;""),COUNTIFS($I$9:$I$59,$L57,$J$9:$J$59,AV$8),0)</f>
        <v>0</v>
      </c>
      <c r="AW57" s="175">
        <f t="array" ref="AW57">IF(AND($L57&lt;&gt;"",AW$8&lt;&gt;""),COUNTIFS($I$9:$I$59,$L57,$J$9:$J$59,AW$8),0)</f>
        <v>0</v>
      </c>
      <c r="AX57" s="175">
        <f t="array" ref="AX57">IF(AND($L57&lt;&gt;"",AX$8&lt;&gt;""),COUNTIFS($I$9:$I$59,$L57,$J$9:$J$59,AX$8),0)</f>
        <v>0</v>
      </c>
      <c r="AY57" s="175">
        <f t="array" ref="AY57">IF(AND($L57&lt;&gt;"",AY$8&lt;&gt;""),COUNTIFS($I$9:$I$59,$L57,$J$9:$J$59,AY$8),0)</f>
        <v>0</v>
      </c>
      <c r="AZ57" s="175">
        <f t="array" ref="AZ57">IF(AND($L57&lt;&gt;"",AZ$8&lt;&gt;""),COUNTIFS($I$9:$I$59,$L57,$J$9:$J$59,AZ$8),0)</f>
        <v>0</v>
      </c>
      <c r="BA57" s="175">
        <f t="array" ref="BA57">IF(AND($L57&lt;&gt;"",BA$8&lt;&gt;""),COUNTIFS($I$9:$I$59,$L57,$J$9:$J$59,BA$8),0)</f>
        <v>0</v>
      </c>
      <c r="BB57" s="175">
        <f t="array" ref="BB57">IF(AND($L57&lt;&gt;"",BB$8&lt;&gt;""),COUNTIFS($I$9:$I$59,$L57,$J$9:$J$59,BB$8),0)</f>
        <v>0</v>
      </c>
      <c r="BC57" s="175">
        <f t="array" ref="BC57">IF(AND($L57&lt;&gt;"",BC$8&lt;&gt;""),COUNTIFS($I$9:$I$59,$L57,$J$9:$J$59,BC$8),0)</f>
        <v>0</v>
      </c>
      <c r="BD57" s="175">
        <f t="array" ref="BD57">IF(AND($L57&lt;&gt;"",BD$8&lt;&gt;""),COUNTIFS($I$9:$I$59,$L57,$J$9:$J$59,BD$8),0)</f>
        <v>0</v>
      </c>
      <c r="BE57" s="175">
        <f t="array" ref="BE57">IF(AND($L57&lt;&gt;"",BE$8&lt;&gt;""),COUNTIFS($I$9:$I$59,$L57,$J$9:$J$59,BE$8),0)</f>
        <v>0</v>
      </c>
      <c r="BF57" s="175">
        <f t="array" ref="BF57">IF(AND($L57&lt;&gt;"",BF$8&lt;&gt;""),COUNTIFS($I$9:$I$59,$L57,$J$9:$J$59,BF$8),0)</f>
        <v>0</v>
      </c>
      <c r="BG57" s="175">
        <f t="array" ref="BG57">IF(AND($L57&lt;&gt;"",BG$8&lt;&gt;""),COUNTIFS($I$9:$I$59,$L57,$J$9:$J$59,BG$8),0)</f>
        <v>0</v>
      </c>
      <c r="BH57" s="175">
        <f t="array" ref="BH57">IF(AND($L57&lt;&gt;"",BH$8&lt;&gt;""),COUNTIFS($I$9:$I$59,$L57,$J$9:$J$59,BH$8),0)</f>
        <v>0</v>
      </c>
      <c r="BI57" s="175">
        <f t="array" ref="BI57">IF(AND($L57&lt;&gt;"",BI$8&lt;&gt;""),COUNTIFS($I$9:$I$59,$L57,$J$9:$J$59,BI$8),0)</f>
        <v>0</v>
      </c>
      <c r="BJ57" s="175">
        <f t="array" ref="BJ57">IF(AND($L57&lt;&gt;"",BJ$8&lt;&gt;""),COUNTIFS($I$9:$I$59,$L57,$J$9:$J$59,BJ$8),0)</f>
        <v>0</v>
      </c>
    </row>
    <row r="58" spans="1:64" ht="12.75" customHeight="1" thickBot="1" x14ac:dyDescent="0.25">
      <c r="A58" s="14"/>
      <c r="B58" s="112" t="s">
        <v>86</v>
      </c>
      <c r="C58" s="149"/>
      <c r="D58" s="113"/>
      <c r="E58" s="113"/>
      <c r="F58" s="113"/>
      <c r="G58" s="113"/>
      <c r="H58" s="114"/>
      <c r="I58" s="240" t="str">
        <f t="shared" si="1"/>
        <v/>
      </c>
      <c r="J58" s="169" t="str">
        <f t="shared" si="2"/>
        <v/>
      </c>
      <c r="L58" s="174" t="str">
        <f t="array" ref="L58">IFERROR(INDEX($I$9:$I$59,MATCH(0,COUNTIF($L$8:$L57,$I$9:$I$59),0)),"")</f>
        <v/>
      </c>
      <c r="M58" s="175">
        <f t="array" ref="M58">IF(AND($L58&lt;&gt;"",M$8&lt;&gt;""),COUNTIFS($I$9:$I$59,$L58,$J$9:$J$59,M$8),0)</f>
        <v>0</v>
      </c>
      <c r="N58" s="175">
        <f t="array" ref="N58">IF(AND($L58&lt;&gt;"",N$8&lt;&gt;""),COUNTIFS($I$9:$I$59,$L58,$J$9:$J$59,N$8),0)</f>
        <v>0</v>
      </c>
      <c r="O58" s="175">
        <f t="array" ref="O58">IF(AND($L58&lt;&gt;"",O$8&lt;&gt;""),COUNTIFS($I$9:$I$59,$L58,$J$9:$J$59,O$8),0)</f>
        <v>0</v>
      </c>
      <c r="P58" s="175">
        <f t="array" ref="P58">IF(AND($L58&lt;&gt;"",P$8&lt;&gt;""),COUNTIFS($I$9:$I$59,$L58,$J$9:$J$59,P$8),0)</f>
        <v>0</v>
      </c>
      <c r="Q58" s="175">
        <f t="array" ref="Q58">IF(AND($L58&lt;&gt;"",Q$8&lt;&gt;""),COUNTIFS($I$9:$I$59,$L58,$J$9:$J$59,Q$8),0)</f>
        <v>0</v>
      </c>
      <c r="R58" s="175">
        <f t="array" ref="R58">IF(AND($L58&lt;&gt;"",R$8&lt;&gt;""),COUNTIFS($I$9:$I$59,$L58,$J$9:$J$59,R$8),0)</f>
        <v>0</v>
      </c>
      <c r="S58" s="175">
        <f t="array" ref="S58">IF(AND($L58&lt;&gt;"",S$8&lt;&gt;""),COUNTIFS($I$9:$I$59,$L58,$J$9:$J$59,S$8),0)</f>
        <v>0</v>
      </c>
      <c r="T58" s="175">
        <f t="array" ref="T58">IF(AND($L58&lt;&gt;"",T$8&lt;&gt;""),COUNTIFS($I$9:$I$59,$L58,$J$9:$J$59,T$8),0)</f>
        <v>0</v>
      </c>
      <c r="U58" s="175">
        <f t="array" ref="U58">IF(AND($L58&lt;&gt;"",U$8&lt;&gt;""),COUNTIFS($I$9:$I$59,$L58,$J$9:$J$59,U$8),0)</f>
        <v>0</v>
      </c>
      <c r="V58" s="175">
        <f t="array" ref="V58">IF(AND($L58&lt;&gt;"",V$8&lt;&gt;""),COUNTIFS($I$9:$I$59,$L58,$J$9:$J$59,V$8),0)</f>
        <v>0</v>
      </c>
      <c r="W58" s="175">
        <f t="array" ref="W58">IF(AND($L58&lt;&gt;"",W$8&lt;&gt;""),COUNTIFS($I$9:$I$59,$L58,$J$9:$J$59,W$8),0)</f>
        <v>0</v>
      </c>
      <c r="X58" s="175">
        <f t="array" ref="X58">IF(AND($L58&lt;&gt;"",X$8&lt;&gt;""),COUNTIFS($I$9:$I$59,$L58,$J$9:$J$59,X$8),0)</f>
        <v>0</v>
      </c>
      <c r="Y58" s="175">
        <f t="array" ref="Y58">IF(AND($L58&lt;&gt;"",Y$8&lt;&gt;""),COUNTIFS($I$9:$I$59,$L58,$J$9:$J$59,Y$8),0)</f>
        <v>0</v>
      </c>
      <c r="Z58" s="175">
        <f t="array" ref="Z58">IF(AND($L58&lt;&gt;"",Z$8&lt;&gt;""),COUNTIFS($I$9:$I$59,$L58,$J$9:$J$59,Z$8),0)</f>
        <v>0</v>
      </c>
      <c r="AA58" s="175">
        <f t="array" ref="AA58">IF(AND($L58&lt;&gt;"",AA$8&lt;&gt;""),COUNTIFS($I$9:$I$59,$L58,$J$9:$J$59,AA$8),0)</f>
        <v>0</v>
      </c>
      <c r="AB58" s="175">
        <f t="array" ref="AB58">IF(AND($L58&lt;&gt;"",AB$8&lt;&gt;""),COUNTIFS($I$9:$I$59,$L58,$J$9:$J$59,AB$8),0)</f>
        <v>0</v>
      </c>
      <c r="AC58" s="175">
        <f t="array" ref="AC58">IF(AND($L58&lt;&gt;"",AC$8&lt;&gt;""),COUNTIFS($I$9:$I$59,$L58,$J$9:$J$59,AC$8),0)</f>
        <v>0</v>
      </c>
      <c r="AD58" s="175">
        <f t="array" ref="AD58">IF(AND($L58&lt;&gt;"",AD$8&lt;&gt;""),COUNTIFS($I$9:$I$59,$L58,$J$9:$J$59,AD$8),0)</f>
        <v>0</v>
      </c>
      <c r="AE58" s="175">
        <f t="array" ref="AE58">IF(AND($L58&lt;&gt;"",AE$8&lt;&gt;""),COUNTIFS($I$9:$I$59,$L58,$J$9:$J$59,AE$8),0)</f>
        <v>0</v>
      </c>
      <c r="AF58" s="175">
        <f t="array" ref="AF58">IF(AND($L58&lt;&gt;"",AF$8&lt;&gt;""),COUNTIFS($I$9:$I$59,$L58,$J$9:$J$59,AF$8),0)</f>
        <v>0</v>
      </c>
      <c r="AG58" s="175">
        <f t="array" ref="AG58">IF(AND($L58&lt;&gt;"",AG$8&lt;&gt;""),COUNTIFS($I$9:$I$59,$L58,$J$9:$J$59,AG$8),0)</f>
        <v>0</v>
      </c>
      <c r="AH58" s="175">
        <f t="array" ref="AH58">IF(AND($L58&lt;&gt;"",AH$8&lt;&gt;""),COUNTIFS($I$9:$I$59,$L58,$J$9:$J$59,AH$8),0)</f>
        <v>0</v>
      </c>
      <c r="AI58" s="175">
        <f t="array" ref="AI58">IF(AND($L58&lt;&gt;"",AI$8&lt;&gt;""),COUNTIFS($I$9:$I$59,$L58,$J$9:$J$59,AI$8),0)</f>
        <v>0</v>
      </c>
      <c r="AJ58" s="175">
        <f t="array" ref="AJ58">IF(AND($L58&lt;&gt;"",AJ$8&lt;&gt;""),COUNTIFS($I$9:$I$59,$L58,$J$9:$J$59,AJ$8),0)</f>
        <v>0</v>
      </c>
      <c r="AK58" s="175">
        <f t="array" ref="AK58">IF(AND($L58&lt;&gt;"",AK$8&lt;&gt;""),COUNTIFS($I$9:$I$59,$L58,$J$9:$J$59,AK$8),0)</f>
        <v>0</v>
      </c>
      <c r="AL58" s="175">
        <f t="array" ref="AL58">IF(AND($L58&lt;&gt;"",AL$8&lt;&gt;""),COUNTIFS($I$9:$I$59,$L58,$J$9:$J$59,AL$8),0)</f>
        <v>0</v>
      </c>
      <c r="AM58" s="175">
        <f t="array" ref="AM58">IF(AND($L58&lt;&gt;"",AM$8&lt;&gt;""),COUNTIFS($I$9:$I$59,$L58,$J$9:$J$59,AM$8),0)</f>
        <v>0</v>
      </c>
      <c r="AN58" s="175">
        <f t="array" ref="AN58">IF(AND($L58&lt;&gt;"",AN$8&lt;&gt;""),COUNTIFS($I$9:$I$59,$L58,$J$9:$J$59,AN$8),0)</f>
        <v>0</v>
      </c>
      <c r="AO58" s="175">
        <f t="array" ref="AO58">IF(AND($L58&lt;&gt;"",AO$8&lt;&gt;""),COUNTIFS($I$9:$I$59,$L58,$J$9:$J$59,AO$8),0)</f>
        <v>0</v>
      </c>
      <c r="AP58" s="175">
        <f t="array" ref="AP58">IF(AND($L58&lt;&gt;"",AP$8&lt;&gt;""),COUNTIFS($I$9:$I$59,$L58,$J$9:$J$59,AP$8),0)</f>
        <v>0</v>
      </c>
      <c r="AQ58" s="175">
        <f t="array" ref="AQ58">IF(AND($L58&lt;&gt;"",AQ$8&lt;&gt;""),COUNTIFS($I$9:$I$59,$L58,$J$9:$J$59,AQ$8),0)</f>
        <v>0</v>
      </c>
      <c r="AR58" s="175">
        <f t="array" ref="AR58">IF(AND($L58&lt;&gt;"",AR$8&lt;&gt;""),COUNTIFS($I$9:$I$59,$L58,$J$9:$J$59,AR$8),0)</f>
        <v>0</v>
      </c>
      <c r="AS58" s="175">
        <f t="array" ref="AS58">IF(AND($L58&lt;&gt;"",AS$8&lt;&gt;""),COUNTIFS($I$9:$I$59,$L58,$J$9:$J$59,AS$8),0)</f>
        <v>0</v>
      </c>
      <c r="AT58" s="175">
        <f t="array" ref="AT58">IF(AND($L58&lt;&gt;"",AT$8&lt;&gt;""),COUNTIFS($I$9:$I$59,$L58,$J$9:$J$59,AT$8),0)</f>
        <v>0</v>
      </c>
      <c r="AU58" s="175">
        <f t="array" ref="AU58">IF(AND($L58&lt;&gt;"",AU$8&lt;&gt;""),COUNTIFS($I$9:$I$59,$L58,$J$9:$J$59,AU$8),0)</f>
        <v>0</v>
      </c>
      <c r="AV58" s="175">
        <f t="array" ref="AV58">IF(AND($L58&lt;&gt;"",AV$8&lt;&gt;""),COUNTIFS($I$9:$I$59,$L58,$J$9:$J$59,AV$8),0)</f>
        <v>0</v>
      </c>
      <c r="AW58" s="175">
        <f t="array" ref="AW58">IF(AND($L58&lt;&gt;"",AW$8&lt;&gt;""),COUNTIFS($I$9:$I$59,$L58,$J$9:$J$59,AW$8),0)</f>
        <v>0</v>
      </c>
      <c r="AX58" s="175">
        <f t="array" ref="AX58">IF(AND($L58&lt;&gt;"",AX$8&lt;&gt;""),COUNTIFS($I$9:$I$59,$L58,$J$9:$J$59,AX$8),0)</f>
        <v>0</v>
      </c>
      <c r="AY58" s="175">
        <f t="array" ref="AY58">IF(AND($L58&lt;&gt;"",AY$8&lt;&gt;""),COUNTIFS($I$9:$I$59,$L58,$J$9:$J$59,AY$8),0)</f>
        <v>0</v>
      </c>
      <c r="AZ58" s="175">
        <f t="array" ref="AZ58">IF(AND($L58&lt;&gt;"",AZ$8&lt;&gt;""),COUNTIFS($I$9:$I$59,$L58,$J$9:$J$59,AZ$8),0)</f>
        <v>0</v>
      </c>
      <c r="BA58" s="175">
        <f t="array" ref="BA58">IF(AND($L58&lt;&gt;"",BA$8&lt;&gt;""),COUNTIFS($I$9:$I$59,$L58,$J$9:$J$59,BA$8),0)</f>
        <v>0</v>
      </c>
      <c r="BB58" s="175">
        <f t="array" ref="BB58">IF(AND($L58&lt;&gt;"",BB$8&lt;&gt;""),COUNTIFS($I$9:$I$59,$L58,$J$9:$J$59,BB$8),0)</f>
        <v>0</v>
      </c>
      <c r="BC58" s="175">
        <f t="array" ref="BC58">IF(AND($L58&lt;&gt;"",BC$8&lt;&gt;""),COUNTIFS($I$9:$I$59,$L58,$J$9:$J$59,BC$8),0)</f>
        <v>0</v>
      </c>
      <c r="BD58" s="175">
        <f t="array" ref="BD58">IF(AND($L58&lt;&gt;"",BD$8&lt;&gt;""),COUNTIFS($I$9:$I$59,$L58,$J$9:$J$59,BD$8),0)</f>
        <v>0</v>
      </c>
      <c r="BE58" s="175">
        <f t="array" ref="BE58">IF(AND($L58&lt;&gt;"",BE$8&lt;&gt;""),COUNTIFS($I$9:$I$59,$L58,$J$9:$J$59,BE$8),0)</f>
        <v>0</v>
      </c>
      <c r="BF58" s="175">
        <f t="array" ref="BF58">IF(AND($L58&lt;&gt;"",BF$8&lt;&gt;""),COUNTIFS($I$9:$I$59,$L58,$J$9:$J$59,BF$8),0)</f>
        <v>0</v>
      </c>
      <c r="BG58" s="175">
        <f t="array" ref="BG58">IF(AND($L58&lt;&gt;"",BG$8&lt;&gt;""),COUNTIFS($I$9:$I$59,$L58,$J$9:$J$59,BG$8),0)</f>
        <v>0</v>
      </c>
      <c r="BH58" s="175">
        <f t="array" ref="BH58">IF(AND($L58&lt;&gt;"",BH$8&lt;&gt;""),COUNTIFS($I$9:$I$59,$L58,$J$9:$J$59,BH$8),0)</f>
        <v>0</v>
      </c>
      <c r="BI58" s="175">
        <f t="array" ref="BI58">IF(AND($L58&lt;&gt;"",BI$8&lt;&gt;""),COUNTIFS($I$9:$I$59,$L58,$J$9:$J$59,BI$8),0)</f>
        <v>0</v>
      </c>
      <c r="BJ58" s="175">
        <f t="array" ref="BJ58">IF(AND($L58&lt;&gt;"",BJ$8&lt;&gt;""),COUNTIFS($I$9:$I$59,$L58,$J$9:$J$59,BJ$8),0)</f>
        <v>0</v>
      </c>
    </row>
    <row r="59" spans="1:64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</row>
    <row r="60" spans="1:64" x14ac:dyDescent="0.2">
      <c r="A60" s="17"/>
      <c r="C60" s="17"/>
      <c r="D60" s="17"/>
      <c r="E60" s="17"/>
      <c r="F60" s="17"/>
      <c r="G60" s="17"/>
      <c r="H60" s="17"/>
      <c r="I60" s="17"/>
      <c r="J60" s="17"/>
      <c r="L60" s="249" t="s">
        <v>469</v>
      </c>
      <c r="M60" s="183" t="str">
        <f>IFERROR(MID(M8,1,SEARCH("-",M8,1)-1),"")</f>
        <v/>
      </c>
      <c r="N60" s="175" t="str">
        <f t="shared" ref="N60:BJ60" si="3">IFERROR(MID(N8,1,SEARCH("-",N8,1)-1),"")</f>
        <v/>
      </c>
      <c r="O60" s="175" t="str">
        <f t="shared" si="3"/>
        <v/>
      </c>
      <c r="P60" s="175" t="str">
        <f t="shared" si="3"/>
        <v/>
      </c>
      <c r="Q60" s="175" t="str">
        <f t="shared" si="3"/>
        <v/>
      </c>
      <c r="R60" s="175" t="str">
        <f t="shared" si="3"/>
        <v/>
      </c>
      <c r="S60" s="175" t="str">
        <f t="shared" si="3"/>
        <v/>
      </c>
      <c r="T60" s="175" t="str">
        <f t="shared" si="3"/>
        <v/>
      </c>
      <c r="U60" s="175" t="str">
        <f t="shared" si="3"/>
        <v/>
      </c>
      <c r="V60" s="175" t="str">
        <f t="shared" si="3"/>
        <v/>
      </c>
      <c r="W60" s="175" t="str">
        <f t="shared" si="3"/>
        <v/>
      </c>
      <c r="X60" s="175" t="str">
        <f t="shared" si="3"/>
        <v/>
      </c>
      <c r="Y60" s="175" t="str">
        <f t="shared" si="3"/>
        <v/>
      </c>
      <c r="Z60" s="175" t="str">
        <f t="shared" si="3"/>
        <v/>
      </c>
      <c r="AA60" s="175" t="str">
        <f t="shared" si="3"/>
        <v/>
      </c>
      <c r="AB60" s="175" t="str">
        <f t="shared" si="3"/>
        <v/>
      </c>
      <c r="AC60" s="175" t="str">
        <f t="shared" si="3"/>
        <v/>
      </c>
      <c r="AD60" s="175" t="str">
        <f t="shared" si="3"/>
        <v/>
      </c>
      <c r="AE60" s="175" t="str">
        <f t="shared" si="3"/>
        <v/>
      </c>
      <c r="AF60" s="175" t="str">
        <f t="shared" si="3"/>
        <v/>
      </c>
      <c r="AG60" s="175" t="str">
        <f t="shared" si="3"/>
        <v/>
      </c>
      <c r="AH60" s="175" t="str">
        <f t="shared" si="3"/>
        <v/>
      </c>
      <c r="AI60" s="175" t="str">
        <f t="shared" si="3"/>
        <v/>
      </c>
      <c r="AJ60" s="175" t="str">
        <f t="shared" si="3"/>
        <v/>
      </c>
      <c r="AK60" s="175" t="str">
        <f t="shared" si="3"/>
        <v/>
      </c>
      <c r="AL60" s="175" t="str">
        <f t="shared" si="3"/>
        <v/>
      </c>
      <c r="AM60" s="175" t="str">
        <f t="shared" si="3"/>
        <v/>
      </c>
      <c r="AN60" s="175" t="str">
        <f t="shared" si="3"/>
        <v/>
      </c>
      <c r="AO60" s="175" t="str">
        <f t="shared" si="3"/>
        <v/>
      </c>
      <c r="AP60" s="175" t="str">
        <f t="shared" si="3"/>
        <v/>
      </c>
      <c r="AQ60" s="175" t="str">
        <f t="shared" si="3"/>
        <v/>
      </c>
      <c r="AR60" s="175" t="str">
        <f t="shared" si="3"/>
        <v/>
      </c>
      <c r="AS60" s="175" t="str">
        <f t="shared" si="3"/>
        <v/>
      </c>
      <c r="AT60" s="175" t="str">
        <f t="shared" si="3"/>
        <v/>
      </c>
      <c r="AU60" s="175" t="str">
        <f t="shared" si="3"/>
        <v/>
      </c>
      <c r="AV60" s="175" t="str">
        <f t="shared" si="3"/>
        <v/>
      </c>
      <c r="AW60" s="175" t="str">
        <f t="shared" si="3"/>
        <v/>
      </c>
      <c r="AX60" s="175" t="str">
        <f t="shared" si="3"/>
        <v/>
      </c>
      <c r="AY60" s="175" t="str">
        <f t="shared" si="3"/>
        <v/>
      </c>
      <c r="AZ60" s="175" t="str">
        <f t="shared" si="3"/>
        <v/>
      </c>
      <c r="BA60" s="175" t="str">
        <f t="shared" si="3"/>
        <v/>
      </c>
      <c r="BB60" s="175" t="str">
        <f t="shared" si="3"/>
        <v/>
      </c>
      <c r="BC60" s="175" t="str">
        <f t="shared" si="3"/>
        <v/>
      </c>
      <c r="BD60" s="175" t="str">
        <f t="shared" si="3"/>
        <v/>
      </c>
      <c r="BE60" s="175" t="str">
        <f t="shared" si="3"/>
        <v/>
      </c>
      <c r="BF60" s="175" t="str">
        <f t="shared" si="3"/>
        <v/>
      </c>
      <c r="BG60" s="175" t="str">
        <f t="shared" si="3"/>
        <v/>
      </c>
      <c r="BH60" s="175" t="str">
        <f t="shared" si="3"/>
        <v/>
      </c>
      <c r="BI60" s="175" t="str">
        <f t="shared" si="3"/>
        <v/>
      </c>
      <c r="BJ60" s="175" t="str">
        <f t="shared" si="3"/>
        <v/>
      </c>
    </row>
    <row r="61" spans="1:64" hidden="1" x14ac:dyDescent="0.2">
      <c r="A61" s="14"/>
      <c r="C61" s="357" t="s">
        <v>468</v>
      </c>
      <c r="D61" s="358"/>
      <c r="E61" s="358"/>
      <c r="F61" s="358"/>
      <c r="G61" s="358"/>
      <c r="H61" s="359"/>
      <c r="J61" s="17"/>
      <c r="L61" s="249" t="s">
        <v>504</v>
      </c>
      <c r="M61" s="183" t="str">
        <f>IFERROR(RIGHT(M8,LEN(M8)-SEARCH(" ",M8,1)),"")</f>
        <v/>
      </c>
      <c r="N61" s="175" t="str">
        <f t="shared" ref="N61:BJ61" si="4">IFERROR(RIGHT(N8,LEN(N8)-SEARCH(" ",N8,1)),"")</f>
        <v/>
      </c>
      <c r="O61" s="175" t="str">
        <f t="shared" si="4"/>
        <v/>
      </c>
      <c r="P61" s="175" t="str">
        <f t="shared" si="4"/>
        <v/>
      </c>
      <c r="Q61" s="175" t="str">
        <f t="shared" si="4"/>
        <v/>
      </c>
      <c r="R61" s="175" t="str">
        <f t="shared" si="4"/>
        <v/>
      </c>
      <c r="S61" s="175" t="str">
        <f t="shared" si="4"/>
        <v/>
      </c>
      <c r="T61" s="175" t="str">
        <f t="shared" si="4"/>
        <v/>
      </c>
      <c r="U61" s="175" t="str">
        <f t="shared" si="4"/>
        <v/>
      </c>
      <c r="V61" s="175" t="str">
        <f t="shared" si="4"/>
        <v/>
      </c>
      <c r="W61" s="175" t="str">
        <f t="shared" si="4"/>
        <v/>
      </c>
      <c r="X61" s="175" t="str">
        <f t="shared" si="4"/>
        <v/>
      </c>
      <c r="Y61" s="175" t="str">
        <f t="shared" si="4"/>
        <v/>
      </c>
      <c r="Z61" s="175" t="str">
        <f t="shared" si="4"/>
        <v/>
      </c>
      <c r="AA61" s="175" t="str">
        <f t="shared" si="4"/>
        <v/>
      </c>
      <c r="AB61" s="175" t="str">
        <f t="shared" si="4"/>
        <v/>
      </c>
      <c r="AC61" s="175" t="str">
        <f t="shared" si="4"/>
        <v/>
      </c>
      <c r="AD61" s="175" t="str">
        <f t="shared" si="4"/>
        <v/>
      </c>
      <c r="AE61" s="175" t="str">
        <f t="shared" si="4"/>
        <v/>
      </c>
      <c r="AF61" s="175" t="str">
        <f t="shared" si="4"/>
        <v/>
      </c>
      <c r="AG61" s="175" t="str">
        <f t="shared" si="4"/>
        <v/>
      </c>
      <c r="AH61" s="175" t="str">
        <f t="shared" si="4"/>
        <v/>
      </c>
      <c r="AI61" s="175" t="str">
        <f t="shared" si="4"/>
        <v/>
      </c>
      <c r="AJ61" s="175" t="str">
        <f t="shared" si="4"/>
        <v/>
      </c>
      <c r="AK61" s="175" t="str">
        <f t="shared" si="4"/>
        <v/>
      </c>
      <c r="AL61" s="175" t="str">
        <f t="shared" si="4"/>
        <v/>
      </c>
      <c r="AM61" s="175" t="str">
        <f t="shared" si="4"/>
        <v/>
      </c>
      <c r="AN61" s="175" t="str">
        <f t="shared" si="4"/>
        <v/>
      </c>
      <c r="AO61" s="175" t="str">
        <f t="shared" si="4"/>
        <v/>
      </c>
      <c r="AP61" s="175" t="str">
        <f t="shared" si="4"/>
        <v/>
      </c>
      <c r="AQ61" s="175" t="str">
        <f t="shared" si="4"/>
        <v/>
      </c>
      <c r="AR61" s="175" t="str">
        <f t="shared" si="4"/>
        <v/>
      </c>
      <c r="AS61" s="175" t="str">
        <f t="shared" si="4"/>
        <v/>
      </c>
      <c r="AT61" s="175" t="str">
        <f t="shared" si="4"/>
        <v/>
      </c>
      <c r="AU61" s="175" t="str">
        <f t="shared" si="4"/>
        <v/>
      </c>
      <c r="AV61" s="175" t="str">
        <f t="shared" si="4"/>
        <v/>
      </c>
      <c r="AW61" s="175" t="str">
        <f t="shared" si="4"/>
        <v/>
      </c>
      <c r="AX61" s="175" t="str">
        <f t="shared" si="4"/>
        <v/>
      </c>
      <c r="AY61" s="175" t="str">
        <f t="shared" si="4"/>
        <v/>
      </c>
      <c r="AZ61" s="175" t="str">
        <f t="shared" si="4"/>
        <v/>
      </c>
      <c r="BA61" s="175" t="str">
        <f t="shared" si="4"/>
        <v/>
      </c>
      <c r="BB61" s="175" t="str">
        <f t="shared" si="4"/>
        <v/>
      </c>
      <c r="BC61" s="175" t="str">
        <f t="shared" si="4"/>
        <v/>
      </c>
      <c r="BD61" s="175" t="str">
        <f t="shared" si="4"/>
        <v/>
      </c>
      <c r="BE61" s="175" t="str">
        <f t="shared" si="4"/>
        <v/>
      </c>
      <c r="BF61" s="175" t="str">
        <f t="shared" si="4"/>
        <v/>
      </c>
      <c r="BG61" s="175" t="str">
        <f t="shared" si="4"/>
        <v/>
      </c>
      <c r="BH61" s="175" t="str">
        <f t="shared" si="4"/>
        <v/>
      </c>
      <c r="BI61" s="175" t="str">
        <f t="shared" si="4"/>
        <v/>
      </c>
      <c r="BJ61" s="175" t="str">
        <f t="shared" si="4"/>
        <v/>
      </c>
    </row>
    <row r="62" spans="1:64" hidden="1" x14ac:dyDescent="0.2">
      <c r="A62" s="14"/>
      <c r="C62" s="244" t="s">
        <v>469</v>
      </c>
      <c r="D62" s="106" t="s">
        <v>488</v>
      </c>
      <c r="E62" s="106" t="s">
        <v>489</v>
      </c>
      <c r="G62" s="106" t="s">
        <v>87</v>
      </c>
      <c r="H62" s="106" t="s">
        <v>88</v>
      </c>
      <c r="L62" s="249" t="s">
        <v>508</v>
      </c>
      <c r="M62" s="183" t="str">
        <f t="shared" ref="M62:T62" si="5">IF(M60="WALKIN",SUBSTITUTE(SUBSTITUTE(SUBSTITUTE(SUBSTITUTE($D$75,"XXPORTAS","0" &amp; ROUND(MID(M8,SEARCH("-",M8,1)+1,SEARCH("x",M8,1)-1-SEARCH("-",M8,1))/791,0) &amp; IF(ROUND(MID(M8,SEARCH("-",M8,1)+1,SEARCH("x",M8,1)-1-SEARCH("-",M8,1))/791,0)&gt;1," portas"," porta")),"HHHH",MID(M8,SEARCH("x",M8,1)+1,SEARCH(" ",M8,1)-1-SEARCH("x",M8,1))),"CCCC",MID(M8,SEARCH("-",M8,1)+1,SEARCH("x",M8,1)-1-SEARCH("-",M8,1))),"XXXX",VLOOKUP(VALUE(MID(M8,SEARCH("x",M8,1)+1,SEARCH(" ",M8,1)-1-SEARCH("x",M8,1))),$G$82:$H$83,2,0)),"")</f>
        <v/>
      </c>
      <c r="N62" s="183" t="str">
        <f t="shared" si="5"/>
        <v/>
      </c>
      <c r="O62" s="183" t="str">
        <f t="shared" si="5"/>
        <v/>
      </c>
      <c r="P62" s="183" t="str">
        <f t="shared" si="5"/>
        <v/>
      </c>
      <c r="Q62" s="183" t="str">
        <f t="shared" si="5"/>
        <v/>
      </c>
      <c r="R62" s="183" t="str">
        <f t="shared" si="5"/>
        <v/>
      </c>
      <c r="S62" s="183" t="str">
        <f t="shared" si="5"/>
        <v/>
      </c>
      <c r="T62" s="183" t="str">
        <f t="shared" si="5"/>
        <v/>
      </c>
      <c r="U62" s="183" t="str">
        <f>IF(U60="WALKIN",SUBSTITUTE(SUBSTITUTE(SUBSTITUTE(SUBSTITUTE($D$75,"XXPORTAS","0" &amp; ROUND(MID(U8,SEARCH("-",U8,1)+1,SEARCH("x",U8,1)-1-SEARCH("-",U8,1))/791,0) &amp; IF(ROUND(MID(U8,SEARCH("-",U8,1)+1,SEARCH("x",U8,1)-1-SEARCH("-",U8,1))/791,0)&gt;1," portas"," porta")),"HHHH",MID(U8,SEARCH("x",U8,1)+1,SEARCH(" ",U8,1)-1-SEARCH("x",U8,1))),"CCCC",MID(U8,SEARCH("-",U8,1)+1,SEARCH("x",U8,1)-1-SEARCH("-",U8,1))),"XXXX",VLOOKUP(VALUE(MID(U8,SEARCH("x",U8,1)+1,SEARCH(" ",U8,1)-1-SEARCH("x",U8,1))),$G$82:$H$83,2,0)),"")</f>
        <v/>
      </c>
      <c r="V62" s="183" t="str">
        <f t="shared" ref="V62:BJ62" si="6">IF(V60="WALKIN",SUBSTITUTE(SUBSTITUTE(SUBSTITUTE(SUBSTITUTE($D$75,"XXPORTAS","0" &amp; ROUND(MID(V8,SEARCH("-",V8,1)+1,SEARCH("x",V8,1)-1-SEARCH("-",V8,1))/791,0) &amp; IF(ROUND(MID(V8,SEARCH("-",V8,1)+1,SEARCH("x",V8,1)-1-SEARCH("-",V8,1))/791,0)&gt;1," portas"," porta")),"HHHH",MID(V8,SEARCH("x",V8,1)+1,SEARCH(" ",V8,1)-1-SEARCH("x",V8,1))),"CCCC",MID(V8,SEARCH("-",V8,1)+1,SEARCH("x",V8,1)-1-SEARCH("-",V8,1))),"XXXX",VLOOKUP(VALUE(MID(V8,SEARCH("x",V8,1)+1,SEARCH(" ",V8,1)-1-SEARCH("x",V8,1))),$G$82:$H$83,2,0)),"")</f>
        <v/>
      </c>
      <c r="W62" s="183" t="str">
        <f t="shared" si="6"/>
        <v/>
      </c>
      <c r="X62" s="183" t="str">
        <f t="shared" si="6"/>
        <v/>
      </c>
      <c r="Y62" s="183" t="str">
        <f t="shared" si="6"/>
        <v/>
      </c>
      <c r="Z62" s="183" t="str">
        <f t="shared" si="6"/>
        <v/>
      </c>
      <c r="AA62" s="183" t="str">
        <f t="shared" si="6"/>
        <v/>
      </c>
      <c r="AB62" s="183" t="str">
        <f t="shared" si="6"/>
        <v/>
      </c>
      <c r="AC62" s="183" t="str">
        <f t="shared" si="6"/>
        <v/>
      </c>
      <c r="AD62" s="183" t="str">
        <f t="shared" si="6"/>
        <v/>
      </c>
      <c r="AE62" s="183" t="str">
        <f t="shared" si="6"/>
        <v/>
      </c>
      <c r="AF62" s="183" t="str">
        <f t="shared" si="6"/>
        <v/>
      </c>
      <c r="AG62" s="183" t="str">
        <f t="shared" si="6"/>
        <v/>
      </c>
      <c r="AH62" s="183" t="str">
        <f t="shared" si="6"/>
        <v/>
      </c>
      <c r="AI62" s="183" t="str">
        <f t="shared" si="6"/>
        <v/>
      </c>
      <c r="AJ62" s="183" t="str">
        <f t="shared" si="6"/>
        <v/>
      </c>
      <c r="AK62" s="183" t="str">
        <f t="shared" si="6"/>
        <v/>
      </c>
      <c r="AL62" s="183" t="str">
        <f t="shared" si="6"/>
        <v/>
      </c>
      <c r="AM62" s="183" t="str">
        <f t="shared" si="6"/>
        <v/>
      </c>
      <c r="AN62" s="183" t="str">
        <f t="shared" si="6"/>
        <v/>
      </c>
      <c r="AO62" s="183" t="str">
        <f t="shared" si="6"/>
        <v/>
      </c>
      <c r="AP62" s="183" t="str">
        <f t="shared" si="6"/>
        <v/>
      </c>
      <c r="AQ62" s="183" t="str">
        <f t="shared" si="6"/>
        <v/>
      </c>
      <c r="AR62" s="183" t="str">
        <f t="shared" si="6"/>
        <v/>
      </c>
      <c r="AS62" s="183" t="str">
        <f t="shared" si="6"/>
        <v/>
      </c>
      <c r="AT62" s="183" t="str">
        <f t="shared" si="6"/>
        <v/>
      </c>
      <c r="AU62" s="183" t="str">
        <f t="shared" si="6"/>
        <v/>
      </c>
      <c r="AV62" s="183" t="str">
        <f t="shared" si="6"/>
        <v/>
      </c>
      <c r="AW62" s="183" t="str">
        <f t="shared" si="6"/>
        <v/>
      </c>
      <c r="AX62" s="183" t="str">
        <f t="shared" si="6"/>
        <v/>
      </c>
      <c r="AY62" s="183" t="str">
        <f t="shared" si="6"/>
        <v/>
      </c>
      <c r="AZ62" s="183" t="str">
        <f t="shared" si="6"/>
        <v/>
      </c>
      <c r="BA62" s="183" t="str">
        <f t="shared" si="6"/>
        <v/>
      </c>
      <c r="BB62" s="183" t="str">
        <f t="shared" si="6"/>
        <v/>
      </c>
      <c r="BC62" s="183" t="str">
        <f t="shared" si="6"/>
        <v/>
      </c>
      <c r="BD62" s="183" t="str">
        <f t="shared" si="6"/>
        <v/>
      </c>
      <c r="BE62" s="183" t="str">
        <f t="shared" si="6"/>
        <v/>
      </c>
      <c r="BF62" s="183" t="str">
        <f t="shared" si="6"/>
        <v/>
      </c>
      <c r="BG62" s="183" t="str">
        <f t="shared" si="6"/>
        <v/>
      </c>
      <c r="BH62" s="183" t="str">
        <f t="shared" si="6"/>
        <v/>
      </c>
      <c r="BI62" s="183" t="str">
        <f t="shared" si="6"/>
        <v/>
      </c>
      <c r="BJ62" s="183" t="str">
        <f t="shared" si="6"/>
        <v/>
      </c>
    </row>
    <row r="63" spans="1:64" hidden="1" x14ac:dyDescent="0.2">
      <c r="A63" s="14"/>
      <c r="C63" s="288" t="s">
        <v>520</v>
      </c>
      <c r="D63" s="289" t="s">
        <v>529</v>
      </c>
      <c r="E63" s="244" t="s">
        <v>24</v>
      </c>
      <c r="G63" s="106">
        <v>50</v>
      </c>
      <c r="H63" s="106">
        <v>50</v>
      </c>
      <c r="L63" s="249" t="s">
        <v>506</v>
      </c>
      <c r="M63" s="183" t="str">
        <f t="shared" ref="M63:O63" si="7">IFERROR(IF(M60&lt;&gt;"WALKIN",VLOOKUP(M60,$C$63:$E$76,2,0) &amp; IF(AND(M60&lt;&gt;"SILO",M60&lt;&gt;"PORTAL DE SELAMENTO",M60&lt;&gt;"SECCIONAL"),SUBSTITUTE(MID(M8,1,SEARCH(" ",M8,1)-1),"STEPIN","PKE") &amp; IF(M61="RESFRIADOS","  sem aquecimento"," com aquecimento") &amp; IF(RIGHT(M60,1)="T",VLOOKUP(M60,$C$63:$E$76,3,0),"."),IF(M60="SECCIONAL"," " &amp;MID(M8,11,7)&amp;".","")),M62),"")</f>
        <v/>
      </c>
      <c r="N63" s="183" t="str">
        <f t="shared" si="7"/>
        <v/>
      </c>
      <c r="O63" s="183" t="str">
        <f t="shared" si="7"/>
        <v/>
      </c>
      <c r="P63" s="183" t="str">
        <f>IFERROR(IF(P60&lt;&gt;"WALKIN",VLOOKUP(P60,$C$63:$E$76,2,0) &amp; IF(AND(P60&lt;&gt;"SILO",P60&lt;&gt;"PORTAL DE SELAMENTO",P60&lt;&gt;"SECCIONAL"),SUBSTITUTE(MID(P8,1,SEARCH(" ",P8,1)-1),"STEPIN","PKE") &amp; IF(P61="RESFRIADOS","  sem aquecimento"," com aquecimento") &amp; IF(RIGHT(P60,1)="T",VLOOKUP(P60,$C$63:$E$76,3,0),"."),IF(P60="SECCIONAL"," " &amp;MID(P8,11,7)&amp;".","")),P62),"")</f>
        <v/>
      </c>
      <c r="Q63" s="183" t="str">
        <f t="shared" ref="Q63:BJ63" si="8">IFERROR(IF(Q60&lt;&gt;"WALKIN",VLOOKUP(Q60,$C$63:$E$76,2,0) &amp; IF(AND(Q60&lt;&gt;"SILO",Q60&lt;&gt;"PORTAL DE SELAMENTO",Q60&lt;&gt;"SECCIONAL"),SUBSTITUTE(MID(Q8,1,SEARCH(" ",Q8,1)-1),"STEPIN","PKE") &amp; IF(Q61="RESFRIADOS","  sem aquecimento"," com aquecimento") &amp; IF(RIGHT(Q60,1)="T",VLOOKUP(Q60,$C$63:$E$76,3,0),"."),IF(Q60="SECCIONAL"," " &amp;MID(Q8,11,7)&amp;".","")),Q62),"")</f>
        <v/>
      </c>
      <c r="R63" s="183" t="str">
        <f t="shared" si="8"/>
        <v/>
      </c>
      <c r="S63" s="183" t="str">
        <f t="shared" si="8"/>
        <v/>
      </c>
      <c r="T63" s="183" t="str">
        <f t="shared" si="8"/>
        <v/>
      </c>
      <c r="U63" s="183" t="str">
        <f t="shared" si="8"/>
        <v/>
      </c>
      <c r="V63" s="183" t="str">
        <f t="shared" si="8"/>
        <v/>
      </c>
      <c r="W63" s="183" t="str">
        <f t="shared" si="8"/>
        <v/>
      </c>
      <c r="X63" s="183" t="str">
        <f t="shared" si="8"/>
        <v/>
      </c>
      <c r="Y63" s="183" t="str">
        <f t="shared" si="8"/>
        <v/>
      </c>
      <c r="Z63" s="183" t="str">
        <f t="shared" si="8"/>
        <v/>
      </c>
      <c r="AA63" s="183" t="str">
        <f t="shared" si="8"/>
        <v/>
      </c>
      <c r="AB63" s="183" t="str">
        <f t="shared" si="8"/>
        <v/>
      </c>
      <c r="AC63" s="183" t="str">
        <f t="shared" si="8"/>
        <v/>
      </c>
      <c r="AD63" s="183" t="str">
        <f t="shared" si="8"/>
        <v/>
      </c>
      <c r="AE63" s="183" t="str">
        <f t="shared" si="8"/>
        <v/>
      </c>
      <c r="AF63" s="183" t="str">
        <f t="shared" si="8"/>
        <v/>
      </c>
      <c r="AG63" s="183" t="str">
        <f t="shared" si="8"/>
        <v/>
      </c>
      <c r="AH63" s="183" t="str">
        <f t="shared" si="8"/>
        <v/>
      </c>
      <c r="AI63" s="183" t="str">
        <f t="shared" si="8"/>
        <v/>
      </c>
      <c r="AJ63" s="183" t="str">
        <f t="shared" si="8"/>
        <v/>
      </c>
      <c r="AK63" s="183" t="str">
        <f t="shared" si="8"/>
        <v/>
      </c>
      <c r="AL63" s="183" t="str">
        <f t="shared" si="8"/>
        <v/>
      </c>
      <c r="AM63" s="183" t="str">
        <f t="shared" si="8"/>
        <v/>
      </c>
      <c r="AN63" s="183" t="str">
        <f t="shared" si="8"/>
        <v/>
      </c>
      <c r="AO63" s="183" t="str">
        <f t="shared" si="8"/>
        <v/>
      </c>
      <c r="AP63" s="183" t="str">
        <f t="shared" si="8"/>
        <v/>
      </c>
      <c r="AQ63" s="183" t="str">
        <f t="shared" si="8"/>
        <v/>
      </c>
      <c r="AR63" s="183" t="str">
        <f t="shared" si="8"/>
        <v/>
      </c>
      <c r="AS63" s="183" t="str">
        <f t="shared" si="8"/>
        <v/>
      </c>
      <c r="AT63" s="183" t="str">
        <f t="shared" si="8"/>
        <v/>
      </c>
      <c r="AU63" s="183" t="str">
        <f t="shared" si="8"/>
        <v/>
      </c>
      <c r="AV63" s="183" t="str">
        <f t="shared" si="8"/>
        <v/>
      </c>
      <c r="AW63" s="183" t="str">
        <f t="shared" si="8"/>
        <v/>
      </c>
      <c r="AX63" s="183" t="str">
        <f t="shared" si="8"/>
        <v/>
      </c>
      <c r="AY63" s="183" t="str">
        <f t="shared" si="8"/>
        <v/>
      </c>
      <c r="AZ63" s="183" t="str">
        <f t="shared" si="8"/>
        <v/>
      </c>
      <c r="BA63" s="183" t="str">
        <f t="shared" si="8"/>
        <v/>
      </c>
      <c r="BB63" s="183" t="str">
        <f t="shared" si="8"/>
        <v/>
      </c>
      <c r="BC63" s="183" t="str">
        <f t="shared" si="8"/>
        <v/>
      </c>
      <c r="BD63" s="183" t="str">
        <f t="shared" si="8"/>
        <v/>
      </c>
      <c r="BE63" s="183" t="str">
        <f t="shared" si="8"/>
        <v/>
      </c>
      <c r="BF63" s="183" t="str">
        <f t="shared" si="8"/>
        <v/>
      </c>
      <c r="BG63" s="183" t="str">
        <f t="shared" si="8"/>
        <v/>
      </c>
      <c r="BH63" s="183" t="str">
        <f t="shared" si="8"/>
        <v/>
      </c>
      <c r="BI63" s="183" t="str">
        <f t="shared" si="8"/>
        <v/>
      </c>
      <c r="BJ63" s="183" t="str">
        <f t="shared" si="8"/>
        <v/>
      </c>
      <c r="BL63" s="236"/>
    </row>
    <row r="64" spans="1:64" hidden="1" x14ac:dyDescent="0.2">
      <c r="A64" s="14"/>
      <c r="C64" s="288" t="s">
        <v>90</v>
      </c>
      <c r="D64" s="289" t="s">
        <v>482</v>
      </c>
      <c r="E64" s="244" t="s">
        <v>24</v>
      </c>
      <c r="G64" s="106">
        <v>60</v>
      </c>
      <c r="H64" s="106">
        <v>60</v>
      </c>
      <c r="L64" s="249" t="s">
        <v>505</v>
      </c>
      <c r="M64" s="183">
        <f t="shared" ref="M64:AR64" si="9">SUM(M9:M58)</f>
        <v>0</v>
      </c>
      <c r="N64" s="183">
        <f t="shared" si="9"/>
        <v>0</v>
      </c>
      <c r="O64" s="183">
        <f t="shared" si="9"/>
        <v>0</v>
      </c>
      <c r="P64" s="183">
        <f t="shared" si="9"/>
        <v>0</v>
      </c>
      <c r="Q64" s="183">
        <f t="shared" si="9"/>
        <v>0</v>
      </c>
      <c r="R64" s="183">
        <f t="shared" si="9"/>
        <v>0</v>
      </c>
      <c r="S64" s="183">
        <f t="shared" si="9"/>
        <v>0</v>
      </c>
      <c r="T64" s="183">
        <f t="shared" si="9"/>
        <v>0</v>
      </c>
      <c r="U64" s="183">
        <f t="shared" si="9"/>
        <v>0</v>
      </c>
      <c r="V64" s="183">
        <f t="shared" si="9"/>
        <v>0</v>
      </c>
      <c r="W64" s="183">
        <f t="shared" si="9"/>
        <v>0</v>
      </c>
      <c r="X64" s="183">
        <f t="shared" si="9"/>
        <v>0</v>
      </c>
      <c r="Y64" s="183">
        <f t="shared" si="9"/>
        <v>0</v>
      </c>
      <c r="Z64" s="183">
        <f t="shared" si="9"/>
        <v>0</v>
      </c>
      <c r="AA64" s="183">
        <f t="shared" si="9"/>
        <v>0</v>
      </c>
      <c r="AB64" s="183">
        <f t="shared" si="9"/>
        <v>0</v>
      </c>
      <c r="AC64" s="183">
        <f t="shared" si="9"/>
        <v>0</v>
      </c>
      <c r="AD64" s="183">
        <f t="shared" si="9"/>
        <v>0</v>
      </c>
      <c r="AE64" s="183">
        <f t="shared" si="9"/>
        <v>0</v>
      </c>
      <c r="AF64" s="183">
        <f t="shared" si="9"/>
        <v>0</v>
      </c>
      <c r="AG64" s="183">
        <f t="shared" si="9"/>
        <v>0</v>
      </c>
      <c r="AH64" s="183">
        <f t="shared" si="9"/>
        <v>0</v>
      </c>
      <c r="AI64" s="183">
        <f t="shared" si="9"/>
        <v>0</v>
      </c>
      <c r="AJ64" s="183">
        <f t="shared" si="9"/>
        <v>0</v>
      </c>
      <c r="AK64" s="183">
        <f t="shared" si="9"/>
        <v>0</v>
      </c>
      <c r="AL64" s="183">
        <f t="shared" si="9"/>
        <v>0</v>
      </c>
      <c r="AM64" s="183">
        <f t="shared" si="9"/>
        <v>0</v>
      </c>
      <c r="AN64" s="183">
        <f t="shared" si="9"/>
        <v>0</v>
      </c>
      <c r="AO64" s="183">
        <f t="shared" si="9"/>
        <v>0</v>
      </c>
      <c r="AP64" s="183">
        <f t="shared" si="9"/>
        <v>0</v>
      </c>
      <c r="AQ64" s="183">
        <f t="shared" si="9"/>
        <v>0</v>
      </c>
      <c r="AR64" s="183">
        <f t="shared" si="9"/>
        <v>0</v>
      </c>
      <c r="AS64" s="183">
        <f t="shared" ref="AS64:BJ64" si="10">SUM(AS9:AS58)</f>
        <v>0</v>
      </c>
      <c r="AT64" s="183">
        <f t="shared" si="10"/>
        <v>0</v>
      </c>
      <c r="AU64" s="183">
        <f t="shared" si="10"/>
        <v>0</v>
      </c>
      <c r="AV64" s="183">
        <f t="shared" si="10"/>
        <v>0</v>
      </c>
      <c r="AW64" s="183">
        <f t="shared" si="10"/>
        <v>0</v>
      </c>
      <c r="AX64" s="183">
        <f t="shared" si="10"/>
        <v>0</v>
      </c>
      <c r="AY64" s="183">
        <f t="shared" si="10"/>
        <v>0</v>
      </c>
      <c r="AZ64" s="183">
        <f t="shared" si="10"/>
        <v>0</v>
      </c>
      <c r="BA64" s="183">
        <f t="shared" si="10"/>
        <v>0</v>
      </c>
      <c r="BB64" s="183">
        <f t="shared" si="10"/>
        <v>0</v>
      </c>
      <c r="BC64" s="183">
        <f t="shared" si="10"/>
        <v>0</v>
      </c>
      <c r="BD64" s="183">
        <f t="shared" si="10"/>
        <v>0</v>
      </c>
      <c r="BE64" s="183">
        <f t="shared" si="10"/>
        <v>0</v>
      </c>
      <c r="BF64" s="183">
        <f t="shared" si="10"/>
        <v>0</v>
      </c>
      <c r="BG64" s="183">
        <f t="shared" si="10"/>
        <v>0</v>
      </c>
      <c r="BH64" s="183">
        <f t="shared" si="10"/>
        <v>0</v>
      </c>
      <c r="BI64" s="183">
        <f t="shared" si="10"/>
        <v>0</v>
      </c>
      <c r="BJ64" s="183">
        <f t="shared" si="10"/>
        <v>0</v>
      </c>
      <c r="BL64" s="236"/>
    </row>
    <row r="65" spans="1:64" hidden="1" x14ac:dyDescent="0.2">
      <c r="A65" s="14"/>
      <c r="C65" s="288" t="s">
        <v>521</v>
      </c>
      <c r="D65" s="289" t="s">
        <v>530</v>
      </c>
      <c r="E65" s="244" t="s">
        <v>24</v>
      </c>
      <c r="G65" s="106">
        <v>70</v>
      </c>
      <c r="H65" s="106">
        <v>70</v>
      </c>
      <c r="L65" s="249" t="s">
        <v>507</v>
      </c>
      <c r="M65" s="183" t="str">
        <f t="array" ref="M65">IFERROR(JUNTARTEXTO(", ",TRUE,IF(M9:M59&gt;0,M9:M59&amp;"x "&amp;$L$9:$L$59,"")),"")</f>
        <v/>
      </c>
      <c r="N65" s="183" t="str">
        <f t="array" ref="N65">IFERROR(JUNTARTEXTO(", ",TRUE,IF(N9:N59&gt;0,N9:N59&amp;"x "&amp;$L$9:$L$59,"")),"")</f>
        <v/>
      </c>
      <c r="O65" s="183" t="str">
        <f t="array" ref="O65">IFERROR(JUNTARTEXTO(", ",TRUE,IF(O9:O59&gt;0,O9:O59&amp;"x "&amp;$L$9:$L$59,"")),"")</f>
        <v/>
      </c>
      <c r="P65" s="183" t="str">
        <f t="array" ref="P65">IFERROR(JUNTARTEXTO(", ",TRUE,IF(P9:P59&gt;0,P9:P59&amp;"x "&amp;$L$9:$L$59,"")),"")</f>
        <v/>
      </c>
      <c r="Q65" s="183" t="str">
        <f t="array" ref="Q65">IFERROR(JUNTARTEXTO(", ",TRUE,IF(Q9:Q59&gt;0,Q9:Q59&amp;"x "&amp;$L$9:$L$59,"")),"")</f>
        <v/>
      </c>
      <c r="R65" s="183" t="str">
        <f t="array" ref="R65">IFERROR(JUNTARTEXTO(", ",TRUE,IF(R9:R59&gt;0,R9:R59&amp;"x "&amp;$L$9:$L$59,"")),"")</f>
        <v/>
      </c>
      <c r="S65" s="183" t="str">
        <f t="array" ref="S65">IFERROR(JUNTARTEXTO(", ",TRUE,IF(S9:S59&gt;0,S9:S59&amp;"x "&amp;$L$9:$L$59,"")),"")</f>
        <v/>
      </c>
      <c r="T65" s="183" t="str">
        <f t="array" ref="T65">IFERROR(JUNTARTEXTO(", ",TRUE,IF(T9:T59&gt;0,T9:T59&amp;"x "&amp;$L$9:$L$59,"")),"")</f>
        <v/>
      </c>
      <c r="U65" s="183" t="str">
        <f t="array" ref="U65">IFERROR(JUNTARTEXTO(", ",TRUE,IF(U9:U59&gt;0,U9:U59&amp;"x "&amp;$L$9:$L$59,"")),"")</f>
        <v/>
      </c>
      <c r="V65" s="183" t="str">
        <f t="array" ref="V65">IFERROR(JUNTARTEXTO(", ",TRUE,IF(V9:V59&gt;0,V9:V59&amp;"x "&amp;$L$9:$L$59,"")),"")</f>
        <v/>
      </c>
      <c r="W65" s="183" t="str">
        <f t="array" ref="W65">IFERROR(JUNTARTEXTO(", ",TRUE,IF(W9:W59&gt;0,W9:W59&amp;"x "&amp;$L$9:$L$59,"")),"")</f>
        <v/>
      </c>
      <c r="X65" s="183" t="str">
        <f t="array" ref="X65">IFERROR(JUNTARTEXTO(", ",TRUE,IF(X9:X59&gt;0,X9:X59&amp;"x "&amp;$L$9:$L$59,"")),"")</f>
        <v/>
      </c>
      <c r="Y65" s="183" t="str">
        <f t="array" ref="Y65">IFERROR(JUNTARTEXTO(", ",TRUE,IF(Y9:Y59&gt;0,Y9:Y59&amp;"x "&amp;$L$9:$L$59,"")),"")</f>
        <v/>
      </c>
      <c r="Z65" s="183" t="str">
        <f t="array" ref="Z65">IFERROR(JUNTARTEXTO(", ",TRUE,IF(Z9:Z59&gt;0,Z9:Z59&amp;"x "&amp;$L$9:$L$59,"")),"")</f>
        <v/>
      </c>
      <c r="AA65" s="183" t="str">
        <f t="array" ref="AA65">IFERROR(JUNTARTEXTO(", ",TRUE,IF(AA9:AA59&gt;0,AA9:AA59&amp;"x "&amp;$L$9:$L$59,"")),"")</f>
        <v/>
      </c>
      <c r="AB65" s="183" t="str">
        <f t="array" ref="AB65">IFERROR(JUNTARTEXTO(", ",TRUE,IF(AB9:AB59&gt;0,AB9:AB59&amp;"x "&amp;$L$9:$L$59,"")),"")</f>
        <v/>
      </c>
      <c r="AC65" s="183" t="str">
        <f t="array" ref="AC65">IFERROR(JUNTARTEXTO(", ",TRUE,IF(AC9:AC59&gt;0,AC9:AC59&amp;"x "&amp;$L$9:$L$59,"")),"")</f>
        <v/>
      </c>
      <c r="AD65" s="183" t="str">
        <f t="array" ref="AD65">IFERROR(JUNTARTEXTO(", ",TRUE,IF(AD9:AD59&gt;0,AD9:AD59&amp;"x "&amp;$L$9:$L$59,"")),"")</f>
        <v/>
      </c>
      <c r="AE65" s="183" t="str">
        <f t="array" ref="AE65">IFERROR(JUNTARTEXTO(", ",TRUE,IF(AE9:AE59&gt;0,AE9:AE59&amp;"x "&amp;$L$9:$L$59,"")),"")</f>
        <v/>
      </c>
      <c r="AF65" s="183" t="str">
        <f t="array" ref="AF65">IFERROR(JUNTARTEXTO(", ",TRUE,IF(AF9:AF59&gt;0,AF9:AF59&amp;"x "&amp;$L$9:$L$59,"")),"")</f>
        <v/>
      </c>
      <c r="AG65" s="183" t="str">
        <f t="array" ref="AG65">IFERROR(JUNTARTEXTO(", ",TRUE,IF(AG9:AG59&gt;0,AG9:AG59&amp;"x "&amp;$L$9:$L$59,"")),"")</f>
        <v/>
      </c>
      <c r="AH65" s="183" t="str">
        <f t="array" ref="AH65">IFERROR(JUNTARTEXTO(", ",TRUE,IF(AH9:AH59&gt;0,AH9:AH59&amp;"x "&amp;$L$9:$L$59,"")),"")</f>
        <v/>
      </c>
      <c r="AI65" s="183" t="str">
        <f t="array" ref="AI65">IFERROR(JUNTARTEXTO(", ",TRUE,IF(AI9:AI59&gt;0,AI9:AI59&amp;"x "&amp;$L$9:$L$59,"")),"")</f>
        <v/>
      </c>
      <c r="AJ65" s="183" t="str">
        <f t="array" ref="AJ65">IFERROR(JUNTARTEXTO(", ",TRUE,IF(AJ9:AJ59&gt;0,AJ9:AJ59&amp;"x "&amp;$L$9:$L$59,"")),"")</f>
        <v/>
      </c>
      <c r="AK65" s="183" t="str">
        <f t="array" ref="AK65">IFERROR(JUNTARTEXTO(", ",TRUE,IF(AK9:AK59&gt;0,AK9:AK59&amp;"x "&amp;$L$9:$L$59,"")),"")</f>
        <v/>
      </c>
      <c r="AL65" s="183" t="str">
        <f t="array" ref="AL65">IFERROR(JUNTARTEXTO(", ",TRUE,IF(AL9:AL59&gt;0,AL9:AL59&amp;"x "&amp;$L$9:$L$59,"")),"")</f>
        <v/>
      </c>
      <c r="AM65" s="183" t="str">
        <f t="array" ref="AM65">IFERROR(JUNTARTEXTO(", ",TRUE,IF(AM9:AM59&gt;0,AM9:AM59&amp;"x "&amp;$L$9:$L$59,"")),"")</f>
        <v/>
      </c>
      <c r="AN65" s="183" t="str">
        <f t="array" ref="AN65">IFERROR(JUNTARTEXTO(", ",TRUE,IF(AN9:AN59&gt;0,AN9:AN59&amp;"x "&amp;$L$9:$L$59,"")),"")</f>
        <v/>
      </c>
      <c r="AO65" s="183" t="str">
        <f t="array" ref="AO65">IFERROR(JUNTARTEXTO(", ",TRUE,IF(AO9:AO59&gt;0,AO9:AO59&amp;"x "&amp;$L$9:$L$59,"")),"")</f>
        <v/>
      </c>
      <c r="AP65" s="183" t="str">
        <f t="array" ref="AP65">IFERROR(JUNTARTEXTO(", ",TRUE,IF(AP9:AP59&gt;0,AP9:AP59&amp;"x "&amp;$L$9:$L$59,"")),"")</f>
        <v/>
      </c>
      <c r="AQ65" s="183" t="str">
        <f t="array" ref="AQ65">IFERROR(JUNTARTEXTO(", ",TRUE,IF(AQ9:AQ59&gt;0,AQ9:AQ59&amp;"x "&amp;$L$9:$L$59,"")),"")</f>
        <v/>
      </c>
      <c r="AR65" s="183" t="str">
        <f t="array" ref="AR65">IFERROR(JUNTARTEXTO(", ",TRUE,IF(AR9:AR59&gt;0,AR9:AR59&amp;"x "&amp;$L$9:$L$59,"")),"")</f>
        <v/>
      </c>
      <c r="AS65" s="183" t="str">
        <f t="array" ref="AS65">IFERROR(JUNTARTEXTO(", ",TRUE,IF(AS9:AS59&gt;0,AS9:AS59&amp;"x "&amp;$L$9:$L$59,"")),"")</f>
        <v/>
      </c>
      <c r="AT65" s="183" t="str">
        <f t="array" ref="AT65">IFERROR(JUNTARTEXTO(", ",TRUE,IF(AT9:AT59&gt;0,AT9:AT59&amp;"x "&amp;$L$9:$L$59,"")),"")</f>
        <v/>
      </c>
      <c r="AU65" s="183" t="str">
        <f t="array" ref="AU65">IFERROR(JUNTARTEXTO(", ",TRUE,IF(AU9:AU59&gt;0,AU9:AU59&amp;"x "&amp;$L$9:$L$59,"")),"")</f>
        <v/>
      </c>
      <c r="AV65" s="183" t="str">
        <f t="array" ref="AV65">IFERROR(JUNTARTEXTO(", ",TRUE,IF(AV9:AV59&gt;0,AV9:AV59&amp;"x "&amp;$L$9:$L$59,"")),"")</f>
        <v/>
      </c>
      <c r="AW65" s="183" t="str">
        <f t="array" ref="AW65">IFERROR(JUNTARTEXTO(", ",TRUE,IF(AW9:AW59&gt;0,AW9:AW59&amp;"x "&amp;$L$9:$L$59,"")),"")</f>
        <v/>
      </c>
      <c r="AX65" s="183" t="str">
        <f t="array" ref="AX65">IFERROR(JUNTARTEXTO(", ",TRUE,IF(AX9:AX59&gt;0,AX9:AX59&amp;"x "&amp;$L$9:$L$59,"")),"")</f>
        <v/>
      </c>
      <c r="AY65" s="183" t="str">
        <f t="array" ref="AY65">IFERROR(JUNTARTEXTO(", ",TRUE,IF(AY9:AY59&gt;0,AY9:AY59&amp;"x "&amp;$L$9:$L$59,"")),"")</f>
        <v/>
      </c>
      <c r="AZ65" s="183" t="str">
        <f t="array" ref="AZ65">IFERROR(JUNTARTEXTO(", ",TRUE,IF(AZ9:AZ59&gt;0,AZ9:AZ59&amp;"x "&amp;$L$9:$L$59,"")),"")</f>
        <v/>
      </c>
      <c r="BA65" s="183" t="str">
        <f t="array" ref="BA65">IFERROR(JUNTARTEXTO(", ",TRUE,IF(BA9:BA59&gt;0,BA9:BA59&amp;"x "&amp;$L$9:$L$59,"")),"")</f>
        <v/>
      </c>
      <c r="BB65" s="183" t="str">
        <f t="array" ref="BB65">IFERROR(JUNTARTEXTO(", ",TRUE,IF(BB9:BB59&gt;0,BB9:BB59&amp;"x "&amp;$L$9:$L$59,"")),"")</f>
        <v/>
      </c>
      <c r="BC65" s="183" t="str">
        <f t="array" ref="BC65">IFERROR(JUNTARTEXTO(", ",TRUE,IF(BC9:BC59&gt;0,BC9:BC59&amp;"x "&amp;$L$9:$L$59,"")),"")</f>
        <v/>
      </c>
      <c r="BD65" s="183" t="str">
        <f t="array" ref="BD65">IFERROR(JUNTARTEXTO(", ",TRUE,IF(BD9:BD59&gt;0,BD9:BD59&amp;"x "&amp;$L$9:$L$59,"")),"")</f>
        <v/>
      </c>
      <c r="BE65" s="183" t="str">
        <f t="array" ref="BE65">IFERROR(JUNTARTEXTO(", ",TRUE,IF(BE9:BE59&gt;0,BE9:BE59&amp;"x "&amp;$L$9:$L$59,"")),"")</f>
        <v/>
      </c>
      <c r="BF65" s="183" t="str">
        <f t="array" ref="BF65">IFERROR(JUNTARTEXTO(", ",TRUE,IF(BF9:BF59&gt;0,BF9:BF59&amp;"x "&amp;$L$9:$L$59,"")),"")</f>
        <v/>
      </c>
      <c r="BG65" s="183" t="str">
        <f t="array" ref="BG65">IFERROR(JUNTARTEXTO(", ",TRUE,IF(BG9:BG59&gt;0,BG9:BG59&amp;"x "&amp;$L$9:$L$59,"")),"")</f>
        <v/>
      </c>
      <c r="BH65" s="183" t="str">
        <f t="array" ref="BH65">IFERROR(JUNTARTEXTO(", ",TRUE,IF(BH9:BH59&gt;0,BH9:BH59&amp;"x "&amp;$L$9:$L$59,"")),"")</f>
        <v/>
      </c>
      <c r="BI65" s="183" t="str">
        <f t="array" ref="BI65">IFERROR(JUNTARTEXTO(", ",TRUE,IF(BI9:BI59&gt;0,BI9:BI59&amp;"x "&amp;$L$9:$L$59,"")),"")</f>
        <v/>
      </c>
      <c r="BJ65" s="183" t="str">
        <f t="array" ref="BJ65">IFERROR(JUNTARTEXTO(", ",TRUE,IF(BJ9:BJ59&gt;0,BJ9:BJ59&amp;"x "&amp;$L$9:$L$59,"")),"")</f>
        <v/>
      </c>
      <c r="BL65" s="236"/>
    </row>
    <row r="66" spans="1:64" hidden="1" x14ac:dyDescent="0.2">
      <c r="A66" s="14"/>
      <c r="C66" s="288" t="s">
        <v>522</v>
      </c>
      <c r="D66" s="289" t="s">
        <v>528</v>
      </c>
      <c r="E66" s="244" t="s">
        <v>24</v>
      </c>
      <c r="G66" s="106">
        <v>74</v>
      </c>
      <c r="H66" s="106">
        <v>97</v>
      </c>
      <c r="BL66" s="236"/>
    </row>
    <row r="67" spans="1:64" hidden="1" x14ac:dyDescent="0.2">
      <c r="A67" s="14"/>
      <c r="C67" s="288" t="s">
        <v>523</v>
      </c>
      <c r="D67" s="289" t="s">
        <v>529</v>
      </c>
      <c r="E67" s="244" t="s">
        <v>483</v>
      </c>
      <c r="G67" s="106">
        <v>80</v>
      </c>
      <c r="H67" s="106">
        <v>200</v>
      </c>
      <c r="T67" s="236"/>
      <c r="BL67" s="236"/>
    </row>
    <row r="68" spans="1:64" hidden="1" x14ac:dyDescent="0.2">
      <c r="A68" s="17"/>
      <c r="C68" s="288" t="s">
        <v>91</v>
      </c>
      <c r="D68" s="289" t="s">
        <v>482</v>
      </c>
      <c r="E68" s="106" t="s">
        <v>483</v>
      </c>
      <c r="G68" s="106">
        <v>85</v>
      </c>
      <c r="H68" s="106">
        <v>220</v>
      </c>
      <c r="T68" s="236"/>
      <c r="BL68" s="236"/>
    </row>
    <row r="69" spans="1:64" hidden="1" x14ac:dyDescent="0.2">
      <c r="A69" s="17"/>
      <c r="C69" s="288" t="s">
        <v>524</v>
      </c>
      <c r="D69" s="289" t="s">
        <v>530</v>
      </c>
      <c r="E69" s="106" t="s">
        <v>483</v>
      </c>
      <c r="G69" s="106">
        <v>100</v>
      </c>
      <c r="H69" s="106">
        <v>240</v>
      </c>
      <c r="BL69" s="236"/>
    </row>
    <row r="70" spans="1:64" hidden="1" x14ac:dyDescent="0.2">
      <c r="A70" s="17"/>
      <c r="C70" s="288" t="s">
        <v>525</v>
      </c>
      <c r="D70" s="289" t="s">
        <v>528</v>
      </c>
      <c r="E70" s="106" t="s">
        <v>483</v>
      </c>
      <c r="G70" s="106">
        <v>120</v>
      </c>
      <c r="H70" s="106">
        <v>260</v>
      </c>
    </row>
    <row r="71" spans="1:64" hidden="1" x14ac:dyDescent="0.2">
      <c r="A71" s="17"/>
      <c r="C71" s="284" t="s">
        <v>92</v>
      </c>
      <c r="D71" s="285"/>
      <c r="E71" s="106"/>
      <c r="G71" s="106">
        <v>140</v>
      </c>
      <c r="H71" s="106">
        <v>280</v>
      </c>
    </row>
    <row r="72" spans="1:64" hidden="1" x14ac:dyDescent="0.2">
      <c r="A72" s="17"/>
      <c r="C72" s="284" t="s">
        <v>39</v>
      </c>
      <c r="D72" s="286" t="s">
        <v>289</v>
      </c>
      <c r="E72" s="106" t="s">
        <v>24</v>
      </c>
      <c r="G72" s="106">
        <v>160</v>
      </c>
      <c r="H72" s="106">
        <v>300</v>
      </c>
    </row>
    <row r="73" spans="1:64" hidden="1" x14ac:dyDescent="0.2">
      <c r="A73" s="17"/>
      <c r="C73" s="284" t="s">
        <v>288</v>
      </c>
      <c r="D73" s="285" t="s">
        <v>515</v>
      </c>
      <c r="E73" s="244"/>
      <c r="G73" s="106">
        <v>200</v>
      </c>
      <c r="H73" s="106">
        <v>340</v>
      </c>
      <c r="J73" s="248"/>
    </row>
    <row r="74" spans="1:64" hidden="1" x14ac:dyDescent="0.2">
      <c r="A74" s="17"/>
      <c r="C74" s="284" t="s">
        <v>290</v>
      </c>
      <c r="D74" s="285" t="s">
        <v>514</v>
      </c>
      <c r="E74" s="106"/>
      <c r="G74" s="106">
        <v>220</v>
      </c>
      <c r="H74" s="106"/>
    </row>
    <row r="75" spans="1:64" hidden="1" x14ac:dyDescent="0.2">
      <c r="A75" s="17"/>
      <c r="B75" s="17"/>
      <c r="C75" s="287" t="s">
        <v>499</v>
      </c>
      <c r="D75" s="285" t="s">
        <v>500</v>
      </c>
      <c r="E75" s="106"/>
      <c r="G75" s="106">
        <v>791</v>
      </c>
      <c r="H75" s="106">
        <v>1653</v>
      </c>
      <c r="I75" s="248"/>
    </row>
    <row r="76" spans="1:64" hidden="1" x14ac:dyDescent="0.2">
      <c r="A76" s="17"/>
      <c r="B76" s="17"/>
      <c r="C76" s="287" t="s">
        <v>513</v>
      </c>
      <c r="D76" s="285" t="s">
        <v>516</v>
      </c>
      <c r="E76" s="106"/>
      <c r="G76" s="106">
        <v>1564</v>
      </c>
      <c r="H76" s="106">
        <v>1948</v>
      </c>
      <c r="I76" s="248"/>
      <c r="K76" s="19"/>
    </row>
    <row r="77" spans="1:64" hidden="1" x14ac:dyDescent="0.2">
      <c r="A77" s="17"/>
      <c r="B77" s="17"/>
      <c r="C77" s="235"/>
      <c r="D77" s="107"/>
      <c r="E77" s="106"/>
      <c r="G77" s="106">
        <v>2337</v>
      </c>
      <c r="H77" s="106"/>
      <c r="I77" s="248"/>
      <c r="K77" s="19"/>
    </row>
    <row r="78" spans="1:64" hidden="1" x14ac:dyDescent="0.2">
      <c r="C78" s="235"/>
      <c r="D78" s="107"/>
      <c r="E78" s="106"/>
      <c r="G78" s="106">
        <v>3110</v>
      </c>
      <c r="H78" s="106"/>
      <c r="I78" s="248"/>
    </row>
    <row r="79" spans="1:64" hidden="1" x14ac:dyDescent="0.2"/>
    <row r="80" spans="1:64" hidden="1" x14ac:dyDescent="0.2">
      <c r="G80" s="355" t="s">
        <v>501</v>
      </c>
      <c r="H80" s="356"/>
    </row>
    <row r="81" spans="7:8" hidden="1" x14ac:dyDescent="0.2">
      <c r="G81" s="244" t="s">
        <v>502</v>
      </c>
      <c r="H81" s="244" t="s">
        <v>503</v>
      </c>
    </row>
    <row r="82" spans="7:8" hidden="1" x14ac:dyDescent="0.2">
      <c r="G82" s="106">
        <v>1653</v>
      </c>
      <c r="H82" s="106">
        <v>1605</v>
      </c>
    </row>
    <row r="83" spans="7:8" hidden="1" x14ac:dyDescent="0.2">
      <c r="G83" s="106">
        <v>1948</v>
      </c>
      <c r="H83" s="106">
        <v>1900</v>
      </c>
    </row>
    <row r="88" spans="7:8" x14ac:dyDescent="0.2">
      <c r="G88" s="248"/>
    </row>
  </sheetData>
  <dataConsolidate/>
  <mergeCells count="16">
    <mergeCell ref="G80:H80"/>
    <mergeCell ref="C61:H61"/>
    <mergeCell ref="I7:J8"/>
    <mergeCell ref="L7:BJ7"/>
    <mergeCell ref="C2:E2"/>
    <mergeCell ref="C3:E3"/>
    <mergeCell ref="C4:E4"/>
    <mergeCell ref="G2:H2"/>
    <mergeCell ref="G3:H3"/>
    <mergeCell ref="H7:H8"/>
    <mergeCell ref="B6:H6"/>
    <mergeCell ref="B7:B8"/>
    <mergeCell ref="C7:C8"/>
    <mergeCell ref="D7:D8"/>
    <mergeCell ref="F7:G7"/>
    <mergeCell ref="E7:E8"/>
  </mergeCells>
  <phoneticPr fontId="0" type="noConversion"/>
  <dataValidations disablePrompts="1" count="4">
    <dataValidation type="list" errorStyle="warning" allowBlank="1" showInputMessage="1" showErrorMessage="1" errorTitle="Erro de Função" error="As funções existentes são RESFRIADOS e CONGELADOS." sqref="E9:E58" xr:uid="{00000000-0002-0000-0400-000000000000}">
      <formula1>"RESFRIADOS,CONGELADOS"</formula1>
    </dataValidation>
    <dataValidation type="list" allowBlank="1" showInputMessage="1" showErrorMessage="1" sqref="G59:G60 D77:D78" xr:uid="{00000000-0002-0000-0400-000001000000}">
      <formula1>#REF!</formula1>
    </dataValidation>
    <dataValidation type="list" allowBlank="1" showInputMessage="1" showErrorMessage="1" sqref="D9:D53" xr:uid="{00000000-0002-0000-0400-000002000000}">
      <formula1>$C$63:$C$76</formula1>
    </dataValidation>
    <dataValidation type="list" allowBlank="1" showInputMessage="1" showErrorMessage="1" sqref="H76:H78 F59:F60" xr:uid="{00000000-0002-0000-0400-000003000000}">
      <formula1>$Q$63:$Q$78</formula1>
    </dataValidation>
  </dataValidations>
  <pageMargins left="0.78740157480314965" right="0.78740157480314965" top="0.98425196850393704" bottom="0.98425196850393704" header="0.51181102362204722" footer="0.51181102362204722"/>
  <pageSetup scale="6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>
    <pageSetUpPr fitToPage="1"/>
  </sheetPr>
  <dimension ref="B1:BL104"/>
  <sheetViews>
    <sheetView showGridLines="0" zoomScale="80" zoomScaleNormal="80" workbookViewId="0">
      <pane ySplit="8" topLeftCell="A9" activePane="bottomLeft" state="frozen"/>
      <selection pane="bottomLeft"/>
    </sheetView>
  </sheetViews>
  <sheetFormatPr defaultColWidth="9.140625" defaultRowHeight="12.75" x14ac:dyDescent="0.2"/>
  <cols>
    <col min="1" max="1" width="2.42578125" style="115" customWidth="1"/>
    <col min="2" max="2" width="10.7109375" style="14" bestFit="1" customWidth="1"/>
    <col min="3" max="3" width="24.85546875" style="14" bestFit="1" customWidth="1"/>
    <col min="4" max="4" width="9.42578125" style="14" bestFit="1" customWidth="1"/>
    <col min="5" max="5" width="10.28515625" style="14" bestFit="1" customWidth="1"/>
    <col min="6" max="6" width="10.42578125" style="14" customWidth="1"/>
    <col min="7" max="7" width="9.140625" style="14" customWidth="1"/>
    <col min="8" max="8" width="9.5703125" style="14" customWidth="1"/>
    <col min="9" max="9" width="13.85546875" style="14" customWidth="1"/>
    <col min="10" max="10" width="20.140625" style="14" customWidth="1"/>
    <col min="11" max="11" width="26.5703125" style="14" hidden="1" customWidth="1"/>
    <col min="12" max="12" width="31" style="14" hidden="1" customWidth="1"/>
    <col min="13" max="13" width="12.42578125" style="14" hidden="1" customWidth="1"/>
    <col min="14" max="14" width="21.28515625" style="14" hidden="1" customWidth="1"/>
    <col min="15" max="15" width="8.7109375" style="14" hidden="1" customWidth="1"/>
    <col min="16" max="64" width="9.140625" style="115" hidden="1" customWidth="1"/>
    <col min="65" max="16384" width="9.140625" style="115"/>
  </cols>
  <sheetData>
    <row r="1" spans="2:64" x14ac:dyDescent="0.2">
      <c r="J1" s="55"/>
      <c r="K1" s="55"/>
      <c r="L1" s="55"/>
    </row>
    <row r="2" spans="2:64" s="19" customFormat="1" x14ac:dyDescent="0.2">
      <c r="B2" s="56" t="s">
        <v>217</v>
      </c>
      <c r="C2" s="384">
        <f>'PAREDE-TETO'!D2</f>
        <v>0</v>
      </c>
      <c r="D2" s="384"/>
      <c r="E2" s="384"/>
      <c r="F2" s="384"/>
      <c r="G2" s="384"/>
      <c r="H2" s="56" t="s">
        <v>198</v>
      </c>
      <c r="I2" s="247">
        <f>'PAREDE-TETO'!I2</f>
        <v>0</v>
      </c>
      <c r="J2" s="55"/>
      <c r="K2" s="55"/>
      <c r="L2" s="55"/>
    </row>
    <row r="3" spans="2:64" s="19" customFormat="1" x14ac:dyDescent="0.2">
      <c r="B3" s="56" t="s">
        <v>216</v>
      </c>
      <c r="C3" s="385">
        <f>'PAREDE-TETO'!D3</f>
        <v>0</v>
      </c>
      <c r="D3" s="386"/>
      <c r="E3" s="386"/>
      <c r="F3" s="386"/>
      <c r="G3" s="387"/>
      <c r="H3" s="56" t="s">
        <v>215</v>
      </c>
      <c r="I3" s="247">
        <f>'PAREDE-TETO'!I3</f>
        <v>0</v>
      </c>
      <c r="J3" s="55"/>
      <c r="K3" s="55"/>
      <c r="L3" s="55"/>
    </row>
    <row r="4" spans="2:64" s="19" customFormat="1" x14ac:dyDescent="0.2">
      <c r="B4" s="56" t="s">
        <v>214</v>
      </c>
      <c r="C4" s="385">
        <f>'PAREDE-TETO'!D4</f>
        <v>0</v>
      </c>
      <c r="D4" s="386"/>
      <c r="E4" s="386"/>
      <c r="F4" s="386"/>
      <c r="G4" s="387"/>
      <c r="H4" s="14"/>
      <c r="I4" s="14"/>
      <c r="J4" s="55"/>
      <c r="K4" s="55"/>
      <c r="L4" s="55"/>
    </row>
    <row r="5" spans="2:64" s="19" customFormat="1" ht="13.5" thickBot="1" x14ac:dyDescent="0.25"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2:64" ht="13.5" customHeight="1" thickBot="1" x14ac:dyDescent="0.25">
      <c r="B6" s="373" t="s">
        <v>497</v>
      </c>
      <c r="C6" s="374"/>
      <c r="D6" s="374"/>
      <c r="E6" s="374"/>
      <c r="F6" s="374"/>
      <c r="G6" s="374"/>
      <c r="H6" s="374"/>
      <c r="I6" s="374"/>
      <c r="J6" s="375"/>
      <c r="K6" s="241"/>
    </row>
    <row r="7" spans="2:64" s="22" customFormat="1" ht="12.75" customHeight="1" x14ac:dyDescent="0.2">
      <c r="B7" s="302" t="s">
        <v>28</v>
      </c>
      <c r="C7" s="342" t="s">
        <v>93</v>
      </c>
      <c r="D7" s="338" t="s">
        <v>30</v>
      </c>
      <c r="E7" s="338" t="s">
        <v>30</v>
      </c>
      <c r="F7" s="293" t="s">
        <v>32</v>
      </c>
      <c r="G7" s="293"/>
      <c r="H7" s="376" t="s">
        <v>231</v>
      </c>
      <c r="I7" s="377"/>
      <c r="J7" s="340" t="s">
        <v>33</v>
      </c>
      <c r="K7" s="380" t="s">
        <v>467</v>
      </c>
      <c r="L7" s="381"/>
      <c r="N7" s="364" t="s">
        <v>490</v>
      </c>
      <c r="O7" s="364"/>
      <c r="P7" s="364"/>
      <c r="Q7" s="364"/>
      <c r="R7" s="364"/>
      <c r="S7" s="364"/>
      <c r="T7" s="364"/>
      <c r="U7" s="364"/>
      <c r="V7" s="364"/>
      <c r="W7" s="364"/>
      <c r="X7" s="364"/>
      <c r="Y7" s="364"/>
      <c r="Z7" s="364"/>
      <c r="AA7" s="364"/>
      <c r="AB7" s="364"/>
      <c r="AC7" s="364"/>
      <c r="AD7" s="364"/>
      <c r="AE7" s="364"/>
      <c r="AF7" s="364"/>
      <c r="AG7" s="364"/>
      <c r="AH7" s="364"/>
      <c r="AI7" s="364"/>
      <c r="AJ7" s="364"/>
      <c r="AK7" s="364"/>
      <c r="AL7" s="364"/>
      <c r="AM7" s="364"/>
      <c r="AN7" s="364"/>
      <c r="AO7" s="364"/>
      <c r="AP7" s="364"/>
      <c r="AQ7" s="364"/>
      <c r="AR7" s="364"/>
      <c r="AS7" s="364"/>
      <c r="AT7" s="364"/>
      <c r="AU7" s="364"/>
      <c r="AV7" s="364"/>
      <c r="AW7" s="364"/>
      <c r="AX7" s="364"/>
      <c r="AY7" s="364"/>
      <c r="AZ7" s="364"/>
      <c r="BA7" s="364"/>
      <c r="BB7" s="364"/>
      <c r="BC7" s="364"/>
      <c r="BD7" s="364"/>
      <c r="BE7" s="364"/>
      <c r="BF7" s="364"/>
      <c r="BG7" s="364"/>
      <c r="BH7" s="364"/>
      <c r="BI7" s="364"/>
      <c r="BJ7" s="364"/>
      <c r="BK7" s="364"/>
      <c r="BL7" s="364"/>
    </row>
    <row r="8" spans="2:64" s="22" customFormat="1" x14ac:dyDescent="0.2">
      <c r="B8" s="303"/>
      <c r="C8" s="343"/>
      <c r="D8" s="339"/>
      <c r="E8" s="339"/>
      <c r="F8" s="44" t="s">
        <v>34</v>
      </c>
      <c r="G8" s="44" t="s">
        <v>35</v>
      </c>
      <c r="H8" s="378"/>
      <c r="I8" s="379"/>
      <c r="J8" s="341"/>
      <c r="K8" s="382"/>
      <c r="L8" s="383"/>
      <c r="M8" s="14"/>
      <c r="N8" s="178">
        <v>0</v>
      </c>
      <c r="O8" s="178" t="str">
        <f t="array" ref="O8">IFERROR(INDEX($L$9:$L$59,MATCH(0,COUNTIF($N$8:N$8,$L$9:$L$59),0)),"")</f>
        <v/>
      </c>
      <c r="P8" s="178" t="str">
        <f t="array" ref="P8">IFERROR(INDEX($L$9:$L$59,MATCH(0,COUNTIF($N$8:O$8,$L$9:$L$59),0)),"")</f>
        <v/>
      </c>
      <c r="Q8" s="178" t="str">
        <f t="array" ref="Q8">IFERROR(INDEX($L$9:$L$59,MATCH(0,COUNTIF($N$8:P$8,$L$9:$L$59),0)),"")</f>
        <v/>
      </c>
      <c r="R8" s="178" t="str">
        <f t="array" ref="R8">IFERROR(INDEX($L$9:$L$59,MATCH(0,COUNTIF($N$8:Q$8,$L$9:$L$59),0)),"")</f>
        <v/>
      </c>
      <c r="S8" s="178" t="str">
        <f t="array" ref="S8">IFERROR(INDEX($L$9:$L$59,MATCH(0,COUNTIF($N$8:R$8,$L$9:$L$59),0)),"")</f>
        <v/>
      </c>
      <c r="T8" s="178" t="str">
        <f t="array" ref="T8">IFERROR(INDEX($L$9:$L$59,MATCH(0,COUNTIF($N$8:S$8,$L$9:$L$59),0)),"")</f>
        <v/>
      </c>
      <c r="U8" s="178" t="str">
        <f t="array" ref="U8">IFERROR(INDEX($L$9:$L$59,MATCH(0,COUNTIF($N$8:T$8,$L$9:$L$59),0)),"")</f>
        <v/>
      </c>
      <c r="V8" s="178" t="str">
        <f t="array" ref="V8">IFERROR(INDEX($L$9:$L$59,MATCH(0,COUNTIF($N$8:U$8,$L$9:$L$59),0)),"")</f>
        <v/>
      </c>
      <c r="W8" s="178" t="str">
        <f t="array" ref="W8">IFERROR(INDEX($L$9:$L$59,MATCH(0,COUNTIF($N$8:V$8,$L$9:$L$59),0)),"")</f>
        <v/>
      </c>
      <c r="X8" s="178" t="str">
        <f t="array" ref="X8">IFERROR(INDEX($L$9:$L$59,MATCH(0,COUNTIF($N$8:W$8,$L$9:$L$59),0)),"")</f>
        <v/>
      </c>
      <c r="Y8" s="178" t="str">
        <f t="array" ref="Y8">IFERROR(INDEX($L$9:$L$59,MATCH(0,COUNTIF($N$8:X$8,$L$9:$L$59),0)),"")</f>
        <v/>
      </c>
      <c r="Z8" s="178" t="str">
        <f t="array" ref="Z8">IFERROR(INDEX($L$9:$L$59,MATCH(0,COUNTIF($N$8:Y$8,$L$9:$L$59),0)),"")</f>
        <v/>
      </c>
      <c r="AA8" s="178" t="str">
        <f t="array" ref="AA8">IFERROR(INDEX($L$9:$L$59,MATCH(0,COUNTIF($N$8:Z$8,$L$9:$L$59),0)),"")</f>
        <v/>
      </c>
      <c r="AB8" s="178" t="str">
        <f t="array" ref="AB8">IFERROR(INDEX($L$9:$L$59,MATCH(0,COUNTIF($N$8:AA$8,$L$9:$L$59),0)),"")</f>
        <v/>
      </c>
      <c r="AC8" s="178" t="str">
        <f t="array" ref="AC8">IFERROR(INDEX($L$9:$L$59,MATCH(0,COUNTIF($N$8:AB$8,$L$9:$L$59),0)),"")</f>
        <v/>
      </c>
      <c r="AD8" s="178" t="str">
        <f t="array" ref="AD8">IFERROR(INDEX($L$9:$L$59,MATCH(0,COUNTIF($N$8:AC$8,$L$9:$L$59),0)),"")</f>
        <v/>
      </c>
      <c r="AE8" s="178" t="str">
        <f t="array" ref="AE8">IFERROR(INDEX($L$9:$L$59,MATCH(0,COUNTIF($N$8:AD$8,$L$9:$L$59),0)),"")</f>
        <v/>
      </c>
      <c r="AF8" s="178" t="str">
        <f t="array" ref="AF8">IFERROR(INDEX($L$9:$L$59,MATCH(0,COUNTIF($N$8:AE$8,$L$9:$L$59),0)),"")</f>
        <v/>
      </c>
      <c r="AG8" s="178" t="str">
        <f t="array" ref="AG8">IFERROR(INDEX($L$9:$L$59,MATCH(0,COUNTIF($N$8:AF$8,$L$9:$L$59),0)),"")</f>
        <v/>
      </c>
      <c r="AH8" s="178" t="str">
        <f t="array" ref="AH8">IFERROR(INDEX($L$9:$L$59,MATCH(0,COUNTIF($N$8:AG$8,$L$9:$L$59),0)),"")</f>
        <v/>
      </c>
      <c r="AI8" s="178" t="str">
        <f t="array" ref="AI8">IFERROR(INDEX($L$9:$L$59,MATCH(0,COUNTIF($N$8:AH$8,$L$9:$L$59),0)),"")</f>
        <v/>
      </c>
      <c r="AJ8" s="178" t="str">
        <f t="array" ref="AJ8">IFERROR(INDEX($L$9:$L$59,MATCH(0,COUNTIF($N$8:AI$8,$L$9:$L$59),0)),"")</f>
        <v/>
      </c>
      <c r="AK8" s="178" t="str">
        <f t="array" ref="AK8">IFERROR(INDEX($L$9:$L$59,MATCH(0,COUNTIF($N$8:AJ$8,$L$9:$L$59),0)),"")</f>
        <v/>
      </c>
      <c r="AL8" s="178" t="str">
        <f t="array" ref="AL8">IFERROR(INDEX($L$9:$L$59,MATCH(0,COUNTIF($N$8:AK$8,$L$9:$L$59),0)),"")</f>
        <v/>
      </c>
      <c r="AM8" s="178" t="str">
        <f t="array" ref="AM8">IFERROR(INDEX($L$9:$L$59,MATCH(0,COUNTIF($N$8:AL$8,$L$9:$L$59),0)),"")</f>
        <v/>
      </c>
      <c r="AN8" s="178" t="str">
        <f t="array" ref="AN8">IFERROR(INDEX($L$9:$L$59,MATCH(0,COUNTIF($N$8:AM$8,$L$9:$L$59),0)),"")</f>
        <v/>
      </c>
      <c r="AO8" s="178" t="str">
        <f t="array" ref="AO8">IFERROR(INDEX($L$9:$L$59,MATCH(0,COUNTIF($N$8:AN$8,$L$9:$L$59),0)),"")</f>
        <v/>
      </c>
      <c r="AP8" s="178" t="str">
        <f t="array" ref="AP8">IFERROR(INDEX($L$9:$L$59,MATCH(0,COUNTIF($N$8:AO$8,$L$9:$L$59),0)),"")</f>
        <v/>
      </c>
      <c r="AQ8" s="178" t="str">
        <f t="array" ref="AQ8">IFERROR(INDEX($L$9:$L$59,MATCH(0,COUNTIF($N$8:AP$8,$L$9:$L$59),0)),"")</f>
        <v/>
      </c>
      <c r="AR8" s="178" t="str">
        <f t="array" ref="AR8">IFERROR(INDEX($L$9:$L$59,MATCH(0,COUNTIF($N$8:AQ$8,$L$9:$L$59),0)),"")</f>
        <v/>
      </c>
      <c r="AS8" s="178" t="str">
        <f t="array" ref="AS8">IFERROR(INDEX($L$9:$L$59,MATCH(0,COUNTIF($N$8:AR$8,$L$9:$L$59),0)),"")</f>
        <v/>
      </c>
      <c r="AT8" s="178" t="str">
        <f t="array" ref="AT8">IFERROR(INDEX($L$9:$L$59,MATCH(0,COUNTIF($N$8:AS$8,$L$9:$L$59),0)),"")</f>
        <v/>
      </c>
      <c r="AU8" s="178" t="str">
        <f t="array" ref="AU8">IFERROR(INDEX($L$9:$L$59,MATCH(0,COUNTIF($N$8:AT$8,$L$9:$L$59),0)),"")</f>
        <v/>
      </c>
      <c r="AV8" s="178" t="str">
        <f t="array" ref="AV8">IFERROR(INDEX($L$9:$L$59,MATCH(0,COUNTIF($N$8:AU$8,$L$9:$L$59),0)),"")</f>
        <v/>
      </c>
      <c r="AW8" s="178" t="str">
        <f t="array" ref="AW8">IFERROR(INDEX($L$9:$L$59,MATCH(0,COUNTIF($N$8:AV$8,$L$9:$L$59),0)),"")</f>
        <v/>
      </c>
      <c r="AX8" s="178" t="str">
        <f t="array" ref="AX8">IFERROR(INDEX($L$9:$L$59,MATCH(0,COUNTIF($N$8:AW$8,$L$9:$L$59),0)),"")</f>
        <v/>
      </c>
      <c r="AY8" s="178" t="str">
        <f t="array" ref="AY8">IFERROR(INDEX($L$9:$L$59,MATCH(0,COUNTIF($N$8:AX$8,$L$9:$L$59),0)),"")</f>
        <v/>
      </c>
      <c r="AZ8" s="178" t="str">
        <f t="array" ref="AZ8">IFERROR(INDEX($L$9:$L$59,MATCH(0,COUNTIF($N$8:AY$8,$L$9:$L$59),0)),"")</f>
        <v/>
      </c>
      <c r="BA8" s="178" t="str">
        <f t="array" ref="BA8">IFERROR(INDEX($L$9:$L$59,MATCH(0,COUNTIF($N$8:AZ$8,$L$9:$L$59),0)),"")</f>
        <v/>
      </c>
      <c r="BB8" s="178" t="str">
        <f t="array" ref="BB8">IFERROR(INDEX($L$9:$L$59,MATCH(0,COUNTIF($N$8:BA$8,$L$9:$L$59),0)),"")</f>
        <v/>
      </c>
      <c r="BC8" s="178" t="str">
        <f t="array" ref="BC8">IFERROR(INDEX($L$9:$L$59,MATCH(0,COUNTIF($N$8:BB$8,$L$9:$L$59),0)),"")</f>
        <v/>
      </c>
      <c r="BD8" s="178" t="str">
        <f t="array" ref="BD8">IFERROR(INDEX($L$9:$L$59,MATCH(0,COUNTIF($N$8:BC$8,$L$9:$L$59),0)),"")</f>
        <v/>
      </c>
      <c r="BE8" s="178" t="str">
        <f t="array" ref="BE8">IFERROR(INDEX($L$9:$L$59,MATCH(0,COUNTIF($N$8:BD$8,$L$9:$L$59),0)),"")</f>
        <v/>
      </c>
      <c r="BF8" s="178" t="str">
        <f t="array" ref="BF8">IFERROR(INDEX($L$9:$L$59,MATCH(0,COUNTIF($N$8:BE$8,$L$9:$L$59),0)),"")</f>
        <v/>
      </c>
      <c r="BG8" s="178" t="str">
        <f t="array" ref="BG8">IFERROR(INDEX($L$9:$L$59,MATCH(0,COUNTIF($N$8:BF$8,$L$9:$L$59),0)),"")</f>
        <v/>
      </c>
      <c r="BH8" s="178" t="str">
        <f t="array" ref="BH8">IFERROR(INDEX($L$9:$L$59,MATCH(0,COUNTIF($N$8:BG$8,$L$9:$L$59),0)),"")</f>
        <v/>
      </c>
      <c r="BI8" s="178" t="str">
        <f t="array" ref="BI8">IFERROR(INDEX($L$9:$L$59,MATCH(0,COUNTIF($N$8:BH$8,$L$9:$L$59),0)),"")</f>
        <v/>
      </c>
      <c r="BJ8" s="178" t="str">
        <f t="array" ref="BJ8">IFERROR(INDEX($L$9:$L$59,MATCH(0,COUNTIF($N$8:BI$8,$L$9:$L$59),0)),"")</f>
        <v/>
      </c>
      <c r="BK8" s="178" t="str">
        <f t="array" ref="BK8">IFERROR(INDEX($L$9:$L$59,MATCH(0,COUNTIF($N$8:BJ$8,$L$9:$L$59),0)),"")</f>
        <v/>
      </c>
      <c r="BL8" s="178" t="str">
        <f t="array" ref="BL8">IFERROR(INDEX($L$9:$L$59,MATCH(0,COUNTIF($N$8:BK$8,$L$9:$L$59),0)),"")</f>
        <v/>
      </c>
    </row>
    <row r="9" spans="2:64" s="22" customFormat="1" x14ac:dyDescent="0.2">
      <c r="B9" s="119" t="s">
        <v>94</v>
      </c>
      <c r="C9" s="259"/>
      <c r="D9" s="118"/>
      <c r="E9" s="118"/>
      <c r="F9" s="290"/>
      <c r="G9" s="118"/>
      <c r="H9" s="118" t="s">
        <v>287</v>
      </c>
      <c r="I9" s="116" t="str">
        <f>IF(OR(F9="",G9="",H9="NÃO"),"-",IF(AND(H9="DÂNICA",D9="1Folha"),((F9/100)+0.095+0.1)+((G9/100)+0.03+0.05)*2,IF(AND(H9="DÂNICA",D9="2Folhas"),((F9/100)+0.14+0.1)+((G9/100)+0.03+0.05)*2,IF(H9="PADRÃO",IF(OR(D9="1Folha",D9="2Folhas"),((F9/100)+0.1)+((G9/100)+0.05)*2,"-")))))</f>
        <v>-</v>
      </c>
      <c r="J9" s="243"/>
      <c r="K9" s="242" t="str">
        <f>C9&amp;IF(J9&lt;&gt;""," ("&amp;J9&amp;")","")</f>
        <v/>
      </c>
      <c r="L9" s="188" t="str">
        <f t="shared" ref="L9:L18" si="0">IF(D9&lt;&gt;"",IF(E9="Rígida","PVV "&amp;D9&amp;" ","Flex "&amp;D9&amp;" - ")&amp;IF(F9&lt;100,0,"")&amp;F9&amp;"x"&amp;G9&amp;" "&amp;E9,"")</f>
        <v/>
      </c>
      <c r="N9" s="185" t="str">
        <f t="array" ref="N9">IFERROR(INDEX($K$9:$K$59,MATCH(0,COUNTIF($N$8:$N8,$K$9:$K$59),0)),"")</f>
        <v/>
      </c>
      <c r="O9" s="175">
        <f t="array" ref="O9">IF(AND($N9&lt;&gt;"",O$8&lt;&gt;""),COUNTIFS($K$9:$K$59,$N9,$L$9:$L$59,O$8),0)</f>
        <v>0</v>
      </c>
      <c r="P9" s="175">
        <f t="array" ref="P9">IF(AND($N9&lt;&gt;"",P$8&lt;&gt;""),COUNTIFS($K$9:$K$59,$N9,$L$9:$L$59,P$8),0)</f>
        <v>0</v>
      </c>
      <c r="Q9" s="175">
        <f t="array" ref="Q9">IF(AND($N9&lt;&gt;"",Q$8&lt;&gt;""),COUNTIFS($K$9:$K$59,$N9,$L$9:$L$59,Q$8),0)</f>
        <v>0</v>
      </c>
      <c r="R9" s="175">
        <f t="array" ref="R9">IF(AND($N9&lt;&gt;"",R$8&lt;&gt;""),COUNTIFS($K$9:$K$59,$N9,$L$9:$L$59,R$8),0)</f>
        <v>0</v>
      </c>
      <c r="S9" s="175">
        <f t="array" ref="S9">IF(AND($N9&lt;&gt;"",S$8&lt;&gt;""),COUNTIFS($K$9:$K$59,$N9,$L$9:$L$59,S$8),0)</f>
        <v>0</v>
      </c>
      <c r="T9" s="175">
        <f t="array" ref="T9">IF(AND($N9&lt;&gt;"",T$8&lt;&gt;""),COUNTIFS($K$9:$K$59,$N9,$L$9:$L$59,T$8),0)</f>
        <v>0</v>
      </c>
      <c r="U9" s="175">
        <f t="array" ref="U9">IF(AND($N9&lt;&gt;"",U$8&lt;&gt;""),COUNTIFS($K$9:$K$59,$N9,$L$9:$L$59,U$8),0)</f>
        <v>0</v>
      </c>
      <c r="V9" s="175">
        <f t="array" ref="V9">IF(AND($N9&lt;&gt;"",V$8&lt;&gt;""),COUNTIFS($K$9:$K$59,$N9,$L$9:$L$59,V$8),0)</f>
        <v>0</v>
      </c>
      <c r="W9" s="175">
        <f t="array" ref="W9">IF(AND($N9&lt;&gt;"",W$8&lt;&gt;""),COUNTIFS($K$9:$K$59,$N9,$L$9:$L$59,W$8),0)</f>
        <v>0</v>
      </c>
      <c r="X9" s="175">
        <f t="array" ref="X9">IF(AND($N9&lt;&gt;"",X$8&lt;&gt;""),COUNTIFS($K$9:$K$59,$N9,$L$9:$L$59,X$8),0)</f>
        <v>0</v>
      </c>
      <c r="Y9" s="175">
        <f t="array" ref="Y9">IF(AND($N9&lt;&gt;"",Y$8&lt;&gt;""),COUNTIFS($K$9:$K$59,$N9,$L$9:$L$59,Y$8),0)</f>
        <v>0</v>
      </c>
      <c r="Z9" s="175">
        <f t="array" ref="Z9">IF(AND($N9&lt;&gt;"",Z$8&lt;&gt;""),COUNTIFS($K$9:$K$59,$N9,$L$9:$L$59,Z$8),0)</f>
        <v>0</v>
      </c>
      <c r="AA9" s="175">
        <f t="array" ref="AA9">IF(AND($N9&lt;&gt;"",AA$8&lt;&gt;""),COUNTIFS($K$9:$K$59,$N9,$L$9:$L$59,AA$8),0)</f>
        <v>0</v>
      </c>
      <c r="AB9" s="175">
        <f t="array" ref="AB9">IF(AND($N9&lt;&gt;"",AB$8&lt;&gt;""),COUNTIFS($K$9:$K$59,$N9,$L$9:$L$59,AB$8),0)</f>
        <v>0</v>
      </c>
      <c r="AC9" s="175">
        <f t="array" ref="AC9">IF(AND($N9&lt;&gt;"",AC$8&lt;&gt;""),COUNTIFS($K$9:$K$59,$N9,$L$9:$L$59,AC$8),0)</f>
        <v>0</v>
      </c>
      <c r="AD9" s="175">
        <f t="array" ref="AD9">IF(AND($N9&lt;&gt;"",AD$8&lt;&gt;""),COUNTIFS($K$9:$K$59,$N9,$L$9:$L$59,AD$8),0)</f>
        <v>0</v>
      </c>
      <c r="AE9" s="175">
        <f t="array" ref="AE9">IF(AND($N9&lt;&gt;"",AE$8&lt;&gt;""),COUNTIFS($K$9:$K$59,$N9,$L$9:$L$59,AE$8),0)</f>
        <v>0</v>
      </c>
      <c r="AF9" s="175">
        <f t="array" ref="AF9">IF(AND($N9&lt;&gt;"",AF$8&lt;&gt;""),COUNTIFS($K$9:$K$59,$N9,$L$9:$L$59,AF$8),0)</f>
        <v>0</v>
      </c>
      <c r="AG9" s="175">
        <f t="array" ref="AG9">IF(AND($N9&lt;&gt;"",AG$8&lt;&gt;""),COUNTIFS($K$9:$K$59,$N9,$L$9:$L$59,AG$8),0)</f>
        <v>0</v>
      </c>
      <c r="AH9" s="175">
        <f t="array" ref="AH9">IF(AND($N9&lt;&gt;"",AH$8&lt;&gt;""),COUNTIFS($K$9:$K$59,$N9,$L$9:$L$59,AH$8),0)</f>
        <v>0</v>
      </c>
      <c r="AI9" s="175">
        <f t="array" ref="AI9">IF(AND($N9&lt;&gt;"",AI$8&lt;&gt;""),COUNTIFS($K$9:$K$59,$N9,$L$9:$L$59,AI$8),0)</f>
        <v>0</v>
      </c>
      <c r="AJ9" s="175">
        <f t="array" ref="AJ9">IF(AND($N9&lt;&gt;"",AJ$8&lt;&gt;""),COUNTIFS($K$9:$K$59,$N9,$L$9:$L$59,AJ$8),0)</f>
        <v>0</v>
      </c>
      <c r="AK9" s="175">
        <f t="array" ref="AK9">IF(AND($N9&lt;&gt;"",AK$8&lt;&gt;""),COUNTIFS($K$9:$K$59,$N9,$L$9:$L$59,AK$8),0)</f>
        <v>0</v>
      </c>
      <c r="AL9" s="175">
        <f t="array" ref="AL9">IF(AND($N9&lt;&gt;"",AL$8&lt;&gt;""),COUNTIFS($K$9:$K$59,$N9,$L$9:$L$59,AL$8),0)</f>
        <v>0</v>
      </c>
      <c r="AM9" s="175">
        <f t="array" ref="AM9">IF(AND($N9&lt;&gt;"",AM$8&lt;&gt;""),COUNTIFS($K$9:$K$59,$N9,$L$9:$L$59,AM$8),0)</f>
        <v>0</v>
      </c>
      <c r="AN9" s="175">
        <f t="array" ref="AN9">IF(AND($N9&lt;&gt;"",AN$8&lt;&gt;""),COUNTIFS($K$9:$K$59,$N9,$L$9:$L$59,AN$8),0)</f>
        <v>0</v>
      </c>
      <c r="AO9" s="175">
        <f t="array" ref="AO9">IF(AND($N9&lt;&gt;"",AO$8&lt;&gt;""),COUNTIFS($K$9:$K$59,$N9,$L$9:$L$59,AO$8),0)</f>
        <v>0</v>
      </c>
      <c r="AP9" s="175">
        <f t="array" ref="AP9">IF(AND($N9&lt;&gt;"",AP$8&lt;&gt;""),COUNTIFS($K$9:$K$59,$N9,$L$9:$L$59,AP$8),0)</f>
        <v>0</v>
      </c>
      <c r="AQ9" s="175">
        <f t="array" ref="AQ9">IF(AND($N9&lt;&gt;"",AQ$8&lt;&gt;""),COUNTIFS($K$9:$K$59,$N9,$L$9:$L$59,AQ$8),0)</f>
        <v>0</v>
      </c>
      <c r="AR9" s="175">
        <f t="array" ref="AR9">IF(AND($N9&lt;&gt;"",AR$8&lt;&gt;""),COUNTIFS($K$9:$K$59,$N9,$L$9:$L$59,AR$8),0)</f>
        <v>0</v>
      </c>
      <c r="AS9" s="175">
        <f t="array" ref="AS9">IF(AND($N9&lt;&gt;"",AS$8&lt;&gt;""),COUNTIFS($K$9:$K$59,$N9,$L$9:$L$59,AS$8),0)</f>
        <v>0</v>
      </c>
      <c r="AT9" s="175">
        <f t="array" ref="AT9">IF(AND($N9&lt;&gt;"",AT$8&lt;&gt;""),COUNTIFS($K$9:$K$59,$N9,$L$9:$L$59,AT$8),0)</f>
        <v>0</v>
      </c>
      <c r="AU9" s="175">
        <f t="array" ref="AU9">IF(AND($N9&lt;&gt;"",AU$8&lt;&gt;""),COUNTIFS($K$9:$K$59,$N9,$L$9:$L$59,AU$8),0)</f>
        <v>0</v>
      </c>
      <c r="AV9" s="175">
        <f t="array" ref="AV9">IF(AND($N9&lt;&gt;"",AV$8&lt;&gt;""),COUNTIFS($K$9:$K$59,$N9,$L$9:$L$59,AV$8),0)</f>
        <v>0</v>
      </c>
      <c r="AW9" s="175">
        <f t="array" ref="AW9">IF(AND($N9&lt;&gt;"",AW$8&lt;&gt;""),COUNTIFS($K$9:$K$59,$N9,$L$9:$L$59,AW$8),0)</f>
        <v>0</v>
      </c>
      <c r="AX9" s="175">
        <f t="array" ref="AX9">IF(AND($N9&lt;&gt;"",AX$8&lt;&gt;""),COUNTIFS($K$9:$K$59,$N9,$L$9:$L$59,AX$8),0)</f>
        <v>0</v>
      </c>
      <c r="AY9" s="175">
        <f t="array" ref="AY9">IF(AND($N9&lt;&gt;"",AY$8&lt;&gt;""),COUNTIFS($K$9:$K$59,$N9,$L$9:$L$59,AY$8),0)</f>
        <v>0</v>
      </c>
      <c r="AZ9" s="175">
        <f t="array" ref="AZ9">IF(AND($N9&lt;&gt;"",AZ$8&lt;&gt;""),COUNTIFS($K$9:$K$59,$N9,$L$9:$L$59,AZ$8),0)</f>
        <v>0</v>
      </c>
      <c r="BA9" s="175">
        <f t="array" ref="BA9">IF(AND($N9&lt;&gt;"",BA$8&lt;&gt;""),COUNTIFS($K$9:$K$59,$N9,$L$9:$L$59,BA$8),0)</f>
        <v>0</v>
      </c>
      <c r="BB9" s="175">
        <f t="array" ref="BB9">IF(AND($N9&lt;&gt;"",BB$8&lt;&gt;""),COUNTIFS($K$9:$K$59,$N9,$L$9:$L$59,BB$8),0)</f>
        <v>0</v>
      </c>
      <c r="BC9" s="175">
        <f t="array" ref="BC9">IF(AND($N9&lt;&gt;"",BC$8&lt;&gt;""),COUNTIFS($K$9:$K$59,$N9,$L$9:$L$59,BC$8),0)</f>
        <v>0</v>
      </c>
      <c r="BD9" s="175">
        <f t="array" ref="BD9">IF(AND($N9&lt;&gt;"",BD$8&lt;&gt;""),COUNTIFS($K$9:$K$59,$N9,$L$9:$L$59,BD$8),0)</f>
        <v>0</v>
      </c>
      <c r="BE9" s="175">
        <f t="array" ref="BE9">IF(AND($N9&lt;&gt;"",BE$8&lt;&gt;""),COUNTIFS($K$9:$K$59,$N9,$L$9:$L$59,BE$8),0)</f>
        <v>0</v>
      </c>
      <c r="BF9" s="175">
        <f t="array" ref="BF9">IF(AND($N9&lt;&gt;"",BF$8&lt;&gt;""),COUNTIFS($K$9:$K$59,$N9,$L$9:$L$59,BF$8),0)</f>
        <v>0</v>
      </c>
      <c r="BG9" s="175">
        <f t="array" ref="BG9">IF(AND($N9&lt;&gt;"",BG$8&lt;&gt;""),COUNTIFS($K$9:$K$59,$N9,$L$9:$L$59,BG$8),0)</f>
        <v>0</v>
      </c>
      <c r="BH9" s="175">
        <f t="array" ref="BH9">IF(AND($N9&lt;&gt;"",BH$8&lt;&gt;""),COUNTIFS($K$9:$K$59,$N9,$L$9:$L$59,BH$8),0)</f>
        <v>0</v>
      </c>
      <c r="BI9" s="175">
        <f t="array" ref="BI9">IF(AND($N9&lt;&gt;"",BI$8&lt;&gt;""),COUNTIFS($K$9:$K$59,$N9,$L$9:$L$59,BI$8),0)</f>
        <v>0</v>
      </c>
      <c r="BJ9" s="175">
        <f t="array" ref="BJ9">IF(AND($N9&lt;&gt;"",BJ$8&lt;&gt;""),COUNTIFS($K$9:$K$59,$N9,$L$9:$L$59,BJ$8),0)</f>
        <v>0</v>
      </c>
      <c r="BK9" s="175">
        <f t="array" ref="BK9">IF(AND($N9&lt;&gt;"",BK$8&lt;&gt;""),COUNTIFS($K$9:$K$59,$N9,$L$9:$L$59,BK$8),0)</f>
        <v>0</v>
      </c>
      <c r="BL9" s="175">
        <f t="array" ref="BL9">IF(AND($N9&lt;&gt;"",BL$8&lt;&gt;""),COUNTIFS($K$9:$K$59,$N9,$L$9:$L$59,BL$8),0)</f>
        <v>0</v>
      </c>
    </row>
    <row r="10" spans="2:64" s="22" customFormat="1" x14ac:dyDescent="0.2">
      <c r="B10" s="119" t="s">
        <v>95</v>
      </c>
      <c r="C10" s="259"/>
      <c r="D10" s="15"/>
      <c r="E10" s="15"/>
      <c r="F10" s="15"/>
      <c r="G10" s="15"/>
      <c r="H10" s="15" t="s">
        <v>287</v>
      </c>
      <c r="I10" s="116" t="str">
        <f t="shared" ref="I10:I58" si="1">IF(OR(F10="",G10="",H10="NÃO"),"-",IF(AND(H10="DÂNICA",D10="1Folha"),((F10/100)+0.095+0.1)+((G10/100)+0.03+0.05)*2,IF(AND(H10="DÂNICA",D10="2Folhas"),((F10/100)+0.14+0.1)+((G10/100)+0.03+0.05)*2,IF(H10="PADRÃO",IF(OR(D10="1Folha",D10="2Folhas"),((F10/100)+0.1)+((G10/100)+0.05)*2,"-")))))</f>
        <v>-</v>
      </c>
      <c r="J10" s="120"/>
      <c r="K10" s="195" t="str">
        <f t="shared" ref="K10:K58" si="2">C10&amp;IF(J10&lt;&gt;""," ("&amp;J10&amp;")","")</f>
        <v/>
      </c>
      <c r="L10" s="188" t="str">
        <f t="shared" si="0"/>
        <v/>
      </c>
      <c r="N10" s="185" t="str">
        <f t="array" ref="N10">IFERROR(INDEX($K$9:$K$59,MATCH(0,COUNTIF($N$8:$N9,$K$9:$K$59),0)),"")</f>
        <v/>
      </c>
      <c r="O10" s="175">
        <f t="array" ref="O10">IF(AND($N10&lt;&gt;"",O$8&lt;&gt;""),COUNTIFS($K$9:$K$59,$N10,$L$9:$L$59,O$8),0)</f>
        <v>0</v>
      </c>
      <c r="P10" s="175">
        <f t="array" ref="P10">IF(AND($N10&lt;&gt;"",P$8&lt;&gt;""),COUNTIFS($K$9:$K$59,$N10,$L$9:$L$59,P$8),0)</f>
        <v>0</v>
      </c>
      <c r="Q10" s="175">
        <f t="array" ref="Q10">IF(AND($N10&lt;&gt;"",Q$8&lt;&gt;""),COUNTIFS($K$9:$K$59,$N10,$L$9:$L$59,Q$8),0)</f>
        <v>0</v>
      </c>
      <c r="R10" s="175">
        <f t="array" ref="R10">IF(AND($N10&lt;&gt;"",R$8&lt;&gt;""),COUNTIFS($K$9:$K$59,$N10,$L$9:$L$59,R$8),0)</f>
        <v>0</v>
      </c>
      <c r="S10" s="175">
        <f t="array" ref="S10">IF(AND($N10&lt;&gt;"",S$8&lt;&gt;""),COUNTIFS($K$9:$K$59,$N10,$L$9:$L$59,S$8),0)</f>
        <v>0</v>
      </c>
      <c r="T10" s="175">
        <f t="array" ref="T10">IF(AND($N10&lt;&gt;"",T$8&lt;&gt;""),COUNTIFS($K$9:$K$59,$N10,$L$9:$L$59,T$8),0)</f>
        <v>0</v>
      </c>
      <c r="U10" s="175">
        <f t="array" ref="U10">IF(AND($N10&lt;&gt;"",U$8&lt;&gt;""),COUNTIFS($K$9:$K$59,$N10,$L$9:$L$59,U$8),0)</f>
        <v>0</v>
      </c>
      <c r="V10" s="175">
        <f t="array" ref="V10">IF(AND($N10&lt;&gt;"",V$8&lt;&gt;""),COUNTIFS($K$9:$K$59,$N10,$L$9:$L$59,V$8),0)</f>
        <v>0</v>
      </c>
      <c r="W10" s="175">
        <f t="array" ref="W10">IF(AND($N10&lt;&gt;"",W$8&lt;&gt;""),COUNTIFS($K$9:$K$59,$N10,$L$9:$L$59,W$8),0)</f>
        <v>0</v>
      </c>
      <c r="X10" s="175">
        <f t="array" ref="X10">IF(AND($N10&lt;&gt;"",X$8&lt;&gt;""),COUNTIFS($K$9:$K$59,$N10,$L$9:$L$59,X$8),0)</f>
        <v>0</v>
      </c>
      <c r="Y10" s="175">
        <f t="array" ref="Y10">IF(AND($N10&lt;&gt;"",Y$8&lt;&gt;""),COUNTIFS($K$9:$K$59,$N10,$L$9:$L$59,Y$8),0)</f>
        <v>0</v>
      </c>
      <c r="Z10" s="175">
        <f t="array" ref="Z10">IF(AND($N10&lt;&gt;"",Z$8&lt;&gt;""),COUNTIFS($K$9:$K$59,$N10,$L$9:$L$59,Z$8),0)</f>
        <v>0</v>
      </c>
      <c r="AA10" s="175">
        <f t="array" ref="AA10">IF(AND($N10&lt;&gt;"",AA$8&lt;&gt;""),COUNTIFS($K$9:$K$59,$N10,$L$9:$L$59,AA$8),0)</f>
        <v>0</v>
      </c>
      <c r="AB10" s="175">
        <f t="array" ref="AB10">IF(AND($N10&lt;&gt;"",AB$8&lt;&gt;""),COUNTIFS($K$9:$K$59,$N10,$L$9:$L$59,AB$8),0)</f>
        <v>0</v>
      </c>
      <c r="AC10" s="175">
        <f t="array" ref="AC10">IF(AND($N10&lt;&gt;"",AC$8&lt;&gt;""),COUNTIFS($K$9:$K$59,$N10,$L$9:$L$59,AC$8),0)</f>
        <v>0</v>
      </c>
      <c r="AD10" s="175">
        <f t="array" ref="AD10">IF(AND($N10&lt;&gt;"",AD$8&lt;&gt;""),COUNTIFS($K$9:$K$59,$N10,$L$9:$L$59,AD$8),0)</f>
        <v>0</v>
      </c>
      <c r="AE10" s="175">
        <f t="array" ref="AE10">IF(AND($N10&lt;&gt;"",AE$8&lt;&gt;""),COUNTIFS($K$9:$K$59,$N10,$L$9:$L$59,AE$8),0)</f>
        <v>0</v>
      </c>
      <c r="AF10" s="175">
        <f t="array" ref="AF10">IF(AND($N10&lt;&gt;"",AF$8&lt;&gt;""),COUNTIFS($K$9:$K$59,$N10,$L$9:$L$59,AF$8),0)</f>
        <v>0</v>
      </c>
      <c r="AG10" s="175">
        <f t="array" ref="AG10">IF(AND($N10&lt;&gt;"",AG$8&lt;&gt;""),COUNTIFS($K$9:$K$59,$N10,$L$9:$L$59,AG$8),0)</f>
        <v>0</v>
      </c>
      <c r="AH10" s="175">
        <f t="array" ref="AH10">IF(AND($N10&lt;&gt;"",AH$8&lt;&gt;""),COUNTIFS($K$9:$K$59,$N10,$L$9:$L$59,AH$8),0)</f>
        <v>0</v>
      </c>
      <c r="AI10" s="175">
        <f t="array" ref="AI10">IF(AND($N10&lt;&gt;"",AI$8&lt;&gt;""),COUNTIFS($K$9:$K$59,$N10,$L$9:$L$59,AI$8),0)</f>
        <v>0</v>
      </c>
      <c r="AJ10" s="175">
        <f t="array" ref="AJ10">IF(AND($N10&lt;&gt;"",AJ$8&lt;&gt;""),COUNTIFS($K$9:$K$59,$N10,$L$9:$L$59,AJ$8),0)</f>
        <v>0</v>
      </c>
      <c r="AK10" s="175">
        <f t="array" ref="AK10">IF(AND($N10&lt;&gt;"",AK$8&lt;&gt;""),COUNTIFS($K$9:$K$59,$N10,$L$9:$L$59,AK$8),0)</f>
        <v>0</v>
      </c>
      <c r="AL10" s="175">
        <f t="array" ref="AL10">IF(AND($N10&lt;&gt;"",AL$8&lt;&gt;""),COUNTIFS($K$9:$K$59,$N10,$L$9:$L$59,AL$8),0)</f>
        <v>0</v>
      </c>
      <c r="AM10" s="175">
        <f t="array" ref="AM10">IF(AND($N10&lt;&gt;"",AM$8&lt;&gt;""),COUNTIFS($K$9:$K$59,$N10,$L$9:$L$59,AM$8),0)</f>
        <v>0</v>
      </c>
      <c r="AN10" s="175">
        <f t="array" ref="AN10">IF(AND($N10&lt;&gt;"",AN$8&lt;&gt;""),COUNTIFS($K$9:$K$59,$N10,$L$9:$L$59,AN$8),0)</f>
        <v>0</v>
      </c>
      <c r="AO10" s="175">
        <f t="array" ref="AO10">IF(AND($N10&lt;&gt;"",AO$8&lt;&gt;""),COUNTIFS($K$9:$K$59,$N10,$L$9:$L$59,AO$8),0)</f>
        <v>0</v>
      </c>
      <c r="AP10" s="175">
        <f t="array" ref="AP10">IF(AND($N10&lt;&gt;"",AP$8&lt;&gt;""),COUNTIFS($K$9:$K$59,$N10,$L$9:$L$59,AP$8),0)</f>
        <v>0</v>
      </c>
      <c r="AQ10" s="175">
        <f t="array" ref="AQ10">IF(AND($N10&lt;&gt;"",AQ$8&lt;&gt;""),COUNTIFS($K$9:$K$59,$N10,$L$9:$L$59,AQ$8),0)</f>
        <v>0</v>
      </c>
      <c r="AR10" s="175">
        <f t="array" ref="AR10">IF(AND($N10&lt;&gt;"",AR$8&lt;&gt;""),COUNTIFS($K$9:$K$59,$N10,$L$9:$L$59,AR$8),0)</f>
        <v>0</v>
      </c>
      <c r="AS10" s="175">
        <f t="array" ref="AS10">IF(AND($N10&lt;&gt;"",AS$8&lt;&gt;""),COUNTIFS($K$9:$K$59,$N10,$L$9:$L$59,AS$8),0)</f>
        <v>0</v>
      </c>
      <c r="AT10" s="175">
        <f t="array" ref="AT10">IF(AND($N10&lt;&gt;"",AT$8&lt;&gt;""),COUNTIFS($K$9:$K$59,$N10,$L$9:$L$59,AT$8),0)</f>
        <v>0</v>
      </c>
      <c r="AU10" s="175">
        <f t="array" ref="AU10">IF(AND($N10&lt;&gt;"",AU$8&lt;&gt;""),COUNTIFS($K$9:$K$59,$N10,$L$9:$L$59,AU$8),0)</f>
        <v>0</v>
      </c>
      <c r="AV10" s="175">
        <f t="array" ref="AV10">IF(AND($N10&lt;&gt;"",AV$8&lt;&gt;""),COUNTIFS($K$9:$K$59,$N10,$L$9:$L$59,AV$8),0)</f>
        <v>0</v>
      </c>
      <c r="AW10" s="175">
        <f t="array" ref="AW10">IF(AND($N10&lt;&gt;"",AW$8&lt;&gt;""),COUNTIFS($K$9:$K$59,$N10,$L$9:$L$59,AW$8),0)</f>
        <v>0</v>
      </c>
      <c r="AX10" s="175">
        <f t="array" ref="AX10">IF(AND($N10&lt;&gt;"",AX$8&lt;&gt;""),COUNTIFS($K$9:$K$59,$N10,$L$9:$L$59,AX$8),0)</f>
        <v>0</v>
      </c>
      <c r="AY10" s="175">
        <f t="array" ref="AY10">IF(AND($N10&lt;&gt;"",AY$8&lt;&gt;""),COUNTIFS($K$9:$K$59,$N10,$L$9:$L$59,AY$8),0)</f>
        <v>0</v>
      </c>
      <c r="AZ10" s="175">
        <f t="array" ref="AZ10">IF(AND($N10&lt;&gt;"",AZ$8&lt;&gt;""),COUNTIFS($K$9:$K$59,$N10,$L$9:$L$59,AZ$8),0)</f>
        <v>0</v>
      </c>
      <c r="BA10" s="175">
        <f t="array" ref="BA10">IF(AND($N10&lt;&gt;"",BA$8&lt;&gt;""),COUNTIFS($K$9:$K$59,$N10,$L$9:$L$59,BA$8),0)</f>
        <v>0</v>
      </c>
      <c r="BB10" s="175">
        <f t="array" ref="BB10">IF(AND($N10&lt;&gt;"",BB$8&lt;&gt;""),COUNTIFS($K$9:$K$59,$N10,$L$9:$L$59,BB$8),0)</f>
        <v>0</v>
      </c>
      <c r="BC10" s="175">
        <f t="array" ref="BC10">IF(AND($N10&lt;&gt;"",BC$8&lt;&gt;""),COUNTIFS($K$9:$K$59,$N10,$L$9:$L$59,BC$8),0)</f>
        <v>0</v>
      </c>
      <c r="BD10" s="175">
        <f t="array" ref="BD10">IF(AND($N10&lt;&gt;"",BD$8&lt;&gt;""),COUNTIFS($K$9:$K$59,$N10,$L$9:$L$59,BD$8),0)</f>
        <v>0</v>
      </c>
      <c r="BE10" s="175">
        <f t="array" ref="BE10">IF(AND($N10&lt;&gt;"",BE$8&lt;&gt;""),COUNTIFS($K$9:$K$59,$N10,$L$9:$L$59,BE$8),0)</f>
        <v>0</v>
      </c>
      <c r="BF10" s="175">
        <f t="array" ref="BF10">IF(AND($N10&lt;&gt;"",BF$8&lt;&gt;""),COUNTIFS($K$9:$K$59,$N10,$L$9:$L$59,BF$8),0)</f>
        <v>0</v>
      </c>
      <c r="BG10" s="175">
        <f t="array" ref="BG10">IF(AND($N10&lt;&gt;"",BG$8&lt;&gt;""),COUNTIFS($K$9:$K$59,$N10,$L$9:$L$59,BG$8),0)</f>
        <v>0</v>
      </c>
      <c r="BH10" s="175">
        <f t="array" ref="BH10">IF(AND($N10&lt;&gt;"",BH$8&lt;&gt;""),COUNTIFS($K$9:$K$59,$N10,$L$9:$L$59,BH$8),0)</f>
        <v>0</v>
      </c>
      <c r="BI10" s="175">
        <f t="array" ref="BI10">IF(AND($N10&lt;&gt;"",BI$8&lt;&gt;""),COUNTIFS($K$9:$K$59,$N10,$L$9:$L$59,BI$8),0)</f>
        <v>0</v>
      </c>
      <c r="BJ10" s="175">
        <f t="array" ref="BJ10">IF(AND($N10&lt;&gt;"",BJ$8&lt;&gt;""),COUNTIFS($K$9:$K$59,$N10,$L$9:$L$59,BJ$8),0)</f>
        <v>0</v>
      </c>
      <c r="BK10" s="175">
        <f t="array" ref="BK10">IF(AND($N10&lt;&gt;"",BK$8&lt;&gt;""),COUNTIFS($K$9:$K$59,$N10,$L$9:$L$59,BK$8),0)</f>
        <v>0</v>
      </c>
      <c r="BL10" s="175">
        <f t="array" ref="BL10">IF(AND($N10&lt;&gt;"",BL$8&lt;&gt;""),COUNTIFS($K$9:$K$59,$N10,$L$9:$L$59,BL$8),0)</f>
        <v>0</v>
      </c>
    </row>
    <row r="11" spans="2:64" s="22" customFormat="1" x14ac:dyDescent="0.2">
      <c r="B11" s="119" t="s">
        <v>96</v>
      </c>
      <c r="C11" s="260"/>
      <c r="D11" s="118"/>
      <c r="E11" s="15"/>
      <c r="F11" s="15"/>
      <c r="G11" s="15"/>
      <c r="H11" s="15" t="s">
        <v>287</v>
      </c>
      <c r="I11" s="116" t="str">
        <f t="shared" si="1"/>
        <v>-</v>
      </c>
      <c r="J11" s="243"/>
      <c r="K11" s="195" t="str">
        <f t="shared" si="2"/>
        <v/>
      </c>
      <c r="L11" s="188" t="str">
        <f t="shared" si="0"/>
        <v/>
      </c>
      <c r="N11" s="185" t="str">
        <f t="array" ref="N11">IFERROR(INDEX($K$9:$K$59,MATCH(0,COUNTIF($N$8:$N10,$K$9:$K$59),0)),"")</f>
        <v/>
      </c>
      <c r="O11" s="175">
        <f t="array" ref="O11">IF(AND($N11&lt;&gt;"",O$8&lt;&gt;""),COUNTIFS($K$9:$K$59,$N11,$L$9:$L$59,O$8),0)</f>
        <v>0</v>
      </c>
      <c r="P11" s="175">
        <f t="array" ref="P11">IF(AND($N11&lt;&gt;"",P$8&lt;&gt;""),COUNTIFS($K$9:$K$59,$N11,$L$9:$L$59,P$8),0)</f>
        <v>0</v>
      </c>
      <c r="Q11" s="175">
        <f t="array" ref="Q11">IF(AND($N11&lt;&gt;"",Q$8&lt;&gt;""),COUNTIFS($K$9:$K$59,$N11,$L$9:$L$59,Q$8),0)</f>
        <v>0</v>
      </c>
      <c r="R11" s="175">
        <f t="array" ref="R11">IF(AND($N11&lt;&gt;"",R$8&lt;&gt;""),COUNTIFS($K$9:$K$59,$N11,$L$9:$L$59,R$8),0)</f>
        <v>0</v>
      </c>
      <c r="S11" s="175">
        <f t="array" ref="S11">IF(AND($N11&lt;&gt;"",S$8&lt;&gt;""),COUNTIFS($K$9:$K$59,$N11,$L$9:$L$59,S$8),0)</f>
        <v>0</v>
      </c>
      <c r="T11" s="175">
        <f t="array" ref="T11">IF(AND($N11&lt;&gt;"",T$8&lt;&gt;""),COUNTIFS($K$9:$K$59,$N11,$L$9:$L$59,T$8),0)</f>
        <v>0</v>
      </c>
      <c r="U11" s="175">
        <f t="array" ref="U11">IF(AND($N11&lt;&gt;"",U$8&lt;&gt;""),COUNTIFS($K$9:$K$59,$N11,$L$9:$L$59,U$8),0)</f>
        <v>0</v>
      </c>
      <c r="V11" s="175">
        <f t="array" ref="V11">IF(AND($N11&lt;&gt;"",V$8&lt;&gt;""),COUNTIFS($K$9:$K$59,$N11,$L$9:$L$59,V$8),0)</f>
        <v>0</v>
      </c>
      <c r="W11" s="175">
        <f t="array" ref="W11">IF(AND($N11&lt;&gt;"",W$8&lt;&gt;""),COUNTIFS($K$9:$K$59,$N11,$L$9:$L$59,W$8),0)</f>
        <v>0</v>
      </c>
      <c r="X11" s="175">
        <f t="array" ref="X11">IF(AND($N11&lt;&gt;"",X$8&lt;&gt;""),COUNTIFS($K$9:$K$59,$N11,$L$9:$L$59,X$8),0)</f>
        <v>0</v>
      </c>
      <c r="Y11" s="175">
        <f t="array" ref="Y11">IF(AND($N11&lt;&gt;"",Y$8&lt;&gt;""),COUNTIFS($K$9:$K$59,$N11,$L$9:$L$59,Y$8),0)</f>
        <v>0</v>
      </c>
      <c r="Z11" s="175">
        <f t="array" ref="Z11">IF(AND($N11&lt;&gt;"",Z$8&lt;&gt;""),COUNTIFS($K$9:$K$59,$N11,$L$9:$L$59,Z$8),0)</f>
        <v>0</v>
      </c>
      <c r="AA11" s="175">
        <f t="array" ref="AA11">IF(AND($N11&lt;&gt;"",AA$8&lt;&gt;""),COUNTIFS($K$9:$K$59,$N11,$L$9:$L$59,AA$8),0)</f>
        <v>0</v>
      </c>
      <c r="AB11" s="175">
        <f t="array" ref="AB11">IF(AND($N11&lt;&gt;"",AB$8&lt;&gt;""),COUNTIFS($K$9:$K$59,$N11,$L$9:$L$59,AB$8),0)</f>
        <v>0</v>
      </c>
      <c r="AC11" s="175">
        <f t="array" ref="AC11">IF(AND($N11&lt;&gt;"",AC$8&lt;&gt;""),COUNTIFS($K$9:$K$59,$N11,$L$9:$L$59,AC$8),0)</f>
        <v>0</v>
      </c>
      <c r="AD11" s="175">
        <f t="array" ref="AD11">IF(AND($N11&lt;&gt;"",AD$8&lt;&gt;""),COUNTIFS($K$9:$K$59,$N11,$L$9:$L$59,AD$8),0)</f>
        <v>0</v>
      </c>
      <c r="AE11" s="175">
        <f t="array" ref="AE11">IF(AND($N11&lt;&gt;"",AE$8&lt;&gt;""),COUNTIFS($K$9:$K$59,$N11,$L$9:$L$59,AE$8),0)</f>
        <v>0</v>
      </c>
      <c r="AF11" s="175">
        <f t="array" ref="AF11">IF(AND($N11&lt;&gt;"",AF$8&lt;&gt;""),COUNTIFS($K$9:$K$59,$N11,$L$9:$L$59,AF$8),0)</f>
        <v>0</v>
      </c>
      <c r="AG11" s="175">
        <f t="array" ref="AG11">IF(AND($N11&lt;&gt;"",AG$8&lt;&gt;""),COUNTIFS($K$9:$K$59,$N11,$L$9:$L$59,AG$8),0)</f>
        <v>0</v>
      </c>
      <c r="AH11" s="175">
        <f t="array" ref="AH11">IF(AND($N11&lt;&gt;"",AH$8&lt;&gt;""),COUNTIFS($K$9:$K$59,$N11,$L$9:$L$59,AH$8),0)</f>
        <v>0</v>
      </c>
      <c r="AI11" s="175">
        <f t="array" ref="AI11">IF(AND($N11&lt;&gt;"",AI$8&lt;&gt;""),COUNTIFS($K$9:$K$59,$N11,$L$9:$L$59,AI$8),0)</f>
        <v>0</v>
      </c>
      <c r="AJ11" s="175">
        <f t="array" ref="AJ11">IF(AND($N11&lt;&gt;"",AJ$8&lt;&gt;""),COUNTIFS($K$9:$K$59,$N11,$L$9:$L$59,AJ$8),0)</f>
        <v>0</v>
      </c>
      <c r="AK11" s="175">
        <f t="array" ref="AK11">IF(AND($N11&lt;&gt;"",AK$8&lt;&gt;""),COUNTIFS($K$9:$K$59,$N11,$L$9:$L$59,AK$8),0)</f>
        <v>0</v>
      </c>
      <c r="AL11" s="175">
        <f t="array" ref="AL11">IF(AND($N11&lt;&gt;"",AL$8&lt;&gt;""),COUNTIFS($K$9:$K$59,$N11,$L$9:$L$59,AL$8),0)</f>
        <v>0</v>
      </c>
      <c r="AM11" s="175">
        <f t="array" ref="AM11">IF(AND($N11&lt;&gt;"",AM$8&lt;&gt;""),COUNTIFS($K$9:$K$59,$N11,$L$9:$L$59,AM$8),0)</f>
        <v>0</v>
      </c>
      <c r="AN11" s="175">
        <f t="array" ref="AN11">IF(AND($N11&lt;&gt;"",AN$8&lt;&gt;""),COUNTIFS($K$9:$K$59,$N11,$L$9:$L$59,AN$8),0)</f>
        <v>0</v>
      </c>
      <c r="AO11" s="175">
        <f t="array" ref="AO11">IF(AND($N11&lt;&gt;"",AO$8&lt;&gt;""),COUNTIFS($K$9:$K$59,$N11,$L$9:$L$59,AO$8),0)</f>
        <v>0</v>
      </c>
      <c r="AP11" s="175">
        <f t="array" ref="AP11">IF(AND($N11&lt;&gt;"",AP$8&lt;&gt;""),COUNTIFS($K$9:$K$59,$N11,$L$9:$L$59,AP$8),0)</f>
        <v>0</v>
      </c>
      <c r="AQ11" s="175">
        <f t="array" ref="AQ11">IF(AND($N11&lt;&gt;"",AQ$8&lt;&gt;""),COUNTIFS($K$9:$K$59,$N11,$L$9:$L$59,AQ$8),0)</f>
        <v>0</v>
      </c>
      <c r="AR11" s="175">
        <f t="array" ref="AR11">IF(AND($N11&lt;&gt;"",AR$8&lt;&gt;""),COUNTIFS($K$9:$K$59,$N11,$L$9:$L$59,AR$8),0)</f>
        <v>0</v>
      </c>
      <c r="AS11" s="175">
        <f t="array" ref="AS11">IF(AND($N11&lt;&gt;"",AS$8&lt;&gt;""),COUNTIFS($K$9:$K$59,$N11,$L$9:$L$59,AS$8),0)</f>
        <v>0</v>
      </c>
      <c r="AT11" s="175">
        <f t="array" ref="AT11">IF(AND($N11&lt;&gt;"",AT$8&lt;&gt;""),COUNTIFS($K$9:$K$59,$N11,$L$9:$L$59,AT$8),0)</f>
        <v>0</v>
      </c>
      <c r="AU11" s="175">
        <f t="array" ref="AU11">IF(AND($N11&lt;&gt;"",AU$8&lt;&gt;""),COUNTIFS($K$9:$K$59,$N11,$L$9:$L$59,AU$8),0)</f>
        <v>0</v>
      </c>
      <c r="AV11" s="175">
        <f t="array" ref="AV11">IF(AND($N11&lt;&gt;"",AV$8&lt;&gt;""),COUNTIFS($K$9:$K$59,$N11,$L$9:$L$59,AV$8),0)</f>
        <v>0</v>
      </c>
      <c r="AW11" s="175">
        <f t="array" ref="AW11">IF(AND($N11&lt;&gt;"",AW$8&lt;&gt;""),COUNTIFS($K$9:$K$59,$N11,$L$9:$L$59,AW$8),0)</f>
        <v>0</v>
      </c>
      <c r="AX11" s="175">
        <f t="array" ref="AX11">IF(AND($N11&lt;&gt;"",AX$8&lt;&gt;""),COUNTIFS($K$9:$K$59,$N11,$L$9:$L$59,AX$8),0)</f>
        <v>0</v>
      </c>
      <c r="AY11" s="175">
        <f t="array" ref="AY11">IF(AND($N11&lt;&gt;"",AY$8&lt;&gt;""),COUNTIFS($K$9:$K$59,$N11,$L$9:$L$59,AY$8),0)</f>
        <v>0</v>
      </c>
      <c r="AZ11" s="175">
        <f t="array" ref="AZ11">IF(AND($N11&lt;&gt;"",AZ$8&lt;&gt;""),COUNTIFS($K$9:$K$59,$N11,$L$9:$L$59,AZ$8),0)</f>
        <v>0</v>
      </c>
      <c r="BA11" s="175">
        <f t="array" ref="BA11">IF(AND($N11&lt;&gt;"",BA$8&lt;&gt;""),COUNTIFS($K$9:$K$59,$N11,$L$9:$L$59,BA$8),0)</f>
        <v>0</v>
      </c>
      <c r="BB11" s="175">
        <f t="array" ref="BB11">IF(AND($N11&lt;&gt;"",BB$8&lt;&gt;""),COUNTIFS($K$9:$K$59,$N11,$L$9:$L$59,BB$8),0)</f>
        <v>0</v>
      </c>
      <c r="BC11" s="175">
        <f t="array" ref="BC11">IF(AND($N11&lt;&gt;"",BC$8&lt;&gt;""),COUNTIFS($K$9:$K$59,$N11,$L$9:$L$59,BC$8),0)</f>
        <v>0</v>
      </c>
      <c r="BD11" s="175">
        <f t="array" ref="BD11">IF(AND($N11&lt;&gt;"",BD$8&lt;&gt;""),COUNTIFS($K$9:$K$59,$N11,$L$9:$L$59,BD$8),0)</f>
        <v>0</v>
      </c>
      <c r="BE11" s="175">
        <f t="array" ref="BE11">IF(AND($N11&lt;&gt;"",BE$8&lt;&gt;""),COUNTIFS($K$9:$K$59,$N11,$L$9:$L$59,BE$8),0)</f>
        <v>0</v>
      </c>
      <c r="BF11" s="175">
        <f t="array" ref="BF11">IF(AND($N11&lt;&gt;"",BF$8&lt;&gt;""),COUNTIFS($K$9:$K$59,$N11,$L$9:$L$59,BF$8),0)</f>
        <v>0</v>
      </c>
      <c r="BG11" s="175">
        <f t="array" ref="BG11">IF(AND($N11&lt;&gt;"",BG$8&lt;&gt;""),COUNTIFS($K$9:$K$59,$N11,$L$9:$L$59,BG$8),0)</f>
        <v>0</v>
      </c>
      <c r="BH11" s="175">
        <f t="array" ref="BH11">IF(AND($N11&lt;&gt;"",BH$8&lt;&gt;""),COUNTIFS($K$9:$K$59,$N11,$L$9:$L$59,BH$8),0)</f>
        <v>0</v>
      </c>
      <c r="BI11" s="175">
        <f t="array" ref="BI11">IF(AND($N11&lt;&gt;"",BI$8&lt;&gt;""),COUNTIFS($K$9:$K$59,$N11,$L$9:$L$59,BI$8),0)</f>
        <v>0</v>
      </c>
      <c r="BJ11" s="175">
        <f t="array" ref="BJ11">IF(AND($N11&lt;&gt;"",BJ$8&lt;&gt;""),COUNTIFS($K$9:$K$59,$N11,$L$9:$L$59,BJ$8),0)</f>
        <v>0</v>
      </c>
      <c r="BK11" s="175">
        <f t="array" ref="BK11">IF(AND($N11&lt;&gt;"",BK$8&lt;&gt;""),COUNTIFS($K$9:$K$59,$N11,$L$9:$L$59,BK$8),0)</f>
        <v>0</v>
      </c>
      <c r="BL11" s="175">
        <f t="array" ref="BL11">IF(AND($N11&lt;&gt;"",BL$8&lt;&gt;""),COUNTIFS($K$9:$K$59,$N11,$L$9:$L$59,BL$8),0)</f>
        <v>0</v>
      </c>
    </row>
    <row r="12" spans="2:64" s="22" customFormat="1" x14ac:dyDescent="0.2">
      <c r="B12" s="119" t="s">
        <v>97</v>
      </c>
      <c r="C12" s="259"/>
      <c r="D12" s="118"/>
      <c r="E12" s="15"/>
      <c r="F12" s="15"/>
      <c r="G12" s="15"/>
      <c r="H12" s="15" t="s">
        <v>287</v>
      </c>
      <c r="I12" s="116" t="str">
        <f t="shared" si="1"/>
        <v>-</v>
      </c>
      <c r="J12" s="120"/>
      <c r="K12" s="195" t="str">
        <f t="shared" si="2"/>
        <v/>
      </c>
      <c r="L12" s="188" t="str">
        <f t="shared" si="0"/>
        <v/>
      </c>
      <c r="N12" s="185" t="str">
        <f t="array" ref="N12">IFERROR(INDEX($K$9:$K$59,MATCH(0,COUNTIF($N$8:$N11,$K$9:$K$59),0)),"")</f>
        <v/>
      </c>
      <c r="O12" s="175">
        <f t="array" ref="O12">IF(AND($N12&lt;&gt;"",O$8&lt;&gt;""),COUNTIFS($K$9:$K$59,$N12,$L$9:$L$59,O$8),0)</f>
        <v>0</v>
      </c>
      <c r="P12" s="175">
        <f t="array" ref="P12">IF(AND($N12&lt;&gt;"",P$8&lt;&gt;""),COUNTIFS($K$9:$K$59,$N12,$L$9:$L$59,P$8),0)</f>
        <v>0</v>
      </c>
      <c r="Q12" s="175">
        <f t="array" ref="Q12">IF(AND($N12&lt;&gt;"",Q$8&lt;&gt;""),COUNTIFS($K$9:$K$59,$N12,$L$9:$L$59,Q$8),0)</f>
        <v>0</v>
      </c>
      <c r="R12" s="175">
        <f t="array" ref="R12">IF(AND($N12&lt;&gt;"",R$8&lt;&gt;""),COUNTIFS($K$9:$K$59,$N12,$L$9:$L$59,R$8),0)</f>
        <v>0</v>
      </c>
      <c r="S12" s="175">
        <f t="array" ref="S12">IF(AND($N12&lt;&gt;"",S$8&lt;&gt;""),COUNTIFS($K$9:$K$59,$N12,$L$9:$L$59,S$8),0)</f>
        <v>0</v>
      </c>
      <c r="T12" s="175">
        <f t="array" ref="T12">IF(AND($N12&lt;&gt;"",T$8&lt;&gt;""),COUNTIFS($K$9:$K$59,$N12,$L$9:$L$59,T$8),0)</f>
        <v>0</v>
      </c>
      <c r="U12" s="175">
        <f t="array" ref="U12">IF(AND($N12&lt;&gt;"",U$8&lt;&gt;""),COUNTIFS($K$9:$K$59,$N12,$L$9:$L$59,U$8),0)</f>
        <v>0</v>
      </c>
      <c r="V12" s="175">
        <f t="array" ref="V12">IF(AND($N12&lt;&gt;"",V$8&lt;&gt;""),COUNTIFS($K$9:$K$59,$N12,$L$9:$L$59,V$8),0)</f>
        <v>0</v>
      </c>
      <c r="W12" s="175">
        <f t="array" ref="W12">IF(AND($N12&lt;&gt;"",W$8&lt;&gt;""),COUNTIFS($K$9:$K$59,$N12,$L$9:$L$59,W$8),0)</f>
        <v>0</v>
      </c>
      <c r="X12" s="175">
        <f t="array" ref="X12">IF(AND($N12&lt;&gt;"",X$8&lt;&gt;""),COUNTIFS($K$9:$K$59,$N12,$L$9:$L$59,X$8),0)</f>
        <v>0</v>
      </c>
      <c r="Y12" s="175">
        <f t="array" ref="Y12">IF(AND($N12&lt;&gt;"",Y$8&lt;&gt;""),COUNTIFS($K$9:$K$59,$N12,$L$9:$L$59,Y$8),0)</f>
        <v>0</v>
      </c>
      <c r="Z12" s="175">
        <f t="array" ref="Z12">IF(AND($N12&lt;&gt;"",Z$8&lt;&gt;""),COUNTIFS($K$9:$K$59,$N12,$L$9:$L$59,Z$8),0)</f>
        <v>0</v>
      </c>
      <c r="AA12" s="175">
        <f t="array" ref="AA12">IF(AND($N12&lt;&gt;"",AA$8&lt;&gt;""),COUNTIFS($K$9:$K$59,$N12,$L$9:$L$59,AA$8),0)</f>
        <v>0</v>
      </c>
      <c r="AB12" s="175">
        <f t="array" ref="AB12">IF(AND($N12&lt;&gt;"",AB$8&lt;&gt;""),COUNTIFS($K$9:$K$59,$N12,$L$9:$L$59,AB$8),0)</f>
        <v>0</v>
      </c>
      <c r="AC12" s="175">
        <f t="array" ref="AC12">IF(AND($N12&lt;&gt;"",AC$8&lt;&gt;""),COUNTIFS($K$9:$K$59,$N12,$L$9:$L$59,AC$8),0)</f>
        <v>0</v>
      </c>
      <c r="AD12" s="175">
        <f t="array" ref="AD12">IF(AND($N12&lt;&gt;"",AD$8&lt;&gt;""),COUNTIFS($K$9:$K$59,$N12,$L$9:$L$59,AD$8),0)</f>
        <v>0</v>
      </c>
      <c r="AE12" s="175">
        <f t="array" ref="AE12">IF(AND($N12&lt;&gt;"",AE$8&lt;&gt;""),COUNTIFS($K$9:$K$59,$N12,$L$9:$L$59,AE$8),0)</f>
        <v>0</v>
      </c>
      <c r="AF12" s="175">
        <f t="array" ref="AF12">IF(AND($N12&lt;&gt;"",AF$8&lt;&gt;""),COUNTIFS($K$9:$K$59,$N12,$L$9:$L$59,AF$8),0)</f>
        <v>0</v>
      </c>
      <c r="AG12" s="175">
        <f t="array" ref="AG12">IF(AND($N12&lt;&gt;"",AG$8&lt;&gt;""),COUNTIFS($K$9:$K$59,$N12,$L$9:$L$59,AG$8),0)</f>
        <v>0</v>
      </c>
      <c r="AH12" s="175">
        <f t="array" ref="AH12">IF(AND($N12&lt;&gt;"",AH$8&lt;&gt;""),COUNTIFS($K$9:$K$59,$N12,$L$9:$L$59,AH$8),0)</f>
        <v>0</v>
      </c>
      <c r="AI12" s="175">
        <f t="array" ref="AI12">IF(AND($N12&lt;&gt;"",AI$8&lt;&gt;""),COUNTIFS($K$9:$K$59,$N12,$L$9:$L$59,AI$8),0)</f>
        <v>0</v>
      </c>
      <c r="AJ12" s="175">
        <f t="array" ref="AJ12">IF(AND($N12&lt;&gt;"",AJ$8&lt;&gt;""),COUNTIFS($K$9:$K$59,$N12,$L$9:$L$59,AJ$8),0)</f>
        <v>0</v>
      </c>
      <c r="AK12" s="175">
        <f t="array" ref="AK12">IF(AND($N12&lt;&gt;"",AK$8&lt;&gt;""),COUNTIFS($K$9:$K$59,$N12,$L$9:$L$59,AK$8),0)</f>
        <v>0</v>
      </c>
      <c r="AL12" s="175">
        <f t="array" ref="AL12">IF(AND($N12&lt;&gt;"",AL$8&lt;&gt;""),COUNTIFS($K$9:$K$59,$N12,$L$9:$L$59,AL$8),0)</f>
        <v>0</v>
      </c>
      <c r="AM12" s="175">
        <f t="array" ref="AM12">IF(AND($N12&lt;&gt;"",AM$8&lt;&gt;""),COUNTIFS($K$9:$K$59,$N12,$L$9:$L$59,AM$8),0)</f>
        <v>0</v>
      </c>
      <c r="AN12" s="175">
        <f t="array" ref="AN12">IF(AND($N12&lt;&gt;"",AN$8&lt;&gt;""),COUNTIFS($K$9:$K$59,$N12,$L$9:$L$59,AN$8),0)</f>
        <v>0</v>
      </c>
      <c r="AO12" s="175">
        <f t="array" ref="AO12">IF(AND($N12&lt;&gt;"",AO$8&lt;&gt;""),COUNTIFS($K$9:$K$59,$N12,$L$9:$L$59,AO$8),0)</f>
        <v>0</v>
      </c>
      <c r="AP12" s="175">
        <f t="array" ref="AP12">IF(AND($N12&lt;&gt;"",AP$8&lt;&gt;""),COUNTIFS($K$9:$K$59,$N12,$L$9:$L$59,AP$8),0)</f>
        <v>0</v>
      </c>
      <c r="AQ12" s="175">
        <f t="array" ref="AQ12">IF(AND($N12&lt;&gt;"",AQ$8&lt;&gt;""),COUNTIFS($K$9:$K$59,$N12,$L$9:$L$59,AQ$8),0)</f>
        <v>0</v>
      </c>
      <c r="AR12" s="175">
        <f t="array" ref="AR12">IF(AND($N12&lt;&gt;"",AR$8&lt;&gt;""),COUNTIFS($K$9:$K$59,$N12,$L$9:$L$59,AR$8),0)</f>
        <v>0</v>
      </c>
      <c r="AS12" s="175">
        <f t="array" ref="AS12">IF(AND($N12&lt;&gt;"",AS$8&lt;&gt;""),COUNTIFS($K$9:$K$59,$N12,$L$9:$L$59,AS$8),0)</f>
        <v>0</v>
      </c>
      <c r="AT12" s="175">
        <f t="array" ref="AT12">IF(AND($N12&lt;&gt;"",AT$8&lt;&gt;""),COUNTIFS($K$9:$K$59,$N12,$L$9:$L$59,AT$8),0)</f>
        <v>0</v>
      </c>
      <c r="AU12" s="175">
        <f t="array" ref="AU12">IF(AND($N12&lt;&gt;"",AU$8&lt;&gt;""),COUNTIFS($K$9:$K$59,$N12,$L$9:$L$59,AU$8),0)</f>
        <v>0</v>
      </c>
      <c r="AV12" s="175">
        <f t="array" ref="AV12">IF(AND($N12&lt;&gt;"",AV$8&lt;&gt;""),COUNTIFS($K$9:$K$59,$N12,$L$9:$L$59,AV$8),0)</f>
        <v>0</v>
      </c>
      <c r="AW12" s="175">
        <f t="array" ref="AW12">IF(AND($N12&lt;&gt;"",AW$8&lt;&gt;""),COUNTIFS($K$9:$K$59,$N12,$L$9:$L$59,AW$8),0)</f>
        <v>0</v>
      </c>
      <c r="AX12" s="175">
        <f t="array" ref="AX12">IF(AND($N12&lt;&gt;"",AX$8&lt;&gt;""),COUNTIFS($K$9:$K$59,$N12,$L$9:$L$59,AX$8),0)</f>
        <v>0</v>
      </c>
      <c r="AY12" s="175">
        <f t="array" ref="AY12">IF(AND($N12&lt;&gt;"",AY$8&lt;&gt;""),COUNTIFS($K$9:$K$59,$N12,$L$9:$L$59,AY$8),0)</f>
        <v>0</v>
      </c>
      <c r="AZ12" s="175">
        <f t="array" ref="AZ12">IF(AND($N12&lt;&gt;"",AZ$8&lt;&gt;""),COUNTIFS($K$9:$K$59,$N12,$L$9:$L$59,AZ$8),0)</f>
        <v>0</v>
      </c>
      <c r="BA12" s="175">
        <f t="array" ref="BA12">IF(AND($N12&lt;&gt;"",BA$8&lt;&gt;""),COUNTIFS($K$9:$K$59,$N12,$L$9:$L$59,BA$8),0)</f>
        <v>0</v>
      </c>
      <c r="BB12" s="175">
        <f t="array" ref="BB12">IF(AND($N12&lt;&gt;"",BB$8&lt;&gt;""),COUNTIFS($K$9:$K$59,$N12,$L$9:$L$59,BB$8),0)</f>
        <v>0</v>
      </c>
      <c r="BC12" s="175">
        <f t="array" ref="BC12">IF(AND($N12&lt;&gt;"",BC$8&lt;&gt;""),COUNTIFS($K$9:$K$59,$N12,$L$9:$L$59,BC$8),0)</f>
        <v>0</v>
      </c>
      <c r="BD12" s="175">
        <f t="array" ref="BD12">IF(AND($N12&lt;&gt;"",BD$8&lt;&gt;""),COUNTIFS($K$9:$K$59,$N12,$L$9:$L$59,BD$8),0)</f>
        <v>0</v>
      </c>
      <c r="BE12" s="175">
        <f t="array" ref="BE12">IF(AND($N12&lt;&gt;"",BE$8&lt;&gt;""),COUNTIFS($K$9:$K$59,$N12,$L$9:$L$59,BE$8),0)</f>
        <v>0</v>
      </c>
      <c r="BF12" s="175">
        <f t="array" ref="BF12">IF(AND($N12&lt;&gt;"",BF$8&lt;&gt;""),COUNTIFS($K$9:$K$59,$N12,$L$9:$L$59,BF$8),0)</f>
        <v>0</v>
      </c>
      <c r="BG12" s="175">
        <f t="array" ref="BG12">IF(AND($N12&lt;&gt;"",BG$8&lt;&gt;""),COUNTIFS($K$9:$K$59,$N12,$L$9:$L$59,BG$8),0)</f>
        <v>0</v>
      </c>
      <c r="BH12" s="175">
        <f t="array" ref="BH12">IF(AND($N12&lt;&gt;"",BH$8&lt;&gt;""),COUNTIFS($K$9:$K$59,$N12,$L$9:$L$59,BH$8),0)</f>
        <v>0</v>
      </c>
      <c r="BI12" s="175">
        <f t="array" ref="BI12">IF(AND($N12&lt;&gt;"",BI$8&lt;&gt;""),COUNTIFS($K$9:$K$59,$N12,$L$9:$L$59,BI$8),0)</f>
        <v>0</v>
      </c>
      <c r="BJ12" s="175">
        <f t="array" ref="BJ12">IF(AND($N12&lt;&gt;"",BJ$8&lt;&gt;""),COUNTIFS($K$9:$K$59,$N12,$L$9:$L$59,BJ$8),0)</f>
        <v>0</v>
      </c>
      <c r="BK12" s="175">
        <f t="array" ref="BK12">IF(AND($N12&lt;&gt;"",BK$8&lt;&gt;""),COUNTIFS($K$9:$K$59,$N12,$L$9:$L$59,BK$8),0)</f>
        <v>0</v>
      </c>
      <c r="BL12" s="175">
        <f t="array" ref="BL12">IF(AND($N12&lt;&gt;"",BL$8&lt;&gt;""),COUNTIFS($K$9:$K$59,$N12,$L$9:$L$59,BL$8),0)</f>
        <v>0</v>
      </c>
    </row>
    <row r="13" spans="2:64" s="22" customFormat="1" x14ac:dyDescent="0.2">
      <c r="B13" s="119" t="s">
        <v>98</v>
      </c>
      <c r="C13" s="259"/>
      <c r="D13" s="118"/>
      <c r="E13" s="15"/>
      <c r="F13" s="15"/>
      <c r="G13" s="15"/>
      <c r="H13" s="15" t="s">
        <v>287</v>
      </c>
      <c r="I13" s="116" t="str">
        <f t="shared" si="1"/>
        <v>-</v>
      </c>
      <c r="J13" s="120"/>
      <c r="K13" s="195" t="str">
        <f t="shared" si="2"/>
        <v/>
      </c>
      <c r="L13" s="188" t="str">
        <f t="shared" si="0"/>
        <v/>
      </c>
      <c r="N13" s="185" t="str">
        <f t="array" ref="N13">IFERROR(INDEX($K$9:$K$59,MATCH(0,COUNTIF($N$8:$N12,$K$9:$K$59),0)),"")</f>
        <v/>
      </c>
      <c r="O13" s="175">
        <f t="array" ref="O13">IF(AND($N13&lt;&gt;"",O$8&lt;&gt;""),COUNTIFS($K$9:$K$59,$N13,$L$9:$L$59,O$8),0)</f>
        <v>0</v>
      </c>
      <c r="P13" s="175">
        <f t="array" ref="P13">IF(AND($N13&lt;&gt;"",P$8&lt;&gt;""),COUNTIFS($K$9:$K$59,$N13,$L$9:$L$59,P$8),0)</f>
        <v>0</v>
      </c>
      <c r="Q13" s="175">
        <f t="array" ref="Q13">IF(AND($N13&lt;&gt;"",Q$8&lt;&gt;""),COUNTIFS($K$9:$K$59,$N13,$L$9:$L$59,Q$8),0)</f>
        <v>0</v>
      </c>
      <c r="R13" s="175">
        <f t="array" ref="R13">IF(AND($N13&lt;&gt;"",R$8&lt;&gt;""),COUNTIFS($K$9:$K$59,$N13,$L$9:$L$59,R$8),0)</f>
        <v>0</v>
      </c>
      <c r="S13" s="175">
        <f t="array" ref="S13">IF(AND($N13&lt;&gt;"",S$8&lt;&gt;""),COUNTIFS($K$9:$K$59,$N13,$L$9:$L$59,S$8),0)</f>
        <v>0</v>
      </c>
      <c r="T13" s="175">
        <f t="array" ref="T13">IF(AND($N13&lt;&gt;"",T$8&lt;&gt;""),COUNTIFS($K$9:$K$59,$N13,$L$9:$L$59,T$8),0)</f>
        <v>0</v>
      </c>
      <c r="U13" s="175">
        <f t="array" ref="U13">IF(AND($N13&lt;&gt;"",U$8&lt;&gt;""),COUNTIFS($K$9:$K$59,$N13,$L$9:$L$59,U$8),0)</f>
        <v>0</v>
      </c>
      <c r="V13" s="175">
        <f t="array" ref="V13">IF(AND($N13&lt;&gt;"",V$8&lt;&gt;""),COUNTIFS($K$9:$K$59,$N13,$L$9:$L$59,V$8),0)</f>
        <v>0</v>
      </c>
      <c r="W13" s="175">
        <f t="array" ref="W13">IF(AND($N13&lt;&gt;"",W$8&lt;&gt;""),COUNTIFS($K$9:$K$59,$N13,$L$9:$L$59,W$8),0)</f>
        <v>0</v>
      </c>
      <c r="X13" s="175">
        <f t="array" ref="X13">IF(AND($N13&lt;&gt;"",X$8&lt;&gt;""),COUNTIFS($K$9:$K$59,$N13,$L$9:$L$59,X$8),0)</f>
        <v>0</v>
      </c>
      <c r="Y13" s="175">
        <f t="array" ref="Y13">IF(AND($N13&lt;&gt;"",Y$8&lt;&gt;""),COUNTIFS($K$9:$K$59,$N13,$L$9:$L$59,Y$8),0)</f>
        <v>0</v>
      </c>
      <c r="Z13" s="175">
        <f t="array" ref="Z13">IF(AND($N13&lt;&gt;"",Z$8&lt;&gt;""),COUNTIFS($K$9:$K$59,$N13,$L$9:$L$59,Z$8),0)</f>
        <v>0</v>
      </c>
      <c r="AA13" s="175">
        <f t="array" ref="AA13">IF(AND($N13&lt;&gt;"",AA$8&lt;&gt;""),COUNTIFS($K$9:$K$59,$N13,$L$9:$L$59,AA$8),0)</f>
        <v>0</v>
      </c>
      <c r="AB13" s="175">
        <f t="array" ref="AB13">IF(AND($N13&lt;&gt;"",AB$8&lt;&gt;""),COUNTIFS($K$9:$K$59,$N13,$L$9:$L$59,AB$8),0)</f>
        <v>0</v>
      </c>
      <c r="AC13" s="175">
        <f t="array" ref="AC13">IF(AND($N13&lt;&gt;"",AC$8&lt;&gt;""),COUNTIFS($K$9:$K$59,$N13,$L$9:$L$59,AC$8),0)</f>
        <v>0</v>
      </c>
      <c r="AD13" s="175">
        <f t="array" ref="AD13">IF(AND($N13&lt;&gt;"",AD$8&lt;&gt;""),COUNTIFS($K$9:$K$59,$N13,$L$9:$L$59,AD$8),0)</f>
        <v>0</v>
      </c>
      <c r="AE13" s="175">
        <f t="array" ref="AE13">IF(AND($N13&lt;&gt;"",AE$8&lt;&gt;""),COUNTIFS($K$9:$K$59,$N13,$L$9:$L$59,AE$8),0)</f>
        <v>0</v>
      </c>
      <c r="AF13" s="175">
        <f t="array" ref="AF13">IF(AND($N13&lt;&gt;"",AF$8&lt;&gt;""),COUNTIFS($K$9:$K$59,$N13,$L$9:$L$59,AF$8),0)</f>
        <v>0</v>
      </c>
      <c r="AG13" s="175">
        <f t="array" ref="AG13">IF(AND($N13&lt;&gt;"",AG$8&lt;&gt;""),COUNTIFS($K$9:$K$59,$N13,$L$9:$L$59,AG$8),0)</f>
        <v>0</v>
      </c>
      <c r="AH13" s="175">
        <f t="array" ref="AH13">IF(AND($N13&lt;&gt;"",AH$8&lt;&gt;""),COUNTIFS($K$9:$K$59,$N13,$L$9:$L$59,AH$8),0)</f>
        <v>0</v>
      </c>
      <c r="AI13" s="175">
        <f t="array" ref="AI13">IF(AND($N13&lt;&gt;"",AI$8&lt;&gt;""),COUNTIFS($K$9:$K$59,$N13,$L$9:$L$59,AI$8),0)</f>
        <v>0</v>
      </c>
      <c r="AJ13" s="175">
        <f t="array" ref="AJ13">IF(AND($N13&lt;&gt;"",AJ$8&lt;&gt;""),COUNTIFS($K$9:$K$59,$N13,$L$9:$L$59,AJ$8),0)</f>
        <v>0</v>
      </c>
      <c r="AK13" s="175">
        <f t="array" ref="AK13">IF(AND($N13&lt;&gt;"",AK$8&lt;&gt;""),COUNTIFS($K$9:$K$59,$N13,$L$9:$L$59,AK$8),0)</f>
        <v>0</v>
      </c>
      <c r="AL13" s="175">
        <f t="array" ref="AL13">IF(AND($N13&lt;&gt;"",AL$8&lt;&gt;""),COUNTIFS($K$9:$K$59,$N13,$L$9:$L$59,AL$8),0)</f>
        <v>0</v>
      </c>
      <c r="AM13" s="175">
        <f t="array" ref="AM13">IF(AND($N13&lt;&gt;"",AM$8&lt;&gt;""),COUNTIFS($K$9:$K$59,$N13,$L$9:$L$59,AM$8),0)</f>
        <v>0</v>
      </c>
      <c r="AN13" s="175">
        <f t="array" ref="AN13">IF(AND($N13&lt;&gt;"",AN$8&lt;&gt;""),COUNTIFS($K$9:$K$59,$N13,$L$9:$L$59,AN$8),0)</f>
        <v>0</v>
      </c>
      <c r="AO13" s="175">
        <f t="array" ref="AO13">IF(AND($N13&lt;&gt;"",AO$8&lt;&gt;""),COUNTIFS($K$9:$K$59,$N13,$L$9:$L$59,AO$8),0)</f>
        <v>0</v>
      </c>
      <c r="AP13" s="175">
        <f t="array" ref="AP13">IF(AND($N13&lt;&gt;"",AP$8&lt;&gt;""),COUNTIFS($K$9:$K$59,$N13,$L$9:$L$59,AP$8),0)</f>
        <v>0</v>
      </c>
      <c r="AQ13" s="175">
        <f t="array" ref="AQ13">IF(AND($N13&lt;&gt;"",AQ$8&lt;&gt;""),COUNTIFS($K$9:$K$59,$N13,$L$9:$L$59,AQ$8),0)</f>
        <v>0</v>
      </c>
      <c r="AR13" s="175">
        <f t="array" ref="AR13">IF(AND($N13&lt;&gt;"",AR$8&lt;&gt;""),COUNTIFS($K$9:$K$59,$N13,$L$9:$L$59,AR$8),0)</f>
        <v>0</v>
      </c>
      <c r="AS13" s="175">
        <f t="array" ref="AS13">IF(AND($N13&lt;&gt;"",AS$8&lt;&gt;""),COUNTIFS($K$9:$K$59,$N13,$L$9:$L$59,AS$8),0)</f>
        <v>0</v>
      </c>
      <c r="AT13" s="175">
        <f t="array" ref="AT13">IF(AND($N13&lt;&gt;"",AT$8&lt;&gt;""),COUNTIFS($K$9:$K$59,$N13,$L$9:$L$59,AT$8),0)</f>
        <v>0</v>
      </c>
      <c r="AU13" s="175">
        <f t="array" ref="AU13">IF(AND($N13&lt;&gt;"",AU$8&lt;&gt;""),COUNTIFS($K$9:$K$59,$N13,$L$9:$L$59,AU$8),0)</f>
        <v>0</v>
      </c>
      <c r="AV13" s="175">
        <f t="array" ref="AV13">IF(AND($N13&lt;&gt;"",AV$8&lt;&gt;""),COUNTIFS($K$9:$K$59,$N13,$L$9:$L$59,AV$8),0)</f>
        <v>0</v>
      </c>
      <c r="AW13" s="175">
        <f t="array" ref="AW13">IF(AND($N13&lt;&gt;"",AW$8&lt;&gt;""),COUNTIFS($K$9:$K$59,$N13,$L$9:$L$59,AW$8),0)</f>
        <v>0</v>
      </c>
      <c r="AX13" s="175">
        <f t="array" ref="AX13">IF(AND($N13&lt;&gt;"",AX$8&lt;&gt;""),COUNTIFS($K$9:$K$59,$N13,$L$9:$L$59,AX$8),0)</f>
        <v>0</v>
      </c>
      <c r="AY13" s="175">
        <f t="array" ref="AY13">IF(AND($N13&lt;&gt;"",AY$8&lt;&gt;""),COUNTIFS($K$9:$K$59,$N13,$L$9:$L$59,AY$8),0)</f>
        <v>0</v>
      </c>
      <c r="AZ13" s="175">
        <f t="array" ref="AZ13">IF(AND($N13&lt;&gt;"",AZ$8&lt;&gt;""),COUNTIFS($K$9:$K$59,$N13,$L$9:$L$59,AZ$8),0)</f>
        <v>0</v>
      </c>
      <c r="BA13" s="175">
        <f t="array" ref="BA13">IF(AND($N13&lt;&gt;"",BA$8&lt;&gt;""),COUNTIFS($K$9:$K$59,$N13,$L$9:$L$59,BA$8),0)</f>
        <v>0</v>
      </c>
      <c r="BB13" s="175">
        <f t="array" ref="BB13">IF(AND($N13&lt;&gt;"",BB$8&lt;&gt;""),COUNTIFS($K$9:$K$59,$N13,$L$9:$L$59,BB$8),0)</f>
        <v>0</v>
      </c>
      <c r="BC13" s="175">
        <f t="array" ref="BC13">IF(AND($N13&lt;&gt;"",BC$8&lt;&gt;""),COUNTIFS($K$9:$K$59,$N13,$L$9:$L$59,BC$8),0)</f>
        <v>0</v>
      </c>
      <c r="BD13" s="175">
        <f t="array" ref="BD13">IF(AND($N13&lt;&gt;"",BD$8&lt;&gt;""),COUNTIFS($K$9:$K$59,$N13,$L$9:$L$59,BD$8),0)</f>
        <v>0</v>
      </c>
      <c r="BE13" s="175">
        <f t="array" ref="BE13">IF(AND($N13&lt;&gt;"",BE$8&lt;&gt;""),COUNTIFS($K$9:$K$59,$N13,$L$9:$L$59,BE$8),0)</f>
        <v>0</v>
      </c>
      <c r="BF13" s="175">
        <f t="array" ref="BF13">IF(AND($N13&lt;&gt;"",BF$8&lt;&gt;""),COUNTIFS($K$9:$K$59,$N13,$L$9:$L$59,BF$8),0)</f>
        <v>0</v>
      </c>
      <c r="BG13" s="175">
        <f t="array" ref="BG13">IF(AND($N13&lt;&gt;"",BG$8&lt;&gt;""),COUNTIFS($K$9:$K$59,$N13,$L$9:$L$59,BG$8),0)</f>
        <v>0</v>
      </c>
      <c r="BH13" s="175">
        <f t="array" ref="BH13">IF(AND($N13&lt;&gt;"",BH$8&lt;&gt;""),COUNTIFS($K$9:$K$59,$N13,$L$9:$L$59,BH$8),0)</f>
        <v>0</v>
      </c>
      <c r="BI13" s="175">
        <f t="array" ref="BI13">IF(AND($N13&lt;&gt;"",BI$8&lt;&gt;""),COUNTIFS($K$9:$K$59,$N13,$L$9:$L$59,BI$8),0)</f>
        <v>0</v>
      </c>
      <c r="BJ13" s="175">
        <f t="array" ref="BJ13">IF(AND($N13&lt;&gt;"",BJ$8&lt;&gt;""),COUNTIFS($K$9:$K$59,$N13,$L$9:$L$59,BJ$8),0)</f>
        <v>0</v>
      </c>
      <c r="BK13" s="175">
        <f t="array" ref="BK13">IF(AND($N13&lt;&gt;"",BK$8&lt;&gt;""),COUNTIFS($K$9:$K$59,$N13,$L$9:$L$59,BK$8),0)</f>
        <v>0</v>
      </c>
      <c r="BL13" s="175">
        <f t="array" ref="BL13">IF(AND($N13&lt;&gt;"",BL$8&lt;&gt;""),COUNTIFS($K$9:$K$59,$N13,$L$9:$L$59,BL$8),0)</f>
        <v>0</v>
      </c>
    </row>
    <row r="14" spans="2:64" s="22" customFormat="1" x14ac:dyDescent="0.2">
      <c r="B14" s="119" t="s">
        <v>99</v>
      </c>
      <c r="C14" s="260"/>
      <c r="D14" s="118"/>
      <c r="E14" s="15"/>
      <c r="F14" s="15"/>
      <c r="G14" s="15"/>
      <c r="H14" s="15" t="s">
        <v>287</v>
      </c>
      <c r="I14" s="116" t="str">
        <f t="shared" si="1"/>
        <v>-</v>
      </c>
      <c r="J14" s="120"/>
      <c r="K14" s="195" t="str">
        <f t="shared" si="2"/>
        <v/>
      </c>
      <c r="L14" s="188" t="str">
        <f t="shared" si="0"/>
        <v/>
      </c>
      <c r="N14" s="185" t="str">
        <f t="array" ref="N14">IFERROR(INDEX($K$9:$K$59,MATCH(0,COUNTIF($N$8:$N13,$K$9:$K$59),0)),"")</f>
        <v/>
      </c>
      <c r="O14" s="175">
        <f t="array" ref="O14">IF(AND($N14&lt;&gt;"",O$8&lt;&gt;""),COUNTIFS($K$9:$K$59,$N14,$L$9:$L$59,O$8),0)</f>
        <v>0</v>
      </c>
      <c r="P14" s="175">
        <f t="array" ref="P14">IF(AND($N14&lt;&gt;"",P$8&lt;&gt;""),COUNTIFS($K$9:$K$59,$N14,$L$9:$L$59,P$8),0)</f>
        <v>0</v>
      </c>
      <c r="Q14" s="175">
        <f t="array" ref="Q14">IF(AND($N14&lt;&gt;"",Q$8&lt;&gt;""),COUNTIFS($K$9:$K$59,$N14,$L$9:$L$59,Q$8),0)</f>
        <v>0</v>
      </c>
      <c r="R14" s="175">
        <f t="array" ref="R14">IF(AND($N14&lt;&gt;"",R$8&lt;&gt;""),COUNTIFS($K$9:$K$59,$N14,$L$9:$L$59,R$8),0)</f>
        <v>0</v>
      </c>
      <c r="S14" s="175">
        <f t="array" ref="S14">IF(AND($N14&lt;&gt;"",S$8&lt;&gt;""),COUNTIFS($K$9:$K$59,$N14,$L$9:$L$59,S$8),0)</f>
        <v>0</v>
      </c>
      <c r="T14" s="175">
        <f t="array" ref="T14">IF(AND($N14&lt;&gt;"",T$8&lt;&gt;""),COUNTIFS($K$9:$K$59,$N14,$L$9:$L$59,T$8),0)</f>
        <v>0</v>
      </c>
      <c r="U14" s="175">
        <f t="array" ref="U14">IF(AND($N14&lt;&gt;"",U$8&lt;&gt;""),COUNTIFS($K$9:$K$59,$N14,$L$9:$L$59,U$8),0)</f>
        <v>0</v>
      </c>
      <c r="V14" s="175">
        <f t="array" ref="V14">IF(AND($N14&lt;&gt;"",V$8&lt;&gt;""),COUNTIFS($K$9:$K$59,$N14,$L$9:$L$59,V$8),0)</f>
        <v>0</v>
      </c>
      <c r="W14" s="175">
        <f t="array" ref="W14">IF(AND($N14&lt;&gt;"",W$8&lt;&gt;""),COUNTIFS($K$9:$K$59,$N14,$L$9:$L$59,W$8),0)</f>
        <v>0</v>
      </c>
      <c r="X14" s="175">
        <f t="array" ref="X14">IF(AND($N14&lt;&gt;"",X$8&lt;&gt;""),COUNTIFS($K$9:$K$59,$N14,$L$9:$L$59,X$8),0)</f>
        <v>0</v>
      </c>
      <c r="Y14" s="175">
        <f t="array" ref="Y14">IF(AND($N14&lt;&gt;"",Y$8&lt;&gt;""),COUNTIFS($K$9:$K$59,$N14,$L$9:$L$59,Y$8),0)</f>
        <v>0</v>
      </c>
      <c r="Z14" s="175">
        <f t="array" ref="Z14">IF(AND($N14&lt;&gt;"",Z$8&lt;&gt;""),COUNTIFS($K$9:$K$59,$N14,$L$9:$L$59,Z$8),0)</f>
        <v>0</v>
      </c>
      <c r="AA14" s="175">
        <f t="array" ref="AA14">IF(AND($N14&lt;&gt;"",AA$8&lt;&gt;""),COUNTIFS($K$9:$K$59,$N14,$L$9:$L$59,AA$8),0)</f>
        <v>0</v>
      </c>
      <c r="AB14" s="175">
        <f t="array" ref="AB14">IF(AND($N14&lt;&gt;"",AB$8&lt;&gt;""),COUNTIFS($K$9:$K$59,$N14,$L$9:$L$59,AB$8),0)</f>
        <v>0</v>
      </c>
      <c r="AC14" s="175">
        <f t="array" ref="AC14">IF(AND($N14&lt;&gt;"",AC$8&lt;&gt;""),COUNTIFS($K$9:$K$59,$N14,$L$9:$L$59,AC$8),0)</f>
        <v>0</v>
      </c>
      <c r="AD14" s="175">
        <f t="array" ref="AD14">IF(AND($N14&lt;&gt;"",AD$8&lt;&gt;""),COUNTIFS($K$9:$K$59,$N14,$L$9:$L$59,AD$8),0)</f>
        <v>0</v>
      </c>
      <c r="AE14" s="175">
        <f t="array" ref="AE14">IF(AND($N14&lt;&gt;"",AE$8&lt;&gt;""),COUNTIFS($K$9:$K$59,$N14,$L$9:$L$59,AE$8),0)</f>
        <v>0</v>
      </c>
      <c r="AF14" s="175">
        <f t="array" ref="AF14">IF(AND($N14&lt;&gt;"",AF$8&lt;&gt;""),COUNTIFS($K$9:$K$59,$N14,$L$9:$L$59,AF$8),0)</f>
        <v>0</v>
      </c>
      <c r="AG14" s="175">
        <f t="array" ref="AG14">IF(AND($N14&lt;&gt;"",AG$8&lt;&gt;""),COUNTIFS($K$9:$K$59,$N14,$L$9:$L$59,AG$8),0)</f>
        <v>0</v>
      </c>
      <c r="AH14" s="175">
        <f t="array" ref="AH14">IF(AND($N14&lt;&gt;"",AH$8&lt;&gt;""),COUNTIFS($K$9:$K$59,$N14,$L$9:$L$59,AH$8),0)</f>
        <v>0</v>
      </c>
      <c r="AI14" s="175">
        <f t="array" ref="AI14">IF(AND($N14&lt;&gt;"",AI$8&lt;&gt;""),COUNTIFS($K$9:$K$59,$N14,$L$9:$L$59,AI$8),0)</f>
        <v>0</v>
      </c>
      <c r="AJ14" s="175">
        <f t="array" ref="AJ14">IF(AND($N14&lt;&gt;"",AJ$8&lt;&gt;""),COUNTIFS($K$9:$K$59,$N14,$L$9:$L$59,AJ$8),0)</f>
        <v>0</v>
      </c>
      <c r="AK14" s="175">
        <f t="array" ref="AK14">IF(AND($N14&lt;&gt;"",AK$8&lt;&gt;""),COUNTIFS($K$9:$K$59,$N14,$L$9:$L$59,AK$8),0)</f>
        <v>0</v>
      </c>
      <c r="AL14" s="175">
        <f t="array" ref="AL14">IF(AND($N14&lt;&gt;"",AL$8&lt;&gt;""),COUNTIFS($K$9:$K$59,$N14,$L$9:$L$59,AL$8),0)</f>
        <v>0</v>
      </c>
      <c r="AM14" s="175">
        <f t="array" ref="AM14">IF(AND($N14&lt;&gt;"",AM$8&lt;&gt;""),COUNTIFS($K$9:$K$59,$N14,$L$9:$L$59,AM$8),0)</f>
        <v>0</v>
      </c>
      <c r="AN14" s="175">
        <f t="array" ref="AN14">IF(AND($N14&lt;&gt;"",AN$8&lt;&gt;""),COUNTIFS($K$9:$K$59,$N14,$L$9:$L$59,AN$8),0)</f>
        <v>0</v>
      </c>
      <c r="AO14" s="175">
        <f t="array" ref="AO14">IF(AND($N14&lt;&gt;"",AO$8&lt;&gt;""),COUNTIFS($K$9:$K$59,$N14,$L$9:$L$59,AO$8),0)</f>
        <v>0</v>
      </c>
      <c r="AP14" s="175">
        <f t="array" ref="AP14">IF(AND($N14&lt;&gt;"",AP$8&lt;&gt;""),COUNTIFS($K$9:$K$59,$N14,$L$9:$L$59,AP$8),0)</f>
        <v>0</v>
      </c>
      <c r="AQ14" s="175">
        <f t="array" ref="AQ14">IF(AND($N14&lt;&gt;"",AQ$8&lt;&gt;""),COUNTIFS($K$9:$K$59,$N14,$L$9:$L$59,AQ$8),0)</f>
        <v>0</v>
      </c>
      <c r="AR14" s="175">
        <f t="array" ref="AR14">IF(AND($N14&lt;&gt;"",AR$8&lt;&gt;""),COUNTIFS($K$9:$K$59,$N14,$L$9:$L$59,AR$8),0)</f>
        <v>0</v>
      </c>
      <c r="AS14" s="175">
        <f t="array" ref="AS14">IF(AND($N14&lt;&gt;"",AS$8&lt;&gt;""),COUNTIFS($K$9:$K$59,$N14,$L$9:$L$59,AS$8),0)</f>
        <v>0</v>
      </c>
      <c r="AT14" s="175">
        <f t="array" ref="AT14">IF(AND($N14&lt;&gt;"",AT$8&lt;&gt;""),COUNTIFS($K$9:$K$59,$N14,$L$9:$L$59,AT$8),0)</f>
        <v>0</v>
      </c>
      <c r="AU14" s="175">
        <f t="array" ref="AU14">IF(AND($N14&lt;&gt;"",AU$8&lt;&gt;""),COUNTIFS($K$9:$K$59,$N14,$L$9:$L$59,AU$8),0)</f>
        <v>0</v>
      </c>
      <c r="AV14" s="175">
        <f t="array" ref="AV14">IF(AND($N14&lt;&gt;"",AV$8&lt;&gt;""),COUNTIFS($K$9:$K$59,$N14,$L$9:$L$59,AV$8),0)</f>
        <v>0</v>
      </c>
      <c r="AW14" s="175">
        <f t="array" ref="AW14">IF(AND($N14&lt;&gt;"",AW$8&lt;&gt;""),COUNTIFS($K$9:$K$59,$N14,$L$9:$L$59,AW$8),0)</f>
        <v>0</v>
      </c>
      <c r="AX14" s="175">
        <f t="array" ref="AX14">IF(AND($N14&lt;&gt;"",AX$8&lt;&gt;""),COUNTIFS($K$9:$K$59,$N14,$L$9:$L$59,AX$8),0)</f>
        <v>0</v>
      </c>
      <c r="AY14" s="175">
        <f t="array" ref="AY14">IF(AND($N14&lt;&gt;"",AY$8&lt;&gt;""),COUNTIFS($K$9:$K$59,$N14,$L$9:$L$59,AY$8),0)</f>
        <v>0</v>
      </c>
      <c r="AZ14" s="175">
        <f t="array" ref="AZ14">IF(AND($N14&lt;&gt;"",AZ$8&lt;&gt;""),COUNTIFS($K$9:$K$59,$N14,$L$9:$L$59,AZ$8),0)</f>
        <v>0</v>
      </c>
      <c r="BA14" s="175">
        <f t="array" ref="BA14">IF(AND($N14&lt;&gt;"",BA$8&lt;&gt;""),COUNTIFS($K$9:$K$59,$N14,$L$9:$L$59,BA$8),0)</f>
        <v>0</v>
      </c>
      <c r="BB14" s="175">
        <f t="array" ref="BB14">IF(AND($N14&lt;&gt;"",BB$8&lt;&gt;""),COUNTIFS($K$9:$K$59,$N14,$L$9:$L$59,BB$8),0)</f>
        <v>0</v>
      </c>
      <c r="BC14" s="175">
        <f t="array" ref="BC14">IF(AND($N14&lt;&gt;"",BC$8&lt;&gt;""),COUNTIFS($K$9:$K$59,$N14,$L$9:$L$59,BC$8),0)</f>
        <v>0</v>
      </c>
      <c r="BD14" s="175">
        <f t="array" ref="BD14">IF(AND($N14&lt;&gt;"",BD$8&lt;&gt;""),COUNTIFS($K$9:$K$59,$N14,$L$9:$L$59,BD$8),0)</f>
        <v>0</v>
      </c>
      <c r="BE14" s="175">
        <f t="array" ref="BE14">IF(AND($N14&lt;&gt;"",BE$8&lt;&gt;""),COUNTIFS($K$9:$K$59,$N14,$L$9:$L$59,BE$8),0)</f>
        <v>0</v>
      </c>
      <c r="BF14" s="175">
        <f t="array" ref="BF14">IF(AND($N14&lt;&gt;"",BF$8&lt;&gt;""),COUNTIFS($K$9:$K$59,$N14,$L$9:$L$59,BF$8),0)</f>
        <v>0</v>
      </c>
      <c r="BG14" s="175">
        <f t="array" ref="BG14">IF(AND($N14&lt;&gt;"",BG$8&lt;&gt;""),COUNTIFS($K$9:$K$59,$N14,$L$9:$L$59,BG$8),0)</f>
        <v>0</v>
      </c>
      <c r="BH14" s="175">
        <f t="array" ref="BH14">IF(AND($N14&lt;&gt;"",BH$8&lt;&gt;""),COUNTIFS($K$9:$K$59,$N14,$L$9:$L$59,BH$8),0)</f>
        <v>0</v>
      </c>
      <c r="BI14" s="175">
        <f t="array" ref="BI14">IF(AND($N14&lt;&gt;"",BI$8&lt;&gt;""),COUNTIFS($K$9:$K$59,$N14,$L$9:$L$59,BI$8),0)</f>
        <v>0</v>
      </c>
      <c r="BJ14" s="175">
        <f t="array" ref="BJ14">IF(AND($N14&lt;&gt;"",BJ$8&lt;&gt;""),COUNTIFS($K$9:$K$59,$N14,$L$9:$L$59,BJ$8),0)</f>
        <v>0</v>
      </c>
      <c r="BK14" s="175">
        <f t="array" ref="BK14">IF(AND($N14&lt;&gt;"",BK$8&lt;&gt;""),COUNTIFS($K$9:$K$59,$N14,$L$9:$L$59,BK$8),0)</f>
        <v>0</v>
      </c>
      <c r="BL14" s="175">
        <f t="array" ref="BL14">IF(AND($N14&lt;&gt;"",BL$8&lt;&gt;""),COUNTIFS($K$9:$K$59,$N14,$L$9:$L$59,BL$8),0)</f>
        <v>0</v>
      </c>
    </row>
    <row r="15" spans="2:64" s="22" customFormat="1" x14ac:dyDescent="0.2">
      <c r="B15" s="119" t="s">
        <v>100</v>
      </c>
      <c r="C15" s="260"/>
      <c r="D15" s="118"/>
      <c r="E15" s="15"/>
      <c r="F15" s="15"/>
      <c r="G15" s="15"/>
      <c r="H15" s="15" t="s">
        <v>287</v>
      </c>
      <c r="I15" s="116" t="str">
        <f t="shared" si="1"/>
        <v>-</v>
      </c>
      <c r="J15" s="120"/>
      <c r="K15" s="195" t="str">
        <f t="shared" si="2"/>
        <v/>
      </c>
      <c r="L15" s="188" t="str">
        <f t="shared" si="0"/>
        <v/>
      </c>
      <c r="N15" s="185" t="str">
        <f t="array" ref="N15">IFERROR(INDEX($K$9:$K$59,MATCH(0,COUNTIF($N$8:$N14,$K$9:$K$59),0)),"")</f>
        <v/>
      </c>
      <c r="O15" s="175">
        <f t="array" ref="O15">IF(AND($N15&lt;&gt;"",O$8&lt;&gt;""),COUNTIFS($K$9:$K$59,$N15,$L$9:$L$59,O$8),0)</f>
        <v>0</v>
      </c>
      <c r="P15" s="175">
        <f t="array" ref="P15">IF(AND($N15&lt;&gt;"",P$8&lt;&gt;""),COUNTIFS($K$9:$K$59,$N15,$L$9:$L$59,P$8),0)</f>
        <v>0</v>
      </c>
      <c r="Q15" s="175">
        <f t="array" ref="Q15">IF(AND($N15&lt;&gt;"",Q$8&lt;&gt;""),COUNTIFS($K$9:$K$59,$N15,$L$9:$L$59,Q$8),0)</f>
        <v>0</v>
      </c>
      <c r="R15" s="175">
        <f t="array" ref="R15">IF(AND($N15&lt;&gt;"",R$8&lt;&gt;""),COUNTIFS($K$9:$K$59,$N15,$L$9:$L$59,R$8),0)</f>
        <v>0</v>
      </c>
      <c r="S15" s="175">
        <f t="array" ref="S15">IF(AND($N15&lt;&gt;"",S$8&lt;&gt;""),COUNTIFS($K$9:$K$59,$N15,$L$9:$L$59,S$8),0)</f>
        <v>0</v>
      </c>
      <c r="T15" s="175">
        <f t="array" ref="T15">IF(AND($N15&lt;&gt;"",T$8&lt;&gt;""),COUNTIFS($K$9:$K$59,$N15,$L$9:$L$59,T$8),0)</f>
        <v>0</v>
      </c>
      <c r="U15" s="175">
        <f t="array" ref="U15">IF(AND($N15&lt;&gt;"",U$8&lt;&gt;""),COUNTIFS($K$9:$K$59,$N15,$L$9:$L$59,U$8),0)</f>
        <v>0</v>
      </c>
      <c r="V15" s="175">
        <f t="array" ref="V15">IF(AND($N15&lt;&gt;"",V$8&lt;&gt;""),COUNTIFS($K$9:$K$59,$N15,$L$9:$L$59,V$8),0)</f>
        <v>0</v>
      </c>
      <c r="W15" s="175">
        <f t="array" ref="W15">IF(AND($N15&lt;&gt;"",W$8&lt;&gt;""),COUNTIFS($K$9:$K$59,$N15,$L$9:$L$59,W$8),0)</f>
        <v>0</v>
      </c>
      <c r="X15" s="175">
        <f t="array" ref="X15">IF(AND($N15&lt;&gt;"",X$8&lt;&gt;""),COUNTIFS($K$9:$K$59,$N15,$L$9:$L$59,X$8),0)</f>
        <v>0</v>
      </c>
      <c r="Y15" s="175">
        <f t="array" ref="Y15">IF(AND($N15&lt;&gt;"",Y$8&lt;&gt;""),COUNTIFS($K$9:$K$59,$N15,$L$9:$L$59,Y$8),0)</f>
        <v>0</v>
      </c>
      <c r="Z15" s="175">
        <f t="array" ref="Z15">IF(AND($N15&lt;&gt;"",Z$8&lt;&gt;""),COUNTIFS($K$9:$K$59,$N15,$L$9:$L$59,Z$8),0)</f>
        <v>0</v>
      </c>
      <c r="AA15" s="175">
        <f t="array" ref="AA15">IF(AND($N15&lt;&gt;"",AA$8&lt;&gt;""),COUNTIFS($K$9:$K$59,$N15,$L$9:$L$59,AA$8),0)</f>
        <v>0</v>
      </c>
      <c r="AB15" s="175">
        <f t="array" ref="AB15">IF(AND($N15&lt;&gt;"",AB$8&lt;&gt;""),COUNTIFS($K$9:$K$59,$N15,$L$9:$L$59,AB$8),0)</f>
        <v>0</v>
      </c>
      <c r="AC15" s="175">
        <f t="array" ref="AC15">IF(AND($N15&lt;&gt;"",AC$8&lt;&gt;""),COUNTIFS($K$9:$K$59,$N15,$L$9:$L$59,AC$8),0)</f>
        <v>0</v>
      </c>
      <c r="AD15" s="175">
        <f t="array" ref="AD15">IF(AND($N15&lt;&gt;"",AD$8&lt;&gt;""),COUNTIFS($K$9:$K$59,$N15,$L$9:$L$59,AD$8),0)</f>
        <v>0</v>
      </c>
      <c r="AE15" s="175">
        <f t="array" ref="AE15">IF(AND($N15&lt;&gt;"",AE$8&lt;&gt;""),COUNTIFS($K$9:$K$59,$N15,$L$9:$L$59,AE$8),0)</f>
        <v>0</v>
      </c>
      <c r="AF15" s="175">
        <f t="array" ref="AF15">IF(AND($N15&lt;&gt;"",AF$8&lt;&gt;""),COUNTIFS($K$9:$K$59,$N15,$L$9:$L$59,AF$8),0)</f>
        <v>0</v>
      </c>
      <c r="AG15" s="175">
        <f t="array" ref="AG15">IF(AND($N15&lt;&gt;"",AG$8&lt;&gt;""),COUNTIFS($K$9:$K$59,$N15,$L$9:$L$59,AG$8),0)</f>
        <v>0</v>
      </c>
      <c r="AH15" s="175">
        <f t="array" ref="AH15">IF(AND($N15&lt;&gt;"",AH$8&lt;&gt;""),COUNTIFS($K$9:$K$59,$N15,$L$9:$L$59,AH$8),0)</f>
        <v>0</v>
      </c>
      <c r="AI15" s="175">
        <f t="array" ref="AI15">IF(AND($N15&lt;&gt;"",AI$8&lt;&gt;""),COUNTIFS($K$9:$K$59,$N15,$L$9:$L$59,AI$8),0)</f>
        <v>0</v>
      </c>
      <c r="AJ15" s="175">
        <f t="array" ref="AJ15">IF(AND($N15&lt;&gt;"",AJ$8&lt;&gt;""),COUNTIFS($K$9:$K$59,$N15,$L$9:$L$59,AJ$8),0)</f>
        <v>0</v>
      </c>
      <c r="AK15" s="175">
        <f t="array" ref="AK15">IF(AND($N15&lt;&gt;"",AK$8&lt;&gt;""),COUNTIFS($K$9:$K$59,$N15,$L$9:$L$59,AK$8),0)</f>
        <v>0</v>
      </c>
      <c r="AL15" s="175">
        <f t="array" ref="AL15">IF(AND($N15&lt;&gt;"",AL$8&lt;&gt;""),COUNTIFS($K$9:$K$59,$N15,$L$9:$L$59,AL$8),0)</f>
        <v>0</v>
      </c>
      <c r="AM15" s="175">
        <f t="array" ref="AM15">IF(AND($N15&lt;&gt;"",AM$8&lt;&gt;""),COUNTIFS($K$9:$K$59,$N15,$L$9:$L$59,AM$8),0)</f>
        <v>0</v>
      </c>
      <c r="AN15" s="175">
        <f t="array" ref="AN15">IF(AND($N15&lt;&gt;"",AN$8&lt;&gt;""),COUNTIFS($K$9:$K$59,$N15,$L$9:$L$59,AN$8),0)</f>
        <v>0</v>
      </c>
      <c r="AO15" s="175">
        <f t="array" ref="AO15">IF(AND($N15&lt;&gt;"",AO$8&lt;&gt;""),COUNTIFS($K$9:$K$59,$N15,$L$9:$L$59,AO$8),0)</f>
        <v>0</v>
      </c>
      <c r="AP15" s="175">
        <f t="array" ref="AP15">IF(AND($N15&lt;&gt;"",AP$8&lt;&gt;""),COUNTIFS($K$9:$K$59,$N15,$L$9:$L$59,AP$8),0)</f>
        <v>0</v>
      </c>
      <c r="AQ15" s="175">
        <f t="array" ref="AQ15">IF(AND($N15&lt;&gt;"",AQ$8&lt;&gt;""),COUNTIFS($K$9:$K$59,$N15,$L$9:$L$59,AQ$8),0)</f>
        <v>0</v>
      </c>
      <c r="AR15" s="175">
        <f t="array" ref="AR15">IF(AND($N15&lt;&gt;"",AR$8&lt;&gt;""),COUNTIFS($K$9:$K$59,$N15,$L$9:$L$59,AR$8),0)</f>
        <v>0</v>
      </c>
      <c r="AS15" s="175">
        <f t="array" ref="AS15">IF(AND($N15&lt;&gt;"",AS$8&lt;&gt;""),COUNTIFS($K$9:$K$59,$N15,$L$9:$L$59,AS$8),0)</f>
        <v>0</v>
      </c>
      <c r="AT15" s="175">
        <f t="array" ref="AT15">IF(AND($N15&lt;&gt;"",AT$8&lt;&gt;""),COUNTIFS($K$9:$K$59,$N15,$L$9:$L$59,AT$8),0)</f>
        <v>0</v>
      </c>
      <c r="AU15" s="175">
        <f t="array" ref="AU15">IF(AND($N15&lt;&gt;"",AU$8&lt;&gt;""),COUNTIFS($K$9:$K$59,$N15,$L$9:$L$59,AU$8),0)</f>
        <v>0</v>
      </c>
      <c r="AV15" s="175">
        <f t="array" ref="AV15">IF(AND($N15&lt;&gt;"",AV$8&lt;&gt;""),COUNTIFS($K$9:$K$59,$N15,$L$9:$L$59,AV$8),0)</f>
        <v>0</v>
      </c>
      <c r="AW15" s="175">
        <f t="array" ref="AW15">IF(AND($N15&lt;&gt;"",AW$8&lt;&gt;""),COUNTIFS($K$9:$K$59,$N15,$L$9:$L$59,AW$8),0)</f>
        <v>0</v>
      </c>
      <c r="AX15" s="175">
        <f t="array" ref="AX15">IF(AND($N15&lt;&gt;"",AX$8&lt;&gt;""),COUNTIFS($K$9:$K$59,$N15,$L$9:$L$59,AX$8),0)</f>
        <v>0</v>
      </c>
      <c r="AY15" s="175">
        <f t="array" ref="AY15">IF(AND($N15&lt;&gt;"",AY$8&lt;&gt;""),COUNTIFS($K$9:$K$59,$N15,$L$9:$L$59,AY$8),0)</f>
        <v>0</v>
      </c>
      <c r="AZ15" s="175">
        <f t="array" ref="AZ15">IF(AND($N15&lt;&gt;"",AZ$8&lt;&gt;""),COUNTIFS($K$9:$K$59,$N15,$L$9:$L$59,AZ$8),0)</f>
        <v>0</v>
      </c>
      <c r="BA15" s="175">
        <f t="array" ref="BA15">IF(AND($N15&lt;&gt;"",BA$8&lt;&gt;""),COUNTIFS($K$9:$K$59,$N15,$L$9:$L$59,BA$8),0)</f>
        <v>0</v>
      </c>
      <c r="BB15" s="175">
        <f t="array" ref="BB15">IF(AND($N15&lt;&gt;"",BB$8&lt;&gt;""),COUNTIFS($K$9:$K$59,$N15,$L$9:$L$59,BB$8),0)</f>
        <v>0</v>
      </c>
      <c r="BC15" s="175">
        <f t="array" ref="BC15">IF(AND($N15&lt;&gt;"",BC$8&lt;&gt;""),COUNTIFS($K$9:$K$59,$N15,$L$9:$L$59,BC$8),0)</f>
        <v>0</v>
      </c>
      <c r="BD15" s="175">
        <f t="array" ref="BD15">IF(AND($N15&lt;&gt;"",BD$8&lt;&gt;""),COUNTIFS($K$9:$K$59,$N15,$L$9:$L$59,BD$8),0)</f>
        <v>0</v>
      </c>
      <c r="BE15" s="175">
        <f t="array" ref="BE15">IF(AND($N15&lt;&gt;"",BE$8&lt;&gt;""),COUNTIFS($K$9:$K$59,$N15,$L$9:$L$59,BE$8),0)</f>
        <v>0</v>
      </c>
      <c r="BF15" s="175">
        <f t="array" ref="BF15">IF(AND($N15&lt;&gt;"",BF$8&lt;&gt;""),COUNTIFS($K$9:$K$59,$N15,$L$9:$L$59,BF$8),0)</f>
        <v>0</v>
      </c>
      <c r="BG15" s="175">
        <f t="array" ref="BG15">IF(AND($N15&lt;&gt;"",BG$8&lt;&gt;""),COUNTIFS($K$9:$K$59,$N15,$L$9:$L$59,BG$8),0)</f>
        <v>0</v>
      </c>
      <c r="BH15" s="175">
        <f t="array" ref="BH15">IF(AND($N15&lt;&gt;"",BH$8&lt;&gt;""),COUNTIFS($K$9:$K$59,$N15,$L$9:$L$59,BH$8),0)</f>
        <v>0</v>
      </c>
      <c r="BI15" s="175">
        <f t="array" ref="BI15">IF(AND($N15&lt;&gt;"",BI$8&lt;&gt;""),COUNTIFS($K$9:$K$59,$N15,$L$9:$L$59,BI$8),0)</f>
        <v>0</v>
      </c>
      <c r="BJ15" s="175">
        <f t="array" ref="BJ15">IF(AND($N15&lt;&gt;"",BJ$8&lt;&gt;""),COUNTIFS($K$9:$K$59,$N15,$L$9:$L$59,BJ$8),0)</f>
        <v>0</v>
      </c>
      <c r="BK15" s="175">
        <f t="array" ref="BK15">IF(AND($N15&lt;&gt;"",BK$8&lt;&gt;""),COUNTIFS($K$9:$K$59,$N15,$L$9:$L$59,BK$8),0)</f>
        <v>0</v>
      </c>
      <c r="BL15" s="175">
        <f t="array" ref="BL15">IF(AND($N15&lt;&gt;"",BL$8&lt;&gt;""),COUNTIFS($K$9:$K$59,$N15,$L$9:$L$59,BL$8),0)</f>
        <v>0</v>
      </c>
    </row>
    <row r="16" spans="2:64" s="22" customFormat="1" x14ac:dyDescent="0.2">
      <c r="B16" s="119" t="s">
        <v>101</v>
      </c>
      <c r="C16" s="260"/>
      <c r="D16" s="118"/>
      <c r="E16" s="15"/>
      <c r="F16" s="15"/>
      <c r="G16" s="15"/>
      <c r="H16" s="15" t="s">
        <v>287</v>
      </c>
      <c r="I16" s="116" t="str">
        <f t="shared" si="1"/>
        <v>-</v>
      </c>
      <c r="J16" s="120"/>
      <c r="K16" s="195" t="str">
        <f t="shared" si="2"/>
        <v/>
      </c>
      <c r="L16" s="188" t="str">
        <f t="shared" si="0"/>
        <v/>
      </c>
      <c r="N16" s="185" t="str">
        <f t="array" ref="N16">IFERROR(INDEX($K$9:$K$59,MATCH(0,COUNTIF($N$8:$N15,$K$9:$K$59),0)),"")</f>
        <v/>
      </c>
      <c r="O16" s="175">
        <f t="array" ref="O16">IF(AND($N16&lt;&gt;"",O$8&lt;&gt;""),COUNTIFS($K$9:$K$59,$N16,$L$9:$L$59,O$8),0)</f>
        <v>0</v>
      </c>
      <c r="P16" s="175">
        <f t="array" ref="P16">IF(AND($N16&lt;&gt;"",P$8&lt;&gt;""),COUNTIFS($K$9:$K$59,$N16,$L$9:$L$59,P$8),0)</f>
        <v>0</v>
      </c>
      <c r="Q16" s="175">
        <f t="array" ref="Q16">IF(AND($N16&lt;&gt;"",Q$8&lt;&gt;""),COUNTIFS($K$9:$K$59,$N16,$L$9:$L$59,Q$8),0)</f>
        <v>0</v>
      </c>
      <c r="R16" s="175">
        <f t="array" ref="R16">IF(AND($N16&lt;&gt;"",R$8&lt;&gt;""),COUNTIFS($K$9:$K$59,$N16,$L$9:$L$59,R$8),0)</f>
        <v>0</v>
      </c>
      <c r="S16" s="175">
        <f t="array" ref="S16">IF(AND($N16&lt;&gt;"",S$8&lt;&gt;""),COUNTIFS($K$9:$K$59,$N16,$L$9:$L$59,S$8),0)</f>
        <v>0</v>
      </c>
      <c r="T16" s="175">
        <f t="array" ref="T16">IF(AND($N16&lt;&gt;"",T$8&lt;&gt;""),COUNTIFS($K$9:$K$59,$N16,$L$9:$L$59,T$8),0)</f>
        <v>0</v>
      </c>
      <c r="U16" s="175">
        <f t="array" ref="U16">IF(AND($N16&lt;&gt;"",U$8&lt;&gt;""),COUNTIFS($K$9:$K$59,$N16,$L$9:$L$59,U$8),0)</f>
        <v>0</v>
      </c>
      <c r="V16" s="175">
        <f t="array" ref="V16">IF(AND($N16&lt;&gt;"",V$8&lt;&gt;""),COUNTIFS($K$9:$K$59,$N16,$L$9:$L$59,V$8),0)</f>
        <v>0</v>
      </c>
      <c r="W16" s="175">
        <f t="array" ref="W16">IF(AND($N16&lt;&gt;"",W$8&lt;&gt;""),COUNTIFS($K$9:$K$59,$N16,$L$9:$L$59,W$8),0)</f>
        <v>0</v>
      </c>
      <c r="X16" s="175">
        <f t="array" ref="X16">IF(AND($N16&lt;&gt;"",X$8&lt;&gt;""),COUNTIFS($K$9:$K$59,$N16,$L$9:$L$59,X$8),0)</f>
        <v>0</v>
      </c>
      <c r="Y16" s="175">
        <f t="array" ref="Y16">IF(AND($N16&lt;&gt;"",Y$8&lt;&gt;""),COUNTIFS($K$9:$K$59,$N16,$L$9:$L$59,Y$8),0)</f>
        <v>0</v>
      </c>
      <c r="Z16" s="175">
        <f t="array" ref="Z16">IF(AND($N16&lt;&gt;"",Z$8&lt;&gt;""),COUNTIFS($K$9:$K$59,$N16,$L$9:$L$59,Z$8),0)</f>
        <v>0</v>
      </c>
      <c r="AA16" s="175">
        <f t="array" ref="AA16">IF(AND($N16&lt;&gt;"",AA$8&lt;&gt;""),COUNTIFS($K$9:$K$59,$N16,$L$9:$L$59,AA$8),0)</f>
        <v>0</v>
      </c>
      <c r="AB16" s="175">
        <f t="array" ref="AB16">IF(AND($N16&lt;&gt;"",AB$8&lt;&gt;""),COUNTIFS($K$9:$K$59,$N16,$L$9:$L$59,AB$8),0)</f>
        <v>0</v>
      </c>
      <c r="AC16" s="175">
        <f t="array" ref="AC16">IF(AND($N16&lt;&gt;"",AC$8&lt;&gt;""),COUNTIFS($K$9:$K$59,$N16,$L$9:$L$59,AC$8),0)</f>
        <v>0</v>
      </c>
      <c r="AD16" s="175">
        <f t="array" ref="AD16">IF(AND($N16&lt;&gt;"",AD$8&lt;&gt;""),COUNTIFS($K$9:$K$59,$N16,$L$9:$L$59,AD$8),0)</f>
        <v>0</v>
      </c>
      <c r="AE16" s="175">
        <f t="array" ref="AE16">IF(AND($N16&lt;&gt;"",AE$8&lt;&gt;""),COUNTIFS($K$9:$K$59,$N16,$L$9:$L$59,AE$8),0)</f>
        <v>0</v>
      </c>
      <c r="AF16" s="175">
        <f t="array" ref="AF16">IF(AND($N16&lt;&gt;"",AF$8&lt;&gt;""),COUNTIFS($K$9:$K$59,$N16,$L$9:$L$59,AF$8),0)</f>
        <v>0</v>
      </c>
      <c r="AG16" s="175">
        <f t="array" ref="AG16">IF(AND($N16&lt;&gt;"",AG$8&lt;&gt;""),COUNTIFS($K$9:$K$59,$N16,$L$9:$L$59,AG$8),0)</f>
        <v>0</v>
      </c>
      <c r="AH16" s="175">
        <f t="array" ref="AH16">IF(AND($N16&lt;&gt;"",AH$8&lt;&gt;""),COUNTIFS($K$9:$K$59,$N16,$L$9:$L$59,AH$8),0)</f>
        <v>0</v>
      </c>
      <c r="AI16" s="175">
        <f t="array" ref="AI16">IF(AND($N16&lt;&gt;"",AI$8&lt;&gt;""),COUNTIFS($K$9:$K$59,$N16,$L$9:$L$59,AI$8),0)</f>
        <v>0</v>
      </c>
      <c r="AJ16" s="175">
        <f t="array" ref="AJ16">IF(AND($N16&lt;&gt;"",AJ$8&lt;&gt;""),COUNTIFS($K$9:$K$59,$N16,$L$9:$L$59,AJ$8),0)</f>
        <v>0</v>
      </c>
      <c r="AK16" s="175">
        <f t="array" ref="AK16">IF(AND($N16&lt;&gt;"",AK$8&lt;&gt;""),COUNTIFS($K$9:$K$59,$N16,$L$9:$L$59,AK$8),0)</f>
        <v>0</v>
      </c>
      <c r="AL16" s="175">
        <f t="array" ref="AL16">IF(AND($N16&lt;&gt;"",AL$8&lt;&gt;""),COUNTIFS($K$9:$K$59,$N16,$L$9:$L$59,AL$8),0)</f>
        <v>0</v>
      </c>
      <c r="AM16" s="175">
        <f t="array" ref="AM16">IF(AND($N16&lt;&gt;"",AM$8&lt;&gt;""),COUNTIFS($K$9:$K$59,$N16,$L$9:$L$59,AM$8),0)</f>
        <v>0</v>
      </c>
      <c r="AN16" s="175">
        <f t="array" ref="AN16">IF(AND($N16&lt;&gt;"",AN$8&lt;&gt;""),COUNTIFS($K$9:$K$59,$N16,$L$9:$L$59,AN$8),0)</f>
        <v>0</v>
      </c>
      <c r="AO16" s="175">
        <f t="array" ref="AO16">IF(AND($N16&lt;&gt;"",AO$8&lt;&gt;""),COUNTIFS($K$9:$K$59,$N16,$L$9:$L$59,AO$8),0)</f>
        <v>0</v>
      </c>
      <c r="AP16" s="175">
        <f t="array" ref="AP16">IF(AND($N16&lt;&gt;"",AP$8&lt;&gt;""),COUNTIFS($K$9:$K$59,$N16,$L$9:$L$59,AP$8),0)</f>
        <v>0</v>
      </c>
      <c r="AQ16" s="175">
        <f t="array" ref="AQ16">IF(AND($N16&lt;&gt;"",AQ$8&lt;&gt;""),COUNTIFS($K$9:$K$59,$N16,$L$9:$L$59,AQ$8),0)</f>
        <v>0</v>
      </c>
      <c r="AR16" s="175">
        <f t="array" ref="AR16">IF(AND($N16&lt;&gt;"",AR$8&lt;&gt;""),COUNTIFS($K$9:$K$59,$N16,$L$9:$L$59,AR$8),0)</f>
        <v>0</v>
      </c>
      <c r="AS16" s="175">
        <f t="array" ref="AS16">IF(AND($N16&lt;&gt;"",AS$8&lt;&gt;""),COUNTIFS($K$9:$K$59,$N16,$L$9:$L$59,AS$8),0)</f>
        <v>0</v>
      </c>
      <c r="AT16" s="175">
        <f t="array" ref="AT16">IF(AND($N16&lt;&gt;"",AT$8&lt;&gt;""),COUNTIFS($K$9:$K$59,$N16,$L$9:$L$59,AT$8),0)</f>
        <v>0</v>
      </c>
      <c r="AU16" s="175">
        <f t="array" ref="AU16">IF(AND($N16&lt;&gt;"",AU$8&lt;&gt;""),COUNTIFS($K$9:$K$59,$N16,$L$9:$L$59,AU$8),0)</f>
        <v>0</v>
      </c>
      <c r="AV16" s="175">
        <f t="array" ref="AV16">IF(AND($N16&lt;&gt;"",AV$8&lt;&gt;""),COUNTIFS($K$9:$K$59,$N16,$L$9:$L$59,AV$8),0)</f>
        <v>0</v>
      </c>
      <c r="AW16" s="175">
        <f t="array" ref="AW16">IF(AND($N16&lt;&gt;"",AW$8&lt;&gt;""),COUNTIFS($K$9:$K$59,$N16,$L$9:$L$59,AW$8),0)</f>
        <v>0</v>
      </c>
      <c r="AX16" s="175">
        <f t="array" ref="AX16">IF(AND($N16&lt;&gt;"",AX$8&lt;&gt;""),COUNTIFS($K$9:$K$59,$N16,$L$9:$L$59,AX$8),0)</f>
        <v>0</v>
      </c>
      <c r="AY16" s="175">
        <f t="array" ref="AY16">IF(AND($N16&lt;&gt;"",AY$8&lt;&gt;""),COUNTIFS($K$9:$K$59,$N16,$L$9:$L$59,AY$8),0)</f>
        <v>0</v>
      </c>
      <c r="AZ16" s="175">
        <f t="array" ref="AZ16">IF(AND($N16&lt;&gt;"",AZ$8&lt;&gt;""),COUNTIFS($K$9:$K$59,$N16,$L$9:$L$59,AZ$8),0)</f>
        <v>0</v>
      </c>
      <c r="BA16" s="175">
        <f t="array" ref="BA16">IF(AND($N16&lt;&gt;"",BA$8&lt;&gt;""),COUNTIFS($K$9:$K$59,$N16,$L$9:$L$59,BA$8),0)</f>
        <v>0</v>
      </c>
      <c r="BB16" s="175">
        <f t="array" ref="BB16">IF(AND($N16&lt;&gt;"",BB$8&lt;&gt;""),COUNTIFS($K$9:$K$59,$N16,$L$9:$L$59,BB$8),0)</f>
        <v>0</v>
      </c>
      <c r="BC16" s="175">
        <f t="array" ref="BC16">IF(AND($N16&lt;&gt;"",BC$8&lt;&gt;""),COUNTIFS($K$9:$K$59,$N16,$L$9:$L$59,BC$8),0)</f>
        <v>0</v>
      </c>
      <c r="BD16" s="175">
        <f t="array" ref="BD16">IF(AND($N16&lt;&gt;"",BD$8&lt;&gt;""),COUNTIFS($K$9:$K$59,$N16,$L$9:$L$59,BD$8),0)</f>
        <v>0</v>
      </c>
      <c r="BE16" s="175">
        <f t="array" ref="BE16">IF(AND($N16&lt;&gt;"",BE$8&lt;&gt;""),COUNTIFS($K$9:$K$59,$N16,$L$9:$L$59,BE$8),0)</f>
        <v>0</v>
      </c>
      <c r="BF16" s="175">
        <f t="array" ref="BF16">IF(AND($N16&lt;&gt;"",BF$8&lt;&gt;""),COUNTIFS($K$9:$K$59,$N16,$L$9:$L$59,BF$8),0)</f>
        <v>0</v>
      </c>
      <c r="BG16" s="175">
        <f t="array" ref="BG16">IF(AND($N16&lt;&gt;"",BG$8&lt;&gt;""),COUNTIFS($K$9:$K$59,$N16,$L$9:$L$59,BG$8),0)</f>
        <v>0</v>
      </c>
      <c r="BH16" s="175">
        <f t="array" ref="BH16">IF(AND($N16&lt;&gt;"",BH$8&lt;&gt;""),COUNTIFS($K$9:$K$59,$N16,$L$9:$L$59,BH$8),0)</f>
        <v>0</v>
      </c>
      <c r="BI16" s="175">
        <f t="array" ref="BI16">IF(AND($N16&lt;&gt;"",BI$8&lt;&gt;""),COUNTIFS($K$9:$K$59,$N16,$L$9:$L$59,BI$8),0)</f>
        <v>0</v>
      </c>
      <c r="BJ16" s="175">
        <f t="array" ref="BJ16">IF(AND($N16&lt;&gt;"",BJ$8&lt;&gt;""),COUNTIFS($K$9:$K$59,$N16,$L$9:$L$59,BJ$8),0)</f>
        <v>0</v>
      </c>
      <c r="BK16" s="175">
        <f t="array" ref="BK16">IF(AND($N16&lt;&gt;"",BK$8&lt;&gt;""),COUNTIFS($K$9:$K$59,$N16,$L$9:$L$59,BK$8),0)</f>
        <v>0</v>
      </c>
      <c r="BL16" s="175">
        <f t="array" ref="BL16">IF(AND($N16&lt;&gt;"",BL$8&lt;&gt;""),COUNTIFS($K$9:$K$59,$N16,$L$9:$L$59,BL$8),0)</f>
        <v>0</v>
      </c>
    </row>
    <row r="17" spans="2:64" s="22" customFormat="1" x14ac:dyDescent="0.2">
      <c r="B17" s="119" t="s">
        <v>102</v>
      </c>
      <c r="C17" s="260"/>
      <c r="D17" s="118"/>
      <c r="E17" s="15"/>
      <c r="F17" s="15"/>
      <c r="G17" s="15"/>
      <c r="H17" s="15" t="s">
        <v>287</v>
      </c>
      <c r="I17" s="116" t="str">
        <f t="shared" si="1"/>
        <v>-</v>
      </c>
      <c r="J17" s="120"/>
      <c r="K17" s="195" t="str">
        <f t="shared" si="2"/>
        <v/>
      </c>
      <c r="L17" s="188" t="str">
        <f t="shared" si="0"/>
        <v/>
      </c>
      <c r="N17" s="185" t="str">
        <f t="array" ref="N17">IFERROR(INDEX($K$9:$K$59,MATCH(0,COUNTIF($N$8:$N16,$K$9:$K$59),0)),"")</f>
        <v/>
      </c>
      <c r="O17" s="175">
        <f t="array" ref="O17">IF(AND($N17&lt;&gt;"",O$8&lt;&gt;""),COUNTIFS($K$9:$K$59,$N17,$L$9:$L$59,O$8),0)</f>
        <v>0</v>
      </c>
      <c r="P17" s="175">
        <f t="array" ref="P17">IF(AND($N17&lt;&gt;"",P$8&lt;&gt;""),COUNTIFS($K$9:$K$59,$N17,$L$9:$L$59,P$8),0)</f>
        <v>0</v>
      </c>
      <c r="Q17" s="175">
        <f t="array" ref="Q17">IF(AND($N17&lt;&gt;"",Q$8&lt;&gt;""),COUNTIFS($K$9:$K$59,$N17,$L$9:$L$59,Q$8),0)</f>
        <v>0</v>
      </c>
      <c r="R17" s="175">
        <f t="array" ref="R17">IF(AND($N17&lt;&gt;"",R$8&lt;&gt;""),COUNTIFS($K$9:$K$59,$N17,$L$9:$L$59,R$8),0)</f>
        <v>0</v>
      </c>
      <c r="S17" s="175">
        <f t="array" ref="S17">IF(AND($N17&lt;&gt;"",S$8&lt;&gt;""),COUNTIFS($K$9:$K$59,$N17,$L$9:$L$59,S$8),0)</f>
        <v>0</v>
      </c>
      <c r="T17" s="175">
        <f t="array" ref="T17">IF(AND($N17&lt;&gt;"",T$8&lt;&gt;""),COUNTIFS($K$9:$K$59,$N17,$L$9:$L$59,T$8),0)</f>
        <v>0</v>
      </c>
      <c r="U17" s="175">
        <f t="array" ref="U17">IF(AND($N17&lt;&gt;"",U$8&lt;&gt;""),COUNTIFS($K$9:$K$59,$N17,$L$9:$L$59,U$8),0)</f>
        <v>0</v>
      </c>
      <c r="V17" s="175">
        <f t="array" ref="V17">IF(AND($N17&lt;&gt;"",V$8&lt;&gt;""),COUNTIFS($K$9:$K$59,$N17,$L$9:$L$59,V$8),0)</f>
        <v>0</v>
      </c>
      <c r="W17" s="175">
        <f t="array" ref="W17">IF(AND($N17&lt;&gt;"",W$8&lt;&gt;""),COUNTIFS($K$9:$K$59,$N17,$L$9:$L$59,W$8),0)</f>
        <v>0</v>
      </c>
      <c r="X17" s="175">
        <f t="array" ref="X17">IF(AND($N17&lt;&gt;"",X$8&lt;&gt;""),COUNTIFS($K$9:$K$59,$N17,$L$9:$L$59,X$8),0)</f>
        <v>0</v>
      </c>
      <c r="Y17" s="175">
        <f t="array" ref="Y17">IF(AND($N17&lt;&gt;"",Y$8&lt;&gt;""),COUNTIFS($K$9:$K$59,$N17,$L$9:$L$59,Y$8),0)</f>
        <v>0</v>
      </c>
      <c r="Z17" s="175">
        <f t="array" ref="Z17">IF(AND($N17&lt;&gt;"",Z$8&lt;&gt;""),COUNTIFS($K$9:$K$59,$N17,$L$9:$L$59,Z$8),0)</f>
        <v>0</v>
      </c>
      <c r="AA17" s="175">
        <f t="array" ref="AA17">IF(AND($N17&lt;&gt;"",AA$8&lt;&gt;""),COUNTIFS($K$9:$K$59,$N17,$L$9:$L$59,AA$8),0)</f>
        <v>0</v>
      </c>
      <c r="AB17" s="175">
        <f t="array" ref="AB17">IF(AND($N17&lt;&gt;"",AB$8&lt;&gt;""),COUNTIFS($K$9:$K$59,$N17,$L$9:$L$59,AB$8),0)</f>
        <v>0</v>
      </c>
      <c r="AC17" s="175">
        <f t="array" ref="AC17">IF(AND($N17&lt;&gt;"",AC$8&lt;&gt;""),COUNTIFS($K$9:$K$59,$N17,$L$9:$L$59,AC$8),0)</f>
        <v>0</v>
      </c>
      <c r="AD17" s="175">
        <f t="array" ref="AD17">IF(AND($N17&lt;&gt;"",AD$8&lt;&gt;""),COUNTIFS($K$9:$K$59,$N17,$L$9:$L$59,AD$8),0)</f>
        <v>0</v>
      </c>
      <c r="AE17" s="175">
        <f t="array" ref="AE17">IF(AND($N17&lt;&gt;"",AE$8&lt;&gt;""),COUNTIFS($K$9:$K$59,$N17,$L$9:$L$59,AE$8),0)</f>
        <v>0</v>
      </c>
      <c r="AF17" s="175">
        <f t="array" ref="AF17">IF(AND($N17&lt;&gt;"",AF$8&lt;&gt;""),COUNTIFS($K$9:$K$59,$N17,$L$9:$L$59,AF$8),0)</f>
        <v>0</v>
      </c>
      <c r="AG17" s="175">
        <f t="array" ref="AG17">IF(AND($N17&lt;&gt;"",AG$8&lt;&gt;""),COUNTIFS($K$9:$K$59,$N17,$L$9:$L$59,AG$8),0)</f>
        <v>0</v>
      </c>
      <c r="AH17" s="175">
        <f t="array" ref="AH17">IF(AND($N17&lt;&gt;"",AH$8&lt;&gt;""),COUNTIFS($K$9:$K$59,$N17,$L$9:$L$59,AH$8),0)</f>
        <v>0</v>
      </c>
      <c r="AI17" s="175">
        <f t="array" ref="AI17">IF(AND($N17&lt;&gt;"",AI$8&lt;&gt;""),COUNTIFS($K$9:$K$59,$N17,$L$9:$L$59,AI$8),0)</f>
        <v>0</v>
      </c>
      <c r="AJ17" s="175">
        <f t="array" ref="AJ17">IF(AND($N17&lt;&gt;"",AJ$8&lt;&gt;""),COUNTIFS($K$9:$K$59,$N17,$L$9:$L$59,AJ$8),0)</f>
        <v>0</v>
      </c>
      <c r="AK17" s="175">
        <f t="array" ref="AK17">IF(AND($N17&lt;&gt;"",AK$8&lt;&gt;""),COUNTIFS($K$9:$K$59,$N17,$L$9:$L$59,AK$8),0)</f>
        <v>0</v>
      </c>
      <c r="AL17" s="175">
        <f t="array" ref="AL17">IF(AND($N17&lt;&gt;"",AL$8&lt;&gt;""),COUNTIFS($K$9:$K$59,$N17,$L$9:$L$59,AL$8),0)</f>
        <v>0</v>
      </c>
      <c r="AM17" s="175">
        <f t="array" ref="AM17">IF(AND($N17&lt;&gt;"",AM$8&lt;&gt;""),COUNTIFS($K$9:$K$59,$N17,$L$9:$L$59,AM$8),0)</f>
        <v>0</v>
      </c>
      <c r="AN17" s="175">
        <f t="array" ref="AN17">IF(AND($N17&lt;&gt;"",AN$8&lt;&gt;""),COUNTIFS($K$9:$K$59,$N17,$L$9:$L$59,AN$8),0)</f>
        <v>0</v>
      </c>
      <c r="AO17" s="175">
        <f t="array" ref="AO17">IF(AND($N17&lt;&gt;"",AO$8&lt;&gt;""),COUNTIFS($K$9:$K$59,$N17,$L$9:$L$59,AO$8),0)</f>
        <v>0</v>
      </c>
      <c r="AP17" s="175">
        <f t="array" ref="AP17">IF(AND($N17&lt;&gt;"",AP$8&lt;&gt;""),COUNTIFS($K$9:$K$59,$N17,$L$9:$L$59,AP$8),0)</f>
        <v>0</v>
      </c>
      <c r="AQ17" s="175">
        <f t="array" ref="AQ17">IF(AND($N17&lt;&gt;"",AQ$8&lt;&gt;""),COUNTIFS($K$9:$K$59,$N17,$L$9:$L$59,AQ$8),0)</f>
        <v>0</v>
      </c>
      <c r="AR17" s="175">
        <f t="array" ref="AR17">IF(AND($N17&lt;&gt;"",AR$8&lt;&gt;""),COUNTIFS($K$9:$K$59,$N17,$L$9:$L$59,AR$8),0)</f>
        <v>0</v>
      </c>
      <c r="AS17" s="175">
        <f t="array" ref="AS17">IF(AND($N17&lt;&gt;"",AS$8&lt;&gt;""),COUNTIFS($K$9:$K$59,$N17,$L$9:$L$59,AS$8),0)</f>
        <v>0</v>
      </c>
      <c r="AT17" s="175">
        <f t="array" ref="AT17">IF(AND($N17&lt;&gt;"",AT$8&lt;&gt;""),COUNTIFS($K$9:$K$59,$N17,$L$9:$L$59,AT$8),0)</f>
        <v>0</v>
      </c>
      <c r="AU17" s="175">
        <f t="array" ref="AU17">IF(AND($N17&lt;&gt;"",AU$8&lt;&gt;""),COUNTIFS($K$9:$K$59,$N17,$L$9:$L$59,AU$8),0)</f>
        <v>0</v>
      </c>
      <c r="AV17" s="175">
        <f t="array" ref="AV17">IF(AND($N17&lt;&gt;"",AV$8&lt;&gt;""),COUNTIFS($K$9:$K$59,$N17,$L$9:$L$59,AV$8),0)</f>
        <v>0</v>
      </c>
      <c r="AW17" s="175">
        <f t="array" ref="AW17">IF(AND($N17&lt;&gt;"",AW$8&lt;&gt;""),COUNTIFS($K$9:$K$59,$N17,$L$9:$L$59,AW$8),0)</f>
        <v>0</v>
      </c>
      <c r="AX17" s="175">
        <f t="array" ref="AX17">IF(AND($N17&lt;&gt;"",AX$8&lt;&gt;""),COUNTIFS($K$9:$K$59,$N17,$L$9:$L$59,AX$8),0)</f>
        <v>0</v>
      </c>
      <c r="AY17" s="175">
        <f t="array" ref="AY17">IF(AND($N17&lt;&gt;"",AY$8&lt;&gt;""),COUNTIFS($K$9:$K$59,$N17,$L$9:$L$59,AY$8),0)</f>
        <v>0</v>
      </c>
      <c r="AZ17" s="175">
        <f t="array" ref="AZ17">IF(AND($N17&lt;&gt;"",AZ$8&lt;&gt;""),COUNTIFS($K$9:$K$59,$N17,$L$9:$L$59,AZ$8),0)</f>
        <v>0</v>
      </c>
      <c r="BA17" s="175">
        <f t="array" ref="BA17">IF(AND($N17&lt;&gt;"",BA$8&lt;&gt;""),COUNTIFS($K$9:$K$59,$N17,$L$9:$L$59,BA$8),0)</f>
        <v>0</v>
      </c>
      <c r="BB17" s="175">
        <f t="array" ref="BB17">IF(AND($N17&lt;&gt;"",BB$8&lt;&gt;""),COUNTIFS($K$9:$K$59,$N17,$L$9:$L$59,BB$8),0)</f>
        <v>0</v>
      </c>
      <c r="BC17" s="175">
        <f t="array" ref="BC17">IF(AND($N17&lt;&gt;"",BC$8&lt;&gt;""),COUNTIFS($K$9:$K$59,$N17,$L$9:$L$59,BC$8),0)</f>
        <v>0</v>
      </c>
      <c r="BD17" s="175">
        <f t="array" ref="BD17">IF(AND($N17&lt;&gt;"",BD$8&lt;&gt;""),COUNTIFS($K$9:$K$59,$N17,$L$9:$L$59,BD$8),0)</f>
        <v>0</v>
      </c>
      <c r="BE17" s="175">
        <f t="array" ref="BE17">IF(AND($N17&lt;&gt;"",BE$8&lt;&gt;""),COUNTIFS($K$9:$K$59,$N17,$L$9:$L$59,BE$8),0)</f>
        <v>0</v>
      </c>
      <c r="BF17" s="175">
        <f t="array" ref="BF17">IF(AND($N17&lt;&gt;"",BF$8&lt;&gt;""),COUNTIFS($K$9:$K$59,$N17,$L$9:$L$59,BF$8),0)</f>
        <v>0</v>
      </c>
      <c r="BG17" s="175">
        <f t="array" ref="BG17">IF(AND($N17&lt;&gt;"",BG$8&lt;&gt;""),COUNTIFS($K$9:$K$59,$N17,$L$9:$L$59,BG$8),0)</f>
        <v>0</v>
      </c>
      <c r="BH17" s="175">
        <f t="array" ref="BH17">IF(AND($N17&lt;&gt;"",BH$8&lt;&gt;""),COUNTIFS($K$9:$K$59,$N17,$L$9:$L$59,BH$8),0)</f>
        <v>0</v>
      </c>
      <c r="BI17" s="175">
        <f t="array" ref="BI17">IF(AND($N17&lt;&gt;"",BI$8&lt;&gt;""),COUNTIFS($K$9:$K$59,$N17,$L$9:$L$59,BI$8),0)</f>
        <v>0</v>
      </c>
      <c r="BJ17" s="175">
        <f t="array" ref="BJ17">IF(AND($N17&lt;&gt;"",BJ$8&lt;&gt;""),COUNTIFS($K$9:$K$59,$N17,$L$9:$L$59,BJ$8),0)</f>
        <v>0</v>
      </c>
      <c r="BK17" s="175">
        <f t="array" ref="BK17">IF(AND($N17&lt;&gt;"",BK$8&lt;&gt;""),COUNTIFS($K$9:$K$59,$N17,$L$9:$L$59,BK$8),0)</f>
        <v>0</v>
      </c>
      <c r="BL17" s="175">
        <f t="array" ref="BL17">IF(AND($N17&lt;&gt;"",BL$8&lt;&gt;""),COUNTIFS($K$9:$K$59,$N17,$L$9:$L$59,BL$8),0)</f>
        <v>0</v>
      </c>
    </row>
    <row r="18" spans="2:64" s="22" customFormat="1" x14ac:dyDescent="0.2">
      <c r="B18" s="119" t="s">
        <v>103</v>
      </c>
      <c r="C18" s="260"/>
      <c r="D18" s="118"/>
      <c r="E18" s="15"/>
      <c r="F18" s="15"/>
      <c r="G18" s="15"/>
      <c r="H18" s="15" t="s">
        <v>287</v>
      </c>
      <c r="I18" s="116" t="str">
        <f t="shared" si="1"/>
        <v>-</v>
      </c>
      <c r="J18" s="120"/>
      <c r="K18" s="195" t="str">
        <f t="shared" si="2"/>
        <v/>
      </c>
      <c r="L18" s="188" t="str">
        <f t="shared" si="0"/>
        <v/>
      </c>
      <c r="N18" s="185" t="str">
        <f t="array" ref="N18">IFERROR(INDEX($K$9:$K$59,MATCH(0,COUNTIF($N$8:$N17,$K$9:$K$59),0)),"")</f>
        <v/>
      </c>
      <c r="O18" s="175">
        <f t="array" ref="O18">IF(AND($N18&lt;&gt;"",O$8&lt;&gt;""),COUNTIFS($K$9:$K$59,$N18,$L$9:$L$59,O$8),0)</f>
        <v>0</v>
      </c>
      <c r="P18" s="175">
        <f t="array" ref="P18">IF(AND($N18&lt;&gt;"",P$8&lt;&gt;""),COUNTIFS($K$9:$K$59,$N18,$L$9:$L$59,P$8),0)</f>
        <v>0</v>
      </c>
      <c r="Q18" s="175">
        <f t="array" ref="Q18">IF(AND($N18&lt;&gt;"",Q$8&lt;&gt;""),COUNTIFS($K$9:$K$59,$N18,$L$9:$L$59,Q$8),0)</f>
        <v>0</v>
      </c>
      <c r="R18" s="175">
        <f t="array" ref="R18">IF(AND($N18&lt;&gt;"",R$8&lt;&gt;""),COUNTIFS($K$9:$K$59,$N18,$L$9:$L$59,R$8),0)</f>
        <v>0</v>
      </c>
      <c r="S18" s="175">
        <f t="array" ref="S18">IF(AND($N18&lt;&gt;"",S$8&lt;&gt;""),COUNTIFS($K$9:$K$59,$N18,$L$9:$L$59,S$8),0)</f>
        <v>0</v>
      </c>
      <c r="T18" s="175">
        <f t="array" ref="T18">IF(AND($N18&lt;&gt;"",T$8&lt;&gt;""),COUNTIFS($K$9:$K$59,$N18,$L$9:$L$59,T$8),0)</f>
        <v>0</v>
      </c>
      <c r="U18" s="175">
        <f t="array" ref="U18">IF(AND($N18&lt;&gt;"",U$8&lt;&gt;""),COUNTIFS($K$9:$K$59,$N18,$L$9:$L$59,U$8),0)</f>
        <v>0</v>
      </c>
      <c r="V18" s="175">
        <f t="array" ref="V18">IF(AND($N18&lt;&gt;"",V$8&lt;&gt;""),COUNTIFS($K$9:$K$59,$N18,$L$9:$L$59,V$8),0)</f>
        <v>0</v>
      </c>
      <c r="W18" s="175">
        <f t="array" ref="W18">IF(AND($N18&lt;&gt;"",W$8&lt;&gt;""),COUNTIFS($K$9:$K$59,$N18,$L$9:$L$59,W$8),0)</f>
        <v>0</v>
      </c>
      <c r="X18" s="175">
        <f t="array" ref="X18">IF(AND($N18&lt;&gt;"",X$8&lt;&gt;""),COUNTIFS($K$9:$K$59,$N18,$L$9:$L$59,X$8),0)</f>
        <v>0</v>
      </c>
      <c r="Y18" s="175">
        <f t="array" ref="Y18">IF(AND($N18&lt;&gt;"",Y$8&lt;&gt;""),COUNTIFS($K$9:$K$59,$N18,$L$9:$L$59,Y$8),0)</f>
        <v>0</v>
      </c>
      <c r="Z18" s="175">
        <f t="array" ref="Z18">IF(AND($N18&lt;&gt;"",Z$8&lt;&gt;""),COUNTIFS($K$9:$K$59,$N18,$L$9:$L$59,Z$8),0)</f>
        <v>0</v>
      </c>
      <c r="AA18" s="175">
        <f t="array" ref="AA18">IF(AND($N18&lt;&gt;"",AA$8&lt;&gt;""),COUNTIFS($K$9:$K$59,$N18,$L$9:$L$59,AA$8),0)</f>
        <v>0</v>
      </c>
      <c r="AB18" s="175">
        <f t="array" ref="AB18">IF(AND($N18&lt;&gt;"",AB$8&lt;&gt;""),COUNTIFS($K$9:$K$59,$N18,$L$9:$L$59,AB$8),0)</f>
        <v>0</v>
      </c>
      <c r="AC18" s="175">
        <f t="array" ref="AC18">IF(AND($N18&lt;&gt;"",AC$8&lt;&gt;""),COUNTIFS($K$9:$K$59,$N18,$L$9:$L$59,AC$8),0)</f>
        <v>0</v>
      </c>
      <c r="AD18" s="175">
        <f t="array" ref="AD18">IF(AND($N18&lt;&gt;"",AD$8&lt;&gt;""),COUNTIFS($K$9:$K$59,$N18,$L$9:$L$59,AD$8),0)</f>
        <v>0</v>
      </c>
      <c r="AE18" s="175">
        <f t="array" ref="AE18">IF(AND($N18&lt;&gt;"",AE$8&lt;&gt;""),COUNTIFS($K$9:$K$59,$N18,$L$9:$L$59,AE$8),0)</f>
        <v>0</v>
      </c>
      <c r="AF18" s="175">
        <f t="array" ref="AF18">IF(AND($N18&lt;&gt;"",AF$8&lt;&gt;""),COUNTIFS($K$9:$K$59,$N18,$L$9:$L$59,AF$8),0)</f>
        <v>0</v>
      </c>
      <c r="AG18" s="175">
        <f t="array" ref="AG18">IF(AND($N18&lt;&gt;"",AG$8&lt;&gt;""),COUNTIFS($K$9:$K$59,$N18,$L$9:$L$59,AG$8),0)</f>
        <v>0</v>
      </c>
      <c r="AH18" s="175">
        <f t="array" ref="AH18">IF(AND($N18&lt;&gt;"",AH$8&lt;&gt;""),COUNTIFS($K$9:$K$59,$N18,$L$9:$L$59,AH$8),0)</f>
        <v>0</v>
      </c>
      <c r="AI18" s="175">
        <f t="array" ref="AI18">IF(AND($N18&lt;&gt;"",AI$8&lt;&gt;""),COUNTIFS($K$9:$K$59,$N18,$L$9:$L$59,AI$8),0)</f>
        <v>0</v>
      </c>
      <c r="AJ18" s="175">
        <f t="array" ref="AJ18">IF(AND($N18&lt;&gt;"",AJ$8&lt;&gt;""),COUNTIFS($K$9:$K$59,$N18,$L$9:$L$59,AJ$8),0)</f>
        <v>0</v>
      </c>
      <c r="AK18" s="175">
        <f t="array" ref="AK18">IF(AND($N18&lt;&gt;"",AK$8&lt;&gt;""),COUNTIFS($K$9:$K$59,$N18,$L$9:$L$59,AK$8),0)</f>
        <v>0</v>
      </c>
      <c r="AL18" s="175">
        <f t="array" ref="AL18">IF(AND($N18&lt;&gt;"",AL$8&lt;&gt;""),COUNTIFS($K$9:$K$59,$N18,$L$9:$L$59,AL$8),0)</f>
        <v>0</v>
      </c>
      <c r="AM18" s="175">
        <f t="array" ref="AM18">IF(AND($N18&lt;&gt;"",AM$8&lt;&gt;""),COUNTIFS($K$9:$K$59,$N18,$L$9:$L$59,AM$8),0)</f>
        <v>0</v>
      </c>
      <c r="AN18" s="175">
        <f t="array" ref="AN18">IF(AND($N18&lt;&gt;"",AN$8&lt;&gt;""),COUNTIFS($K$9:$K$59,$N18,$L$9:$L$59,AN$8),0)</f>
        <v>0</v>
      </c>
      <c r="AO18" s="175">
        <f t="array" ref="AO18">IF(AND($N18&lt;&gt;"",AO$8&lt;&gt;""),COUNTIFS($K$9:$K$59,$N18,$L$9:$L$59,AO$8),0)</f>
        <v>0</v>
      </c>
      <c r="AP18" s="175">
        <f t="array" ref="AP18">IF(AND($N18&lt;&gt;"",AP$8&lt;&gt;""),COUNTIFS($K$9:$K$59,$N18,$L$9:$L$59,AP$8),0)</f>
        <v>0</v>
      </c>
      <c r="AQ18" s="175">
        <f t="array" ref="AQ18">IF(AND($N18&lt;&gt;"",AQ$8&lt;&gt;""),COUNTIFS($K$9:$K$59,$N18,$L$9:$L$59,AQ$8),0)</f>
        <v>0</v>
      </c>
      <c r="AR18" s="175">
        <f t="array" ref="AR18">IF(AND($N18&lt;&gt;"",AR$8&lt;&gt;""),COUNTIFS($K$9:$K$59,$N18,$L$9:$L$59,AR$8),0)</f>
        <v>0</v>
      </c>
      <c r="AS18" s="175">
        <f t="array" ref="AS18">IF(AND($N18&lt;&gt;"",AS$8&lt;&gt;""),COUNTIFS($K$9:$K$59,$N18,$L$9:$L$59,AS$8),0)</f>
        <v>0</v>
      </c>
      <c r="AT18" s="175">
        <f t="array" ref="AT18">IF(AND($N18&lt;&gt;"",AT$8&lt;&gt;""),COUNTIFS($K$9:$K$59,$N18,$L$9:$L$59,AT$8),0)</f>
        <v>0</v>
      </c>
      <c r="AU18" s="175">
        <f t="array" ref="AU18">IF(AND($N18&lt;&gt;"",AU$8&lt;&gt;""),COUNTIFS($K$9:$K$59,$N18,$L$9:$L$59,AU$8),0)</f>
        <v>0</v>
      </c>
      <c r="AV18" s="175">
        <f t="array" ref="AV18">IF(AND($N18&lt;&gt;"",AV$8&lt;&gt;""),COUNTIFS($K$9:$K$59,$N18,$L$9:$L$59,AV$8),0)</f>
        <v>0</v>
      </c>
      <c r="AW18" s="175">
        <f t="array" ref="AW18">IF(AND($N18&lt;&gt;"",AW$8&lt;&gt;""),COUNTIFS($K$9:$K$59,$N18,$L$9:$L$59,AW$8),0)</f>
        <v>0</v>
      </c>
      <c r="AX18" s="175">
        <f t="array" ref="AX18">IF(AND($N18&lt;&gt;"",AX$8&lt;&gt;""),COUNTIFS($K$9:$K$59,$N18,$L$9:$L$59,AX$8),0)</f>
        <v>0</v>
      </c>
      <c r="AY18" s="175">
        <f t="array" ref="AY18">IF(AND($N18&lt;&gt;"",AY$8&lt;&gt;""),COUNTIFS($K$9:$K$59,$N18,$L$9:$L$59,AY$8),0)</f>
        <v>0</v>
      </c>
      <c r="AZ18" s="175">
        <f t="array" ref="AZ18">IF(AND($N18&lt;&gt;"",AZ$8&lt;&gt;""),COUNTIFS($K$9:$K$59,$N18,$L$9:$L$59,AZ$8),0)</f>
        <v>0</v>
      </c>
      <c r="BA18" s="175">
        <f t="array" ref="BA18">IF(AND($N18&lt;&gt;"",BA$8&lt;&gt;""),COUNTIFS($K$9:$K$59,$N18,$L$9:$L$59,BA$8),0)</f>
        <v>0</v>
      </c>
      <c r="BB18" s="175">
        <f t="array" ref="BB18">IF(AND($N18&lt;&gt;"",BB$8&lt;&gt;""),COUNTIFS($K$9:$K$59,$N18,$L$9:$L$59,BB$8),0)</f>
        <v>0</v>
      </c>
      <c r="BC18" s="175">
        <f t="array" ref="BC18">IF(AND($N18&lt;&gt;"",BC$8&lt;&gt;""),COUNTIFS($K$9:$K$59,$N18,$L$9:$L$59,BC$8),0)</f>
        <v>0</v>
      </c>
      <c r="BD18" s="175">
        <f t="array" ref="BD18">IF(AND($N18&lt;&gt;"",BD$8&lt;&gt;""),COUNTIFS($K$9:$K$59,$N18,$L$9:$L$59,BD$8),0)</f>
        <v>0</v>
      </c>
      <c r="BE18" s="175">
        <f t="array" ref="BE18">IF(AND($N18&lt;&gt;"",BE$8&lt;&gt;""),COUNTIFS($K$9:$K$59,$N18,$L$9:$L$59,BE$8),0)</f>
        <v>0</v>
      </c>
      <c r="BF18" s="175">
        <f t="array" ref="BF18">IF(AND($N18&lt;&gt;"",BF$8&lt;&gt;""),COUNTIFS($K$9:$K$59,$N18,$L$9:$L$59,BF$8),0)</f>
        <v>0</v>
      </c>
      <c r="BG18" s="175">
        <f t="array" ref="BG18">IF(AND($N18&lt;&gt;"",BG$8&lt;&gt;""),COUNTIFS($K$9:$K$59,$N18,$L$9:$L$59,BG$8),0)</f>
        <v>0</v>
      </c>
      <c r="BH18" s="175">
        <f t="array" ref="BH18">IF(AND($N18&lt;&gt;"",BH$8&lt;&gt;""),COUNTIFS($K$9:$K$59,$N18,$L$9:$L$59,BH$8),0)</f>
        <v>0</v>
      </c>
      <c r="BI18" s="175">
        <f t="array" ref="BI18">IF(AND($N18&lt;&gt;"",BI$8&lt;&gt;""),COUNTIFS($K$9:$K$59,$N18,$L$9:$L$59,BI$8),0)</f>
        <v>0</v>
      </c>
      <c r="BJ18" s="175">
        <f t="array" ref="BJ18">IF(AND($N18&lt;&gt;"",BJ$8&lt;&gt;""),COUNTIFS($K$9:$K$59,$N18,$L$9:$L$59,BJ$8),0)</f>
        <v>0</v>
      </c>
      <c r="BK18" s="175">
        <f t="array" ref="BK18">IF(AND($N18&lt;&gt;"",BK$8&lt;&gt;""),COUNTIFS($K$9:$K$59,$N18,$L$9:$L$59,BK$8),0)</f>
        <v>0</v>
      </c>
      <c r="BL18" s="175">
        <f t="array" ref="BL18">IF(AND($N18&lt;&gt;"",BL$8&lt;&gt;""),COUNTIFS($K$9:$K$59,$N18,$L$9:$L$59,BL$8),0)</f>
        <v>0</v>
      </c>
    </row>
    <row r="19" spans="2:64" s="22" customFormat="1" x14ac:dyDescent="0.2">
      <c r="B19" s="119" t="s">
        <v>104</v>
      </c>
      <c r="C19" s="260"/>
      <c r="D19" s="118"/>
      <c r="E19" s="15"/>
      <c r="F19" s="15"/>
      <c r="G19" s="15"/>
      <c r="H19" s="15" t="s">
        <v>287</v>
      </c>
      <c r="I19" s="116" t="str">
        <f t="shared" si="1"/>
        <v>-</v>
      </c>
      <c r="J19" s="120"/>
      <c r="K19" s="195" t="str">
        <f t="shared" si="2"/>
        <v/>
      </c>
      <c r="L19" s="188" t="str">
        <f>IF(D19&lt;&gt;"",IF(E19="Rígida","PVV "&amp;D19&amp;" ","Flex "&amp;D19&amp;" - ")&amp;IF(F19&lt;100,0,"")&amp;F19&amp;"x"&amp;G19&amp;" "&amp;E19,"")</f>
        <v/>
      </c>
      <c r="N19" s="185" t="str">
        <f t="array" ref="N19">IFERROR(INDEX($K$9:$K$59,MATCH(0,COUNTIF($N$8:$N18,$K$9:$K$59),0)),"")</f>
        <v/>
      </c>
      <c r="O19" s="175">
        <f t="array" ref="O19">IF(AND($N19&lt;&gt;"",O$8&lt;&gt;""),COUNTIFS($K$9:$K$59,$N19,$L$9:$L$59,O$8),0)</f>
        <v>0</v>
      </c>
      <c r="P19" s="175">
        <f t="array" ref="P19">IF(AND($N19&lt;&gt;"",P$8&lt;&gt;""),COUNTIFS($K$9:$K$59,$N19,$L$9:$L$59,P$8),0)</f>
        <v>0</v>
      </c>
      <c r="Q19" s="175">
        <f t="array" ref="Q19">IF(AND($N19&lt;&gt;"",Q$8&lt;&gt;""),COUNTIFS($K$9:$K$59,$N19,$L$9:$L$59,Q$8),0)</f>
        <v>0</v>
      </c>
      <c r="R19" s="175">
        <f t="array" ref="R19">IF(AND($N19&lt;&gt;"",R$8&lt;&gt;""),COUNTIFS($K$9:$K$59,$N19,$L$9:$L$59,R$8),0)</f>
        <v>0</v>
      </c>
      <c r="S19" s="175">
        <f t="array" ref="S19">IF(AND($N19&lt;&gt;"",S$8&lt;&gt;""),COUNTIFS($K$9:$K$59,$N19,$L$9:$L$59,S$8),0)</f>
        <v>0</v>
      </c>
      <c r="T19" s="175">
        <f t="array" ref="T19">IF(AND($N19&lt;&gt;"",T$8&lt;&gt;""),COUNTIFS($K$9:$K$59,$N19,$L$9:$L$59,T$8),0)</f>
        <v>0</v>
      </c>
      <c r="U19" s="175">
        <f t="array" ref="U19">IF(AND($N19&lt;&gt;"",U$8&lt;&gt;""),COUNTIFS($K$9:$K$59,$N19,$L$9:$L$59,U$8),0)</f>
        <v>0</v>
      </c>
      <c r="V19" s="175">
        <f t="array" ref="V19">IF(AND($N19&lt;&gt;"",V$8&lt;&gt;""),COUNTIFS($K$9:$K$59,$N19,$L$9:$L$59,V$8),0)</f>
        <v>0</v>
      </c>
      <c r="W19" s="175">
        <f t="array" ref="W19">IF(AND($N19&lt;&gt;"",W$8&lt;&gt;""),COUNTIFS($K$9:$K$59,$N19,$L$9:$L$59,W$8),0)</f>
        <v>0</v>
      </c>
      <c r="X19" s="175">
        <f t="array" ref="X19">IF(AND($N19&lt;&gt;"",X$8&lt;&gt;""),COUNTIFS($K$9:$K$59,$N19,$L$9:$L$59,X$8),0)</f>
        <v>0</v>
      </c>
      <c r="Y19" s="175">
        <f t="array" ref="Y19">IF(AND($N19&lt;&gt;"",Y$8&lt;&gt;""),COUNTIFS($K$9:$K$59,$N19,$L$9:$L$59,Y$8),0)</f>
        <v>0</v>
      </c>
      <c r="Z19" s="175">
        <f t="array" ref="Z19">IF(AND($N19&lt;&gt;"",Z$8&lt;&gt;""),COUNTIFS($K$9:$K$59,$N19,$L$9:$L$59,Z$8),0)</f>
        <v>0</v>
      </c>
      <c r="AA19" s="175">
        <f t="array" ref="AA19">IF(AND($N19&lt;&gt;"",AA$8&lt;&gt;""),COUNTIFS($K$9:$K$59,$N19,$L$9:$L$59,AA$8),0)</f>
        <v>0</v>
      </c>
      <c r="AB19" s="175">
        <f t="array" ref="AB19">IF(AND($N19&lt;&gt;"",AB$8&lt;&gt;""),COUNTIFS($K$9:$K$59,$N19,$L$9:$L$59,AB$8),0)</f>
        <v>0</v>
      </c>
      <c r="AC19" s="175">
        <f t="array" ref="AC19">IF(AND($N19&lt;&gt;"",AC$8&lt;&gt;""),COUNTIFS($K$9:$K$59,$N19,$L$9:$L$59,AC$8),0)</f>
        <v>0</v>
      </c>
      <c r="AD19" s="175">
        <f t="array" ref="AD19">IF(AND($N19&lt;&gt;"",AD$8&lt;&gt;""),COUNTIFS($K$9:$K$59,$N19,$L$9:$L$59,AD$8),0)</f>
        <v>0</v>
      </c>
      <c r="AE19" s="175">
        <f t="array" ref="AE19">IF(AND($N19&lt;&gt;"",AE$8&lt;&gt;""),COUNTIFS($K$9:$K$59,$N19,$L$9:$L$59,AE$8),0)</f>
        <v>0</v>
      </c>
      <c r="AF19" s="175">
        <f t="array" ref="AF19">IF(AND($N19&lt;&gt;"",AF$8&lt;&gt;""),COUNTIFS($K$9:$K$59,$N19,$L$9:$L$59,AF$8),0)</f>
        <v>0</v>
      </c>
      <c r="AG19" s="175">
        <f t="array" ref="AG19">IF(AND($N19&lt;&gt;"",AG$8&lt;&gt;""),COUNTIFS($K$9:$K$59,$N19,$L$9:$L$59,AG$8),0)</f>
        <v>0</v>
      </c>
      <c r="AH19" s="175">
        <f t="array" ref="AH19">IF(AND($N19&lt;&gt;"",AH$8&lt;&gt;""),COUNTIFS($K$9:$K$59,$N19,$L$9:$L$59,AH$8),0)</f>
        <v>0</v>
      </c>
      <c r="AI19" s="175">
        <f t="array" ref="AI19">IF(AND($N19&lt;&gt;"",AI$8&lt;&gt;""),COUNTIFS($K$9:$K$59,$N19,$L$9:$L$59,AI$8),0)</f>
        <v>0</v>
      </c>
      <c r="AJ19" s="175">
        <f t="array" ref="AJ19">IF(AND($N19&lt;&gt;"",AJ$8&lt;&gt;""),COUNTIFS($K$9:$K$59,$N19,$L$9:$L$59,AJ$8),0)</f>
        <v>0</v>
      </c>
      <c r="AK19" s="175">
        <f t="array" ref="AK19">IF(AND($N19&lt;&gt;"",AK$8&lt;&gt;""),COUNTIFS($K$9:$K$59,$N19,$L$9:$L$59,AK$8),0)</f>
        <v>0</v>
      </c>
      <c r="AL19" s="175">
        <f t="array" ref="AL19">IF(AND($N19&lt;&gt;"",AL$8&lt;&gt;""),COUNTIFS($K$9:$K$59,$N19,$L$9:$L$59,AL$8),0)</f>
        <v>0</v>
      </c>
      <c r="AM19" s="175">
        <f t="array" ref="AM19">IF(AND($N19&lt;&gt;"",AM$8&lt;&gt;""),COUNTIFS($K$9:$K$59,$N19,$L$9:$L$59,AM$8),0)</f>
        <v>0</v>
      </c>
      <c r="AN19" s="175">
        <f t="array" ref="AN19">IF(AND($N19&lt;&gt;"",AN$8&lt;&gt;""),COUNTIFS($K$9:$K$59,$N19,$L$9:$L$59,AN$8),0)</f>
        <v>0</v>
      </c>
      <c r="AO19" s="175">
        <f t="array" ref="AO19">IF(AND($N19&lt;&gt;"",AO$8&lt;&gt;""),COUNTIFS($K$9:$K$59,$N19,$L$9:$L$59,AO$8),0)</f>
        <v>0</v>
      </c>
      <c r="AP19" s="175">
        <f t="array" ref="AP19">IF(AND($N19&lt;&gt;"",AP$8&lt;&gt;""),COUNTIFS($K$9:$K$59,$N19,$L$9:$L$59,AP$8),0)</f>
        <v>0</v>
      </c>
      <c r="AQ19" s="175">
        <f t="array" ref="AQ19">IF(AND($N19&lt;&gt;"",AQ$8&lt;&gt;""),COUNTIFS($K$9:$K$59,$N19,$L$9:$L$59,AQ$8),0)</f>
        <v>0</v>
      </c>
      <c r="AR19" s="175">
        <f t="array" ref="AR19">IF(AND($N19&lt;&gt;"",AR$8&lt;&gt;""),COUNTIFS($K$9:$K$59,$N19,$L$9:$L$59,AR$8),0)</f>
        <v>0</v>
      </c>
      <c r="AS19" s="175">
        <f t="array" ref="AS19">IF(AND($N19&lt;&gt;"",AS$8&lt;&gt;""),COUNTIFS($K$9:$K$59,$N19,$L$9:$L$59,AS$8),0)</f>
        <v>0</v>
      </c>
      <c r="AT19" s="175">
        <f t="array" ref="AT19">IF(AND($N19&lt;&gt;"",AT$8&lt;&gt;""),COUNTIFS($K$9:$K$59,$N19,$L$9:$L$59,AT$8),0)</f>
        <v>0</v>
      </c>
      <c r="AU19" s="175">
        <f t="array" ref="AU19">IF(AND($N19&lt;&gt;"",AU$8&lt;&gt;""),COUNTIFS($K$9:$K$59,$N19,$L$9:$L$59,AU$8),0)</f>
        <v>0</v>
      </c>
      <c r="AV19" s="175">
        <f t="array" ref="AV19">IF(AND($N19&lt;&gt;"",AV$8&lt;&gt;""),COUNTIFS($K$9:$K$59,$N19,$L$9:$L$59,AV$8),0)</f>
        <v>0</v>
      </c>
      <c r="AW19" s="175">
        <f t="array" ref="AW19">IF(AND($N19&lt;&gt;"",AW$8&lt;&gt;""),COUNTIFS($K$9:$K$59,$N19,$L$9:$L$59,AW$8),0)</f>
        <v>0</v>
      </c>
      <c r="AX19" s="175">
        <f t="array" ref="AX19">IF(AND($N19&lt;&gt;"",AX$8&lt;&gt;""),COUNTIFS($K$9:$K$59,$N19,$L$9:$L$59,AX$8),0)</f>
        <v>0</v>
      </c>
      <c r="AY19" s="175">
        <f t="array" ref="AY19">IF(AND($N19&lt;&gt;"",AY$8&lt;&gt;""),COUNTIFS($K$9:$K$59,$N19,$L$9:$L$59,AY$8),0)</f>
        <v>0</v>
      </c>
      <c r="AZ19" s="175">
        <f t="array" ref="AZ19">IF(AND($N19&lt;&gt;"",AZ$8&lt;&gt;""),COUNTIFS($K$9:$K$59,$N19,$L$9:$L$59,AZ$8),0)</f>
        <v>0</v>
      </c>
      <c r="BA19" s="175">
        <f t="array" ref="BA19">IF(AND($N19&lt;&gt;"",BA$8&lt;&gt;""),COUNTIFS($K$9:$K$59,$N19,$L$9:$L$59,BA$8),0)</f>
        <v>0</v>
      </c>
      <c r="BB19" s="175">
        <f t="array" ref="BB19">IF(AND($N19&lt;&gt;"",BB$8&lt;&gt;""),COUNTIFS($K$9:$K$59,$N19,$L$9:$L$59,BB$8),0)</f>
        <v>0</v>
      </c>
      <c r="BC19" s="175">
        <f t="array" ref="BC19">IF(AND($N19&lt;&gt;"",BC$8&lt;&gt;""),COUNTIFS($K$9:$K$59,$N19,$L$9:$L$59,BC$8),0)</f>
        <v>0</v>
      </c>
      <c r="BD19" s="175">
        <f t="array" ref="BD19">IF(AND($N19&lt;&gt;"",BD$8&lt;&gt;""),COUNTIFS($K$9:$K$59,$N19,$L$9:$L$59,BD$8),0)</f>
        <v>0</v>
      </c>
      <c r="BE19" s="175">
        <f t="array" ref="BE19">IF(AND($N19&lt;&gt;"",BE$8&lt;&gt;""),COUNTIFS($K$9:$K$59,$N19,$L$9:$L$59,BE$8),0)</f>
        <v>0</v>
      </c>
      <c r="BF19" s="175">
        <f t="array" ref="BF19">IF(AND($N19&lt;&gt;"",BF$8&lt;&gt;""),COUNTIFS($K$9:$K$59,$N19,$L$9:$L$59,BF$8),0)</f>
        <v>0</v>
      </c>
      <c r="BG19" s="175">
        <f t="array" ref="BG19">IF(AND($N19&lt;&gt;"",BG$8&lt;&gt;""),COUNTIFS($K$9:$K$59,$N19,$L$9:$L$59,BG$8),0)</f>
        <v>0</v>
      </c>
      <c r="BH19" s="175">
        <f t="array" ref="BH19">IF(AND($N19&lt;&gt;"",BH$8&lt;&gt;""),COUNTIFS($K$9:$K$59,$N19,$L$9:$L$59,BH$8),0)</f>
        <v>0</v>
      </c>
      <c r="BI19" s="175">
        <f t="array" ref="BI19">IF(AND($N19&lt;&gt;"",BI$8&lt;&gt;""),COUNTIFS($K$9:$K$59,$N19,$L$9:$L$59,BI$8),0)</f>
        <v>0</v>
      </c>
      <c r="BJ19" s="175">
        <f t="array" ref="BJ19">IF(AND($N19&lt;&gt;"",BJ$8&lt;&gt;""),COUNTIFS($K$9:$K$59,$N19,$L$9:$L$59,BJ$8),0)</f>
        <v>0</v>
      </c>
      <c r="BK19" s="175">
        <f t="array" ref="BK19">IF(AND($N19&lt;&gt;"",BK$8&lt;&gt;""),COUNTIFS($K$9:$K$59,$N19,$L$9:$L$59,BK$8),0)</f>
        <v>0</v>
      </c>
      <c r="BL19" s="175">
        <f t="array" ref="BL19">IF(AND($N19&lt;&gt;"",BL$8&lt;&gt;""),COUNTIFS($K$9:$K$59,$N19,$L$9:$L$59,BL$8),0)</f>
        <v>0</v>
      </c>
    </row>
    <row r="20" spans="2:64" s="22" customFormat="1" x14ac:dyDescent="0.2">
      <c r="B20" s="119" t="s">
        <v>105</v>
      </c>
      <c r="C20" s="260"/>
      <c r="D20" s="118"/>
      <c r="E20" s="15"/>
      <c r="F20" s="15"/>
      <c r="G20" s="15"/>
      <c r="H20" s="15" t="s">
        <v>287</v>
      </c>
      <c r="I20" s="116" t="str">
        <f t="shared" si="1"/>
        <v>-</v>
      </c>
      <c r="J20" s="120"/>
      <c r="K20" s="195" t="str">
        <f t="shared" si="2"/>
        <v/>
      </c>
      <c r="L20" s="188" t="str">
        <f t="shared" ref="L20:L58" si="3">IF(D20&lt;&gt;"",IF(E20="Rígida","PVV "&amp;D20&amp;" ","Flex "&amp;D20&amp;" - ")&amp;IF(F20&lt;100,0,"")&amp;F20&amp;"x"&amp;G20&amp;" "&amp;E20,"")</f>
        <v/>
      </c>
      <c r="N20" s="185" t="str">
        <f t="array" ref="N20">IFERROR(INDEX($K$9:$K$59,MATCH(0,COUNTIF($N$8:$N19,$K$9:$K$59),0)),"")</f>
        <v/>
      </c>
      <c r="O20" s="175">
        <f t="array" ref="O20">IF(AND($N20&lt;&gt;"",O$8&lt;&gt;""),COUNTIFS($K$9:$K$59,$N20,$L$9:$L$59,O$8),0)</f>
        <v>0</v>
      </c>
      <c r="P20" s="175">
        <f t="array" ref="P20">IF(AND($N20&lt;&gt;"",P$8&lt;&gt;""),COUNTIFS($K$9:$K$59,$N20,$L$9:$L$59,P$8),0)</f>
        <v>0</v>
      </c>
      <c r="Q20" s="175">
        <f t="array" ref="Q20">IF(AND($N20&lt;&gt;"",Q$8&lt;&gt;""),COUNTIFS($K$9:$K$59,$N20,$L$9:$L$59,Q$8),0)</f>
        <v>0</v>
      </c>
      <c r="R20" s="175">
        <f t="array" ref="R20">IF(AND($N20&lt;&gt;"",R$8&lt;&gt;""),COUNTIFS($K$9:$K$59,$N20,$L$9:$L$59,R$8),0)</f>
        <v>0</v>
      </c>
      <c r="S20" s="175">
        <f t="array" ref="S20">IF(AND($N20&lt;&gt;"",S$8&lt;&gt;""),COUNTIFS($K$9:$K$59,$N20,$L$9:$L$59,S$8),0)</f>
        <v>0</v>
      </c>
      <c r="T20" s="175">
        <f t="array" ref="T20">IF(AND($N20&lt;&gt;"",T$8&lt;&gt;""),COUNTIFS($K$9:$K$59,$N20,$L$9:$L$59,T$8),0)</f>
        <v>0</v>
      </c>
      <c r="U20" s="175">
        <f t="array" ref="U20">IF(AND($N20&lt;&gt;"",U$8&lt;&gt;""),COUNTIFS($K$9:$K$59,$N20,$L$9:$L$59,U$8),0)</f>
        <v>0</v>
      </c>
      <c r="V20" s="175">
        <f t="array" ref="V20">IF(AND($N20&lt;&gt;"",V$8&lt;&gt;""),COUNTIFS($K$9:$K$59,$N20,$L$9:$L$59,V$8),0)</f>
        <v>0</v>
      </c>
      <c r="W20" s="175">
        <f t="array" ref="W20">IF(AND($N20&lt;&gt;"",W$8&lt;&gt;""),COUNTIFS($K$9:$K$59,$N20,$L$9:$L$59,W$8),0)</f>
        <v>0</v>
      </c>
      <c r="X20" s="175">
        <f t="array" ref="X20">IF(AND($N20&lt;&gt;"",X$8&lt;&gt;""),COUNTIFS($K$9:$K$59,$N20,$L$9:$L$59,X$8),0)</f>
        <v>0</v>
      </c>
      <c r="Y20" s="175">
        <f t="array" ref="Y20">IF(AND($N20&lt;&gt;"",Y$8&lt;&gt;""),COUNTIFS($K$9:$K$59,$N20,$L$9:$L$59,Y$8),0)</f>
        <v>0</v>
      </c>
      <c r="Z20" s="175">
        <f t="array" ref="Z20">IF(AND($N20&lt;&gt;"",Z$8&lt;&gt;""),COUNTIFS($K$9:$K$59,$N20,$L$9:$L$59,Z$8),0)</f>
        <v>0</v>
      </c>
      <c r="AA20" s="175">
        <f t="array" ref="AA20">IF(AND($N20&lt;&gt;"",AA$8&lt;&gt;""),COUNTIFS($K$9:$K$59,$N20,$L$9:$L$59,AA$8),0)</f>
        <v>0</v>
      </c>
      <c r="AB20" s="175">
        <f t="array" ref="AB20">IF(AND($N20&lt;&gt;"",AB$8&lt;&gt;""),COUNTIFS($K$9:$K$59,$N20,$L$9:$L$59,AB$8),0)</f>
        <v>0</v>
      </c>
      <c r="AC20" s="175">
        <f t="array" ref="AC20">IF(AND($N20&lt;&gt;"",AC$8&lt;&gt;""),COUNTIFS($K$9:$K$59,$N20,$L$9:$L$59,AC$8),0)</f>
        <v>0</v>
      </c>
      <c r="AD20" s="175">
        <f t="array" ref="AD20">IF(AND($N20&lt;&gt;"",AD$8&lt;&gt;""),COUNTIFS($K$9:$K$59,$N20,$L$9:$L$59,AD$8),0)</f>
        <v>0</v>
      </c>
      <c r="AE20" s="175">
        <f t="array" ref="AE20">IF(AND($N20&lt;&gt;"",AE$8&lt;&gt;""),COUNTIFS($K$9:$K$59,$N20,$L$9:$L$59,AE$8),0)</f>
        <v>0</v>
      </c>
      <c r="AF20" s="175">
        <f t="array" ref="AF20">IF(AND($N20&lt;&gt;"",AF$8&lt;&gt;""),COUNTIFS($K$9:$K$59,$N20,$L$9:$L$59,AF$8),0)</f>
        <v>0</v>
      </c>
      <c r="AG20" s="175">
        <f t="array" ref="AG20">IF(AND($N20&lt;&gt;"",AG$8&lt;&gt;""),COUNTIFS($K$9:$K$59,$N20,$L$9:$L$59,AG$8),0)</f>
        <v>0</v>
      </c>
      <c r="AH20" s="175">
        <f t="array" ref="AH20">IF(AND($N20&lt;&gt;"",AH$8&lt;&gt;""),COUNTIFS($K$9:$K$59,$N20,$L$9:$L$59,AH$8),0)</f>
        <v>0</v>
      </c>
      <c r="AI20" s="175">
        <f t="array" ref="AI20">IF(AND($N20&lt;&gt;"",AI$8&lt;&gt;""),COUNTIFS($K$9:$K$59,$N20,$L$9:$L$59,AI$8),0)</f>
        <v>0</v>
      </c>
      <c r="AJ20" s="175">
        <f t="array" ref="AJ20">IF(AND($N20&lt;&gt;"",AJ$8&lt;&gt;""),COUNTIFS($K$9:$K$59,$N20,$L$9:$L$59,AJ$8),0)</f>
        <v>0</v>
      </c>
      <c r="AK20" s="175">
        <f t="array" ref="AK20">IF(AND($N20&lt;&gt;"",AK$8&lt;&gt;""),COUNTIFS($K$9:$K$59,$N20,$L$9:$L$59,AK$8),0)</f>
        <v>0</v>
      </c>
      <c r="AL20" s="175">
        <f t="array" ref="AL20">IF(AND($N20&lt;&gt;"",AL$8&lt;&gt;""),COUNTIFS($K$9:$K$59,$N20,$L$9:$L$59,AL$8),0)</f>
        <v>0</v>
      </c>
      <c r="AM20" s="175">
        <f t="array" ref="AM20">IF(AND($N20&lt;&gt;"",AM$8&lt;&gt;""),COUNTIFS($K$9:$K$59,$N20,$L$9:$L$59,AM$8),0)</f>
        <v>0</v>
      </c>
      <c r="AN20" s="175">
        <f t="array" ref="AN20">IF(AND($N20&lt;&gt;"",AN$8&lt;&gt;""),COUNTIFS($K$9:$K$59,$N20,$L$9:$L$59,AN$8),0)</f>
        <v>0</v>
      </c>
      <c r="AO20" s="175">
        <f t="array" ref="AO20">IF(AND($N20&lt;&gt;"",AO$8&lt;&gt;""),COUNTIFS($K$9:$K$59,$N20,$L$9:$L$59,AO$8),0)</f>
        <v>0</v>
      </c>
      <c r="AP20" s="175">
        <f t="array" ref="AP20">IF(AND($N20&lt;&gt;"",AP$8&lt;&gt;""),COUNTIFS($K$9:$K$59,$N20,$L$9:$L$59,AP$8),0)</f>
        <v>0</v>
      </c>
      <c r="AQ20" s="175">
        <f t="array" ref="AQ20">IF(AND($N20&lt;&gt;"",AQ$8&lt;&gt;""),COUNTIFS($K$9:$K$59,$N20,$L$9:$L$59,AQ$8),0)</f>
        <v>0</v>
      </c>
      <c r="AR20" s="175">
        <f t="array" ref="AR20">IF(AND($N20&lt;&gt;"",AR$8&lt;&gt;""),COUNTIFS($K$9:$K$59,$N20,$L$9:$L$59,AR$8),0)</f>
        <v>0</v>
      </c>
      <c r="AS20" s="175">
        <f t="array" ref="AS20">IF(AND($N20&lt;&gt;"",AS$8&lt;&gt;""),COUNTIFS($K$9:$K$59,$N20,$L$9:$L$59,AS$8),0)</f>
        <v>0</v>
      </c>
      <c r="AT20" s="175">
        <f t="array" ref="AT20">IF(AND($N20&lt;&gt;"",AT$8&lt;&gt;""),COUNTIFS($K$9:$K$59,$N20,$L$9:$L$59,AT$8),0)</f>
        <v>0</v>
      </c>
      <c r="AU20" s="175">
        <f t="array" ref="AU20">IF(AND($N20&lt;&gt;"",AU$8&lt;&gt;""),COUNTIFS($K$9:$K$59,$N20,$L$9:$L$59,AU$8),0)</f>
        <v>0</v>
      </c>
      <c r="AV20" s="175">
        <f t="array" ref="AV20">IF(AND($N20&lt;&gt;"",AV$8&lt;&gt;""),COUNTIFS($K$9:$K$59,$N20,$L$9:$L$59,AV$8),0)</f>
        <v>0</v>
      </c>
      <c r="AW20" s="175">
        <f t="array" ref="AW20">IF(AND($N20&lt;&gt;"",AW$8&lt;&gt;""),COUNTIFS($K$9:$K$59,$N20,$L$9:$L$59,AW$8),0)</f>
        <v>0</v>
      </c>
      <c r="AX20" s="175">
        <f t="array" ref="AX20">IF(AND($N20&lt;&gt;"",AX$8&lt;&gt;""),COUNTIFS($K$9:$K$59,$N20,$L$9:$L$59,AX$8),0)</f>
        <v>0</v>
      </c>
      <c r="AY20" s="175">
        <f t="array" ref="AY20">IF(AND($N20&lt;&gt;"",AY$8&lt;&gt;""),COUNTIFS($K$9:$K$59,$N20,$L$9:$L$59,AY$8),0)</f>
        <v>0</v>
      </c>
      <c r="AZ20" s="175">
        <f t="array" ref="AZ20">IF(AND($N20&lt;&gt;"",AZ$8&lt;&gt;""),COUNTIFS($K$9:$K$59,$N20,$L$9:$L$59,AZ$8),0)</f>
        <v>0</v>
      </c>
      <c r="BA20" s="175">
        <f t="array" ref="BA20">IF(AND($N20&lt;&gt;"",BA$8&lt;&gt;""),COUNTIFS($K$9:$K$59,$N20,$L$9:$L$59,BA$8),0)</f>
        <v>0</v>
      </c>
      <c r="BB20" s="175">
        <f t="array" ref="BB20">IF(AND($N20&lt;&gt;"",BB$8&lt;&gt;""),COUNTIFS($K$9:$K$59,$N20,$L$9:$L$59,BB$8),0)</f>
        <v>0</v>
      </c>
      <c r="BC20" s="175">
        <f t="array" ref="BC20">IF(AND($N20&lt;&gt;"",BC$8&lt;&gt;""),COUNTIFS($K$9:$K$59,$N20,$L$9:$L$59,BC$8),0)</f>
        <v>0</v>
      </c>
      <c r="BD20" s="175">
        <f t="array" ref="BD20">IF(AND($N20&lt;&gt;"",BD$8&lt;&gt;""),COUNTIFS($K$9:$K$59,$N20,$L$9:$L$59,BD$8),0)</f>
        <v>0</v>
      </c>
      <c r="BE20" s="175">
        <f t="array" ref="BE20">IF(AND($N20&lt;&gt;"",BE$8&lt;&gt;""),COUNTIFS($K$9:$K$59,$N20,$L$9:$L$59,BE$8),0)</f>
        <v>0</v>
      </c>
      <c r="BF20" s="175">
        <f t="array" ref="BF20">IF(AND($N20&lt;&gt;"",BF$8&lt;&gt;""),COUNTIFS($K$9:$K$59,$N20,$L$9:$L$59,BF$8),0)</f>
        <v>0</v>
      </c>
      <c r="BG20" s="175">
        <f t="array" ref="BG20">IF(AND($N20&lt;&gt;"",BG$8&lt;&gt;""),COUNTIFS($K$9:$K$59,$N20,$L$9:$L$59,BG$8),0)</f>
        <v>0</v>
      </c>
      <c r="BH20" s="175">
        <f t="array" ref="BH20">IF(AND($N20&lt;&gt;"",BH$8&lt;&gt;""),COUNTIFS($K$9:$K$59,$N20,$L$9:$L$59,BH$8),0)</f>
        <v>0</v>
      </c>
      <c r="BI20" s="175">
        <f t="array" ref="BI20">IF(AND($N20&lt;&gt;"",BI$8&lt;&gt;""),COUNTIFS($K$9:$K$59,$N20,$L$9:$L$59,BI$8),0)</f>
        <v>0</v>
      </c>
      <c r="BJ20" s="175">
        <f t="array" ref="BJ20">IF(AND($N20&lt;&gt;"",BJ$8&lt;&gt;""),COUNTIFS($K$9:$K$59,$N20,$L$9:$L$59,BJ$8),0)</f>
        <v>0</v>
      </c>
      <c r="BK20" s="175">
        <f t="array" ref="BK20">IF(AND($N20&lt;&gt;"",BK$8&lt;&gt;""),COUNTIFS($K$9:$K$59,$N20,$L$9:$L$59,BK$8),0)</f>
        <v>0</v>
      </c>
      <c r="BL20" s="175">
        <f t="array" ref="BL20">IF(AND($N20&lt;&gt;"",BL$8&lt;&gt;""),COUNTIFS($K$9:$K$59,$N20,$L$9:$L$59,BL$8),0)</f>
        <v>0</v>
      </c>
    </row>
    <row r="21" spans="2:64" s="22" customFormat="1" x14ac:dyDescent="0.2">
      <c r="B21" s="119" t="s">
        <v>106</v>
      </c>
      <c r="C21" s="260"/>
      <c r="D21" s="118"/>
      <c r="E21" s="15"/>
      <c r="F21" s="15"/>
      <c r="G21" s="15"/>
      <c r="H21" s="15" t="s">
        <v>287</v>
      </c>
      <c r="I21" s="116" t="str">
        <f t="shared" si="1"/>
        <v>-</v>
      </c>
      <c r="J21" s="120"/>
      <c r="K21" s="195" t="str">
        <f t="shared" si="2"/>
        <v/>
      </c>
      <c r="L21" s="188" t="str">
        <f t="shared" si="3"/>
        <v/>
      </c>
      <c r="N21" s="185" t="str">
        <f t="array" ref="N21">IFERROR(INDEX($K$9:$K$59,MATCH(0,COUNTIF($N$8:$N20,$K$9:$K$59),0)),"")</f>
        <v/>
      </c>
      <c r="O21" s="175">
        <f t="array" ref="O21">IF(AND($N21&lt;&gt;"",O$8&lt;&gt;""),COUNTIFS($K$9:$K$59,$N21,$L$9:$L$59,O$8),0)</f>
        <v>0</v>
      </c>
      <c r="P21" s="175">
        <f t="array" ref="P21">IF(AND($N21&lt;&gt;"",P$8&lt;&gt;""),COUNTIFS($K$9:$K$59,$N21,$L$9:$L$59,P$8),0)</f>
        <v>0</v>
      </c>
      <c r="Q21" s="175">
        <f t="array" ref="Q21">IF(AND($N21&lt;&gt;"",Q$8&lt;&gt;""),COUNTIFS($K$9:$K$59,$N21,$L$9:$L$59,Q$8),0)</f>
        <v>0</v>
      </c>
      <c r="R21" s="175">
        <f t="array" ref="R21">IF(AND($N21&lt;&gt;"",R$8&lt;&gt;""),COUNTIFS($K$9:$K$59,$N21,$L$9:$L$59,R$8),0)</f>
        <v>0</v>
      </c>
      <c r="S21" s="175">
        <f t="array" ref="S21">IF(AND($N21&lt;&gt;"",S$8&lt;&gt;""),COUNTIFS($K$9:$K$59,$N21,$L$9:$L$59,S$8),0)</f>
        <v>0</v>
      </c>
      <c r="T21" s="175">
        <f t="array" ref="T21">IF(AND($N21&lt;&gt;"",T$8&lt;&gt;""),COUNTIFS($K$9:$K$59,$N21,$L$9:$L$59,T$8),0)</f>
        <v>0</v>
      </c>
      <c r="U21" s="175">
        <f t="array" ref="U21">IF(AND($N21&lt;&gt;"",U$8&lt;&gt;""),COUNTIFS($K$9:$K$59,$N21,$L$9:$L$59,U$8),0)</f>
        <v>0</v>
      </c>
      <c r="V21" s="175">
        <f t="array" ref="V21">IF(AND($N21&lt;&gt;"",V$8&lt;&gt;""),COUNTIFS($K$9:$K$59,$N21,$L$9:$L$59,V$8),0)</f>
        <v>0</v>
      </c>
      <c r="W21" s="175">
        <f t="array" ref="W21">IF(AND($N21&lt;&gt;"",W$8&lt;&gt;""),COUNTIFS($K$9:$K$59,$N21,$L$9:$L$59,W$8),0)</f>
        <v>0</v>
      </c>
      <c r="X21" s="175">
        <f t="array" ref="X21">IF(AND($N21&lt;&gt;"",X$8&lt;&gt;""),COUNTIFS($K$9:$K$59,$N21,$L$9:$L$59,X$8),0)</f>
        <v>0</v>
      </c>
      <c r="Y21" s="175">
        <f t="array" ref="Y21">IF(AND($N21&lt;&gt;"",Y$8&lt;&gt;""),COUNTIFS($K$9:$K$59,$N21,$L$9:$L$59,Y$8),0)</f>
        <v>0</v>
      </c>
      <c r="Z21" s="175">
        <f t="array" ref="Z21">IF(AND($N21&lt;&gt;"",Z$8&lt;&gt;""),COUNTIFS($K$9:$K$59,$N21,$L$9:$L$59,Z$8),0)</f>
        <v>0</v>
      </c>
      <c r="AA21" s="175">
        <f t="array" ref="AA21">IF(AND($N21&lt;&gt;"",AA$8&lt;&gt;""),COUNTIFS($K$9:$K$59,$N21,$L$9:$L$59,AA$8),0)</f>
        <v>0</v>
      </c>
      <c r="AB21" s="175">
        <f t="array" ref="AB21">IF(AND($N21&lt;&gt;"",AB$8&lt;&gt;""),COUNTIFS($K$9:$K$59,$N21,$L$9:$L$59,AB$8),0)</f>
        <v>0</v>
      </c>
      <c r="AC21" s="175">
        <f t="array" ref="AC21">IF(AND($N21&lt;&gt;"",AC$8&lt;&gt;""),COUNTIFS($K$9:$K$59,$N21,$L$9:$L$59,AC$8),0)</f>
        <v>0</v>
      </c>
      <c r="AD21" s="175">
        <f t="array" ref="AD21">IF(AND($N21&lt;&gt;"",AD$8&lt;&gt;""),COUNTIFS($K$9:$K$59,$N21,$L$9:$L$59,AD$8),0)</f>
        <v>0</v>
      </c>
      <c r="AE21" s="175">
        <f t="array" ref="AE21">IF(AND($N21&lt;&gt;"",AE$8&lt;&gt;""),COUNTIFS($K$9:$K$59,$N21,$L$9:$L$59,AE$8),0)</f>
        <v>0</v>
      </c>
      <c r="AF21" s="175">
        <f t="array" ref="AF21">IF(AND($N21&lt;&gt;"",AF$8&lt;&gt;""),COUNTIFS($K$9:$K$59,$N21,$L$9:$L$59,AF$8),0)</f>
        <v>0</v>
      </c>
      <c r="AG21" s="175">
        <f t="array" ref="AG21">IF(AND($N21&lt;&gt;"",AG$8&lt;&gt;""),COUNTIFS($K$9:$K$59,$N21,$L$9:$L$59,AG$8),0)</f>
        <v>0</v>
      </c>
      <c r="AH21" s="175">
        <f t="array" ref="AH21">IF(AND($N21&lt;&gt;"",AH$8&lt;&gt;""),COUNTIFS($K$9:$K$59,$N21,$L$9:$L$59,AH$8),0)</f>
        <v>0</v>
      </c>
      <c r="AI21" s="175">
        <f t="array" ref="AI21">IF(AND($N21&lt;&gt;"",AI$8&lt;&gt;""),COUNTIFS($K$9:$K$59,$N21,$L$9:$L$59,AI$8),0)</f>
        <v>0</v>
      </c>
      <c r="AJ21" s="175">
        <f t="array" ref="AJ21">IF(AND($N21&lt;&gt;"",AJ$8&lt;&gt;""),COUNTIFS($K$9:$K$59,$N21,$L$9:$L$59,AJ$8),0)</f>
        <v>0</v>
      </c>
      <c r="AK21" s="175">
        <f t="array" ref="AK21">IF(AND($N21&lt;&gt;"",AK$8&lt;&gt;""),COUNTIFS($K$9:$K$59,$N21,$L$9:$L$59,AK$8),0)</f>
        <v>0</v>
      </c>
      <c r="AL21" s="175">
        <f t="array" ref="AL21">IF(AND($N21&lt;&gt;"",AL$8&lt;&gt;""),COUNTIFS($K$9:$K$59,$N21,$L$9:$L$59,AL$8),0)</f>
        <v>0</v>
      </c>
      <c r="AM21" s="175">
        <f t="array" ref="AM21">IF(AND($N21&lt;&gt;"",AM$8&lt;&gt;""),COUNTIFS($K$9:$K$59,$N21,$L$9:$L$59,AM$8),0)</f>
        <v>0</v>
      </c>
      <c r="AN21" s="175">
        <f t="array" ref="AN21">IF(AND($N21&lt;&gt;"",AN$8&lt;&gt;""),COUNTIFS($K$9:$K$59,$N21,$L$9:$L$59,AN$8),0)</f>
        <v>0</v>
      </c>
      <c r="AO21" s="175">
        <f t="array" ref="AO21">IF(AND($N21&lt;&gt;"",AO$8&lt;&gt;""),COUNTIFS($K$9:$K$59,$N21,$L$9:$L$59,AO$8),0)</f>
        <v>0</v>
      </c>
      <c r="AP21" s="175">
        <f t="array" ref="AP21">IF(AND($N21&lt;&gt;"",AP$8&lt;&gt;""),COUNTIFS($K$9:$K$59,$N21,$L$9:$L$59,AP$8),0)</f>
        <v>0</v>
      </c>
      <c r="AQ21" s="175">
        <f t="array" ref="AQ21">IF(AND($N21&lt;&gt;"",AQ$8&lt;&gt;""),COUNTIFS($K$9:$K$59,$N21,$L$9:$L$59,AQ$8),0)</f>
        <v>0</v>
      </c>
      <c r="AR21" s="175">
        <f t="array" ref="AR21">IF(AND($N21&lt;&gt;"",AR$8&lt;&gt;""),COUNTIFS($K$9:$K$59,$N21,$L$9:$L$59,AR$8),0)</f>
        <v>0</v>
      </c>
      <c r="AS21" s="175">
        <f t="array" ref="AS21">IF(AND($N21&lt;&gt;"",AS$8&lt;&gt;""),COUNTIFS($K$9:$K$59,$N21,$L$9:$L$59,AS$8),0)</f>
        <v>0</v>
      </c>
      <c r="AT21" s="175">
        <f t="array" ref="AT21">IF(AND($N21&lt;&gt;"",AT$8&lt;&gt;""),COUNTIFS($K$9:$K$59,$N21,$L$9:$L$59,AT$8),0)</f>
        <v>0</v>
      </c>
      <c r="AU21" s="175">
        <f t="array" ref="AU21">IF(AND($N21&lt;&gt;"",AU$8&lt;&gt;""),COUNTIFS($K$9:$K$59,$N21,$L$9:$L$59,AU$8),0)</f>
        <v>0</v>
      </c>
      <c r="AV21" s="175">
        <f t="array" ref="AV21">IF(AND($N21&lt;&gt;"",AV$8&lt;&gt;""),COUNTIFS($K$9:$K$59,$N21,$L$9:$L$59,AV$8),0)</f>
        <v>0</v>
      </c>
      <c r="AW21" s="175">
        <f t="array" ref="AW21">IF(AND($N21&lt;&gt;"",AW$8&lt;&gt;""),COUNTIFS($K$9:$K$59,$N21,$L$9:$L$59,AW$8),0)</f>
        <v>0</v>
      </c>
      <c r="AX21" s="175">
        <f t="array" ref="AX21">IF(AND($N21&lt;&gt;"",AX$8&lt;&gt;""),COUNTIFS($K$9:$K$59,$N21,$L$9:$L$59,AX$8),0)</f>
        <v>0</v>
      </c>
      <c r="AY21" s="175">
        <f t="array" ref="AY21">IF(AND($N21&lt;&gt;"",AY$8&lt;&gt;""),COUNTIFS($K$9:$K$59,$N21,$L$9:$L$59,AY$8),0)</f>
        <v>0</v>
      </c>
      <c r="AZ21" s="175">
        <f t="array" ref="AZ21">IF(AND($N21&lt;&gt;"",AZ$8&lt;&gt;""),COUNTIFS($K$9:$K$59,$N21,$L$9:$L$59,AZ$8),0)</f>
        <v>0</v>
      </c>
      <c r="BA21" s="175">
        <f t="array" ref="BA21">IF(AND($N21&lt;&gt;"",BA$8&lt;&gt;""),COUNTIFS($K$9:$K$59,$N21,$L$9:$L$59,BA$8),0)</f>
        <v>0</v>
      </c>
      <c r="BB21" s="175">
        <f t="array" ref="BB21">IF(AND($N21&lt;&gt;"",BB$8&lt;&gt;""),COUNTIFS($K$9:$K$59,$N21,$L$9:$L$59,BB$8),0)</f>
        <v>0</v>
      </c>
      <c r="BC21" s="175">
        <f t="array" ref="BC21">IF(AND($N21&lt;&gt;"",BC$8&lt;&gt;""),COUNTIFS($K$9:$K$59,$N21,$L$9:$L$59,BC$8),0)</f>
        <v>0</v>
      </c>
      <c r="BD21" s="175">
        <f t="array" ref="BD21">IF(AND($N21&lt;&gt;"",BD$8&lt;&gt;""),COUNTIFS($K$9:$K$59,$N21,$L$9:$L$59,BD$8),0)</f>
        <v>0</v>
      </c>
      <c r="BE21" s="175">
        <f t="array" ref="BE21">IF(AND($N21&lt;&gt;"",BE$8&lt;&gt;""),COUNTIFS($K$9:$K$59,$N21,$L$9:$L$59,BE$8),0)</f>
        <v>0</v>
      </c>
      <c r="BF21" s="175">
        <f t="array" ref="BF21">IF(AND($N21&lt;&gt;"",BF$8&lt;&gt;""),COUNTIFS($K$9:$K$59,$N21,$L$9:$L$59,BF$8),0)</f>
        <v>0</v>
      </c>
      <c r="BG21" s="175">
        <f t="array" ref="BG21">IF(AND($N21&lt;&gt;"",BG$8&lt;&gt;""),COUNTIFS($K$9:$K$59,$N21,$L$9:$L$59,BG$8),0)</f>
        <v>0</v>
      </c>
      <c r="BH21" s="175">
        <f t="array" ref="BH21">IF(AND($N21&lt;&gt;"",BH$8&lt;&gt;""),COUNTIFS($K$9:$K$59,$N21,$L$9:$L$59,BH$8),0)</f>
        <v>0</v>
      </c>
      <c r="BI21" s="175">
        <f t="array" ref="BI21">IF(AND($N21&lt;&gt;"",BI$8&lt;&gt;""),COUNTIFS($K$9:$K$59,$N21,$L$9:$L$59,BI$8),0)</f>
        <v>0</v>
      </c>
      <c r="BJ21" s="175">
        <f t="array" ref="BJ21">IF(AND($N21&lt;&gt;"",BJ$8&lt;&gt;""),COUNTIFS($K$9:$K$59,$N21,$L$9:$L$59,BJ$8),0)</f>
        <v>0</v>
      </c>
      <c r="BK21" s="175">
        <f t="array" ref="BK21">IF(AND($N21&lt;&gt;"",BK$8&lt;&gt;""),COUNTIFS($K$9:$K$59,$N21,$L$9:$L$59,BK$8),0)</f>
        <v>0</v>
      </c>
      <c r="BL21" s="175">
        <f t="array" ref="BL21">IF(AND($N21&lt;&gt;"",BL$8&lt;&gt;""),COUNTIFS($K$9:$K$59,$N21,$L$9:$L$59,BL$8),0)</f>
        <v>0</v>
      </c>
    </row>
    <row r="22" spans="2:64" s="22" customFormat="1" x14ac:dyDescent="0.2">
      <c r="B22" s="119" t="s">
        <v>107</v>
      </c>
      <c r="C22" s="260"/>
      <c r="D22" s="118"/>
      <c r="E22" s="15"/>
      <c r="F22" s="15"/>
      <c r="G22" s="15"/>
      <c r="H22" s="15" t="s">
        <v>287</v>
      </c>
      <c r="I22" s="116" t="str">
        <f t="shared" si="1"/>
        <v>-</v>
      </c>
      <c r="J22" s="120"/>
      <c r="K22" s="195" t="str">
        <f t="shared" si="2"/>
        <v/>
      </c>
      <c r="L22" s="188" t="str">
        <f t="shared" si="3"/>
        <v/>
      </c>
      <c r="N22" s="185" t="str">
        <f t="array" ref="N22">IFERROR(INDEX($K$9:$K$59,MATCH(0,COUNTIF($N$8:$N21,$K$9:$K$59),0)),"")</f>
        <v/>
      </c>
      <c r="O22" s="175">
        <f t="array" ref="O22">IF(AND($N22&lt;&gt;"",O$8&lt;&gt;""),COUNTIFS($K$9:$K$59,$N22,$L$9:$L$59,O$8),0)</f>
        <v>0</v>
      </c>
      <c r="P22" s="175">
        <f t="array" ref="P22">IF(AND($N22&lt;&gt;"",P$8&lt;&gt;""),COUNTIFS($K$9:$K$59,$N22,$L$9:$L$59,P$8),0)</f>
        <v>0</v>
      </c>
      <c r="Q22" s="175">
        <f t="array" ref="Q22">IF(AND($N22&lt;&gt;"",Q$8&lt;&gt;""),COUNTIFS($K$9:$K$59,$N22,$L$9:$L$59,Q$8),0)</f>
        <v>0</v>
      </c>
      <c r="R22" s="175">
        <f t="array" ref="R22">IF(AND($N22&lt;&gt;"",R$8&lt;&gt;""),COUNTIFS($K$9:$K$59,$N22,$L$9:$L$59,R$8),0)</f>
        <v>0</v>
      </c>
      <c r="S22" s="175">
        <f t="array" ref="S22">IF(AND($N22&lt;&gt;"",S$8&lt;&gt;""),COUNTIFS($K$9:$K$59,$N22,$L$9:$L$59,S$8),0)</f>
        <v>0</v>
      </c>
      <c r="T22" s="175">
        <f t="array" ref="T22">IF(AND($N22&lt;&gt;"",T$8&lt;&gt;""),COUNTIFS($K$9:$K$59,$N22,$L$9:$L$59,T$8),0)</f>
        <v>0</v>
      </c>
      <c r="U22" s="175">
        <f t="array" ref="U22">IF(AND($N22&lt;&gt;"",U$8&lt;&gt;""),COUNTIFS($K$9:$K$59,$N22,$L$9:$L$59,U$8),0)</f>
        <v>0</v>
      </c>
      <c r="V22" s="175">
        <f t="array" ref="V22">IF(AND($N22&lt;&gt;"",V$8&lt;&gt;""),COUNTIFS($K$9:$K$59,$N22,$L$9:$L$59,V$8),0)</f>
        <v>0</v>
      </c>
      <c r="W22" s="175">
        <f t="array" ref="W22">IF(AND($N22&lt;&gt;"",W$8&lt;&gt;""),COUNTIFS($K$9:$K$59,$N22,$L$9:$L$59,W$8),0)</f>
        <v>0</v>
      </c>
      <c r="X22" s="175">
        <f t="array" ref="X22">IF(AND($N22&lt;&gt;"",X$8&lt;&gt;""),COUNTIFS($K$9:$K$59,$N22,$L$9:$L$59,X$8),0)</f>
        <v>0</v>
      </c>
      <c r="Y22" s="175">
        <f t="array" ref="Y22">IF(AND($N22&lt;&gt;"",Y$8&lt;&gt;""),COUNTIFS($K$9:$K$59,$N22,$L$9:$L$59,Y$8),0)</f>
        <v>0</v>
      </c>
      <c r="Z22" s="175">
        <f t="array" ref="Z22">IF(AND($N22&lt;&gt;"",Z$8&lt;&gt;""),COUNTIFS($K$9:$K$59,$N22,$L$9:$L$59,Z$8),0)</f>
        <v>0</v>
      </c>
      <c r="AA22" s="175">
        <f t="array" ref="AA22">IF(AND($N22&lt;&gt;"",AA$8&lt;&gt;""),COUNTIFS($K$9:$K$59,$N22,$L$9:$L$59,AA$8),0)</f>
        <v>0</v>
      </c>
      <c r="AB22" s="175">
        <f t="array" ref="AB22">IF(AND($N22&lt;&gt;"",AB$8&lt;&gt;""),COUNTIFS($K$9:$K$59,$N22,$L$9:$L$59,AB$8),0)</f>
        <v>0</v>
      </c>
      <c r="AC22" s="175">
        <f t="array" ref="AC22">IF(AND($N22&lt;&gt;"",AC$8&lt;&gt;""),COUNTIFS($K$9:$K$59,$N22,$L$9:$L$59,AC$8),0)</f>
        <v>0</v>
      </c>
      <c r="AD22" s="175">
        <f t="array" ref="AD22">IF(AND($N22&lt;&gt;"",AD$8&lt;&gt;""),COUNTIFS($K$9:$K$59,$N22,$L$9:$L$59,AD$8),0)</f>
        <v>0</v>
      </c>
      <c r="AE22" s="175">
        <f t="array" ref="AE22">IF(AND($N22&lt;&gt;"",AE$8&lt;&gt;""),COUNTIFS($K$9:$K$59,$N22,$L$9:$L$59,AE$8),0)</f>
        <v>0</v>
      </c>
      <c r="AF22" s="175">
        <f t="array" ref="AF22">IF(AND($N22&lt;&gt;"",AF$8&lt;&gt;""),COUNTIFS($K$9:$K$59,$N22,$L$9:$L$59,AF$8),0)</f>
        <v>0</v>
      </c>
      <c r="AG22" s="175">
        <f t="array" ref="AG22">IF(AND($N22&lt;&gt;"",AG$8&lt;&gt;""),COUNTIFS($K$9:$K$59,$N22,$L$9:$L$59,AG$8),0)</f>
        <v>0</v>
      </c>
      <c r="AH22" s="175">
        <f t="array" ref="AH22">IF(AND($N22&lt;&gt;"",AH$8&lt;&gt;""),COUNTIFS($K$9:$K$59,$N22,$L$9:$L$59,AH$8),0)</f>
        <v>0</v>
      </c>
      <c r="AI22" s="175">
        <f t="array" ref="AI22">IF(AND($N22&lt;&gt;"",AI$8&lt;&gt;""),COUNTIFS($K$9:$K$59,$N22,$L$9:$L$59,AI$8),0)</f>
        <v>0</v>
      </c>
      <c r="AJ22" s="175">
        <f t="array" ref="AJ22">IF(AND($N22&lt;&gt;"",AJ$8&lt;&gt;""),COUNTIFS($K$9:$K$59,$N22,$L$9:$L$59,AJ$8),0)</f>
        <v>0</v>
      </c>
      <c r="AK22" s="175">
        <f t="array" ref="AK22">IF(AND($N22&lt;&gt;"",AK$8&lt;&gt;""),COUNTIFS($K$9:$K$59,$N22,$L$9:$L$59,AK$8),0)</f>
        <v>0</v>
      </c>
      <c r="AL22" s="175">
        <f t="array" ref="AL22">IF(AND($N22&lt;&gt;"",AL$8&lt;&gt;""),COUNTIFS($K$9:$K$59,$N22,$L$9:$L$59,AL$8),0)</f>
        <v>0</v>
      </c>
      <c r="AM22" s="175">
        <f t="array" ref="AM22">IF(AND($N22&lt;&gt;"",AM$8&lt;&gt;""),COUNTIFS($K$9:$K$59,$N22,$L$9:$L$59,AM$8),0)</f>
        <v>0</v>
      </c>
      <c r="AN22" s="175">
        <f t="array" ref="AN22">IF(AND($N22&lt;&gt;"",AN$8&lt;&gt;""),COUNTIFS($K$9:$K$59,$N22,$L$9:$L$59,AN$8),0)</f>
        <v>0</v>
      </c>
      <c r="AO22" s="175">
        <f t="array" ref="AO22">IF(AND($N22&lt;&gt;"",AO$8&lt;&gt;""),COUNTIFS($K$9:$K$59,$N22,$L$9:$L$59,AO$8),0)</f>
        <v>0</v>
      </c>
      <c r="AP22" s="175">
        <f t="array" ref="AP22">IF(AND($N22&lt;&gt;"",AP$8&lt;&gt;""),COUNTIFS($K$9:$K$59,$N22,$L$9:$L$59,AP$8),0)</f>
        <v>0</v>
      </c>
      <c r="AQ22" s="175">
        <f t="array" ref="AQ22">IF(AND($N22&lt;&gt;"",AQ$8&lt;&gt;""),COUNTIFS($K$9:$K$59,$N22,$L$9:$L$59,AQ$8),0)</f>
        <v>0</v>
      </c>
      <c r="AR22" s="175">
        <f t="array" ref="AR22">IF(AND($N22&lt;&gt;"",AR$8&lt;&gt;""),COUNTIFS($K$9:$K$59,$N22,$L$9:$L$59,AR$8),0)</f>
        <v>0</v>
      </c>
      <c r="AS22" s="175">
        <f t="array" ref="AS22">IF(AND($N22&lt;&gt;"",AS$8&lt;&gt;""),COUNTIFS($K$9:$K$59,$N22,$L$9:$L$59,AS$8),0)</f>
        <v>0</v>
      </c>
      <c r="AT22" s="175">
        <f t="array" ref="AT22">IF(AND($N22&lt;&gt;"",AT$8&lt;&gt;""),COUNTIFS($K$9:$K$59,$N22,$L$9:$L$59,AT$8),0)</f>
        <v>0</v>
      </c>
      <c r="AU22" s="175">
        <f t="array" ref="AU22">IF(AND($N22&lt;&gt;"",AU$8&lt;&gt;""),COUNTIFS($K$9:$K$59,$N22,$L$9:$L$59,AU$8),0)</f>
        <v>0</v>
      </c>
      <c r="AV22" s="175">
        <f t="array" ref="AV22">IF(AND($N22&lt;&gt;"",AV$8&lt;&gt;""),COUNTIFS($K$9:$K$59,$N22,$L$9:$L$59,AV$8),0)</f>
        <v>0</v>
      </c>
      <c r="AW22" s="175">
        <f t="array" ref="AW22">IF(AND($N22&lt;&gt;"",AW$8&lt;&gt;""),COUNTIFS($K$9:$K$59,$N22,$L$9:$L$59,AW$8),0)</f>
        <v>0</v>
      </c>
      <c r="AX22" s="175">
        <f t="array" ref="AX22">IF(AND($N22&lt;&gt;"",AX$8&lt;&gt;""),COUNTIFS($K$9:$K$59,$N22,$L$9:$L$59,AX$8),0)</f>
        <v>0</v>
      </c>
      <c r="AY22" s="175">
        <f t="array" ref="AY22">IF(AND($N22&lt;&gt;"",AY$8&lt;&gt;""),COUNTIFS($K$9:$K$59,$N22,$L$9:$L$59,AY$8),0)</f>
        <v>0</v>
      </c>
      <c r="AZ22" s="175">
        <f t="array" ref="AZ22">IF(AND($N22&lt;&gt;"",AZ$8&lt;&gt;""),COUNTIFS($K$9:$K$59,$N22,$L$9:$L$59,AZ$8),0)</f>
        <v>0</v>
      </c>
      <c r="BA22" s="175">
        <f t="array" ref="BA22">IF(AND($N22&lt;&gt;"",BA$8&lt;&gt;""),COUNTIFS($K$9:$K$59,$N22,$L$9:$L$59,BA$8),0)</f>
        <v>0</v>
      </c>
      <c r="BB22" s="175">
        <f t="array" ref="BB22">IF(AND($N22&lt;&gt;"",BB$8&lt;&gt;""),COUNTIFS($K$9:$K$59,$N22,$L$9:$L$59,BB$8),0)</f>
        <v>0</v>
      </c>
      <c r="BC22" s="175">
        <f t="array" ref="BC22">IF(AND($N22&lt;&gt;"",BC$8&lt;&gt;""),COUNTIFS($K$9:$K$59,$N22,$L$9:$L$59,BC$8),0)</f>
        <v>0</v>
      </c>
      <c r="BD22" s="175">
        <f t="array" ref="BD22">IF(AND($N22&lt;&gt;"",BD$8&lt;&gt;""),COUNTIFS($K$9:$K$59,$N22,$L$9:$L$59,BD$8),0)</f>
        <v>0</v>
      </c>
      <c r="BE22" s="175">
        <f t="array" ref="BE22">IF(AND($N22&lt;&gt;"",BE$8&lt;&gt;""),COUNTIFS($K$9:$K$59,$N22,$L$9:$L$59,BE$8),0)</f>
        <v>0</v>
      </c>
      <c r="BF22" s="175">
        <f t="array" ref="BF22">IF(AND($N22&lt;&gt;"",BF$8&lt;&gt;""),COUNTIFS($K$9:$K$59,$N22,$L$9:$L$59,BF$8),0)</f>
        <v>0</v>
      </c>
      <c r="BG22" s="175">
        <f t="array" ref="BG22">IF(AND($N22&lt;&gt;"",BG$8&lt;&gt;""),COUNTIFS($K$9:$K$59,$N22,$L$9:$L$59,BG$8),0)</f>
        <v>0</v>
      </c>
      <c r="BH22" s="175">
        <f t="array" ref="BH22">IF(AND($N22&lt;&gt;"",BH$8&lt;&gt;""),COUNTIFS($K$9:$K$59,$N22,$L$9:$L$59,BH$8),0)</f>
        <v>0</v>
      </c>
      <c r="BI22" s="175">
        <f t="array" ref="BI22">IF(AND($N22&lt;&gt;"",BI$8&lt;&gt;""),COUNTIFS($K$9:$K$59,$N22,$L$9:$L$59,BI$8),0)</f>
        <v>0</v>
      </c>
      <c r="BJ22" s="175">
        <f t="array" ref="BJ22">IF(AND($N22&lt;&gt;"",BJ$8&lt;&gt;""),COUNTIFS($K$9:$K$59,$N22,$L$9:$L$59,BJ$8),0)</f>
        <v>0</v>
      </c>
      <c r="BK22" s="175">
        <f t="array" ref="BK22">IF(AND($N22&lt;&gt;"",BK$8&lt;&gt;""),COUNTIFS($K$9:$K$59,$N22,$L$9:$L$59,BK$8),0)</f>
        <v>0</v>
      </c>
      <c r="BL22" s="175">
        <f t="array" ref="BL22">IF(AND($N22&lt;&gt;"",BL$8&lt;&gt;""),COUNTIFS($K$9:$K$59,$N22,$L$9:$L$59,BL$8),0)</f>
        <v>0</v>
      </c>
    </row>
    <row r="23" spans="2:64" s="22" customFormat="1" x14ac:dyDescent="0.2">
      <c r="B23" s="119" t="s">
        <v>108</v>
      </c>
      <c r="C23" s="260"/>
      <c r="D23" s="118"/>
      <c r="E23" s="15"/>
      <c r="F23" s="15"/>
      <c r="G23" s="15"/>
      <c r="H23" s="15" t="s">
        <v>287</v>
      </c>
      <c r="I23" s="116" t="str">
        <f t="shared" si="1"/>
        <v>-</v>
      </c>
      <c r="J23" s="120"/>
      <c r="K23" s="195" t="str">
        <f t="shared" si="2"/>
        <v/>
      </c>
      <c r="L23" s="188" t="str">
        <f t="shared" si="3"/>
        <v/>
      </c>
      <c r="N23" s="185" t="str">
        <f t="array" ref="N23">IFERROR(INDEX($K$9:$K$59,MATCH(0,COUNTIF($N$8:$N22,$K$9:$K$59),0)),"")</f>
        <v/>
      </c>
      <c r="O23" s="175">
        <f t="array" ref="O23">IF(AND($N23&lt;&gt;"",O$8&lt;&gt;""),COUNTIFS($K$9:$K$59,$N23,$L$9:$L$59,O$8),0)</f>
        <v>0</v>
      </c>
      <c r="P23" s="175">
        <f t="array" ref="P23">IF(AND($N23&lt;&gt;"",P$8&lt;&gt;""),COUNTIFS($K$9:$K$59,$N23,$L$9:$L$59,P$8),0)</f>
        <v>0</v>
      </c>
      <c r="Q23" s="175">
        <f t="array" ref="Q23">IF(AND($N23&lt;&gt;"",Q$8&lt;&gt;""),COUNTIFS($K$9:$K$59,$N23,$L$9:$L$59,Q$8),0)</f>
        <v>0</v>
      </c>
      <c r="R23" s="175">
        <f t="array" ref="R23">IF(AND($N23&lt;&gt;"",R$8&lt;&gt;""),COUNTIFS($K$9:$K$59,$N23,$L$9:$L$59,R$8),0)</f>
        <v>0</v>
      </c>
      <c r="S23" s="175">
        <f t="array" ref="S23">IF(AND($N23&lt;&gt;"",S$8&lt;&gt;""),COUNTIFS($K$9:$K$59,$N23,$L$9:$L$59,S$8),0)</f>
        <v>0</v>
      </c>
      <c r="T23" s="175">
        <f t="array" ref="T23">IF(AND($N23&lt;&gt;"",T$8&lt;&gt;""),COUNTIFS($K$9:$K$59,$N23,$L$9:$L$59,T$8),0)</f>
        <v>0</v>
      </c>
      <c r="U23" s="175">
        <f t="array" ref="U23">IF(AND($N23&lt;&gt;"",U$8&lt;&gt;""),COUNTIFS($K$9:$K$59,$N23,$L$9:$L$59,U$8),0)</f>
        <v>0</v>
      </c>
      <c r="V23" s="175">
        <f t="array" ref="V23">IF(AND($N23&lt;&gt;"",V$8&lt;&gt;""),COUNTIFS($K$9:$K$59,$N23,$L$9:$L$59,V$8),0)</f>
        <v>0</v>
      </c>
      <c r="W23" s="175">
        <f t="array" ref="W23">IF(AND($N23&lt;&gt;"",W$8&lt;&gt;""),COUNTIFS($K$9:$K$59,$N23,$L$9:$L$59,W$8),0)</f>
        <v>0</v>
      </c>
      <c r="X23" s="175">
        <f t="array" ref="X23">IF(AND($N23&lt;&gt;"",X$8&lt;&gt;""),COUNTIFS($K$9:$K$59,$N23,$L$9:$L$59,X$8),0)</f>
        <v>0</v>
      </c>
      <c r="Y23" s="175">
        <f t="array" ref="Y23">IF(AND($N23&lt;&gt;"",Y$8&lt;&gt;""),COUNTIFS($K$9:$K$59,$N23,$L$9:$L$59,Y$8),0)</f>
        <v>0</v>
      </c>
      <c r="Z23" s="175">
        <f t="array" ref="Z23">IF(AND($N23&lt;&gt;"",Z$8&lt;&gt;""),COUNTIFS($K$9:$K$59,$N23,$L$9:$L$59,Z$8),0)</f>
        <v>0</v>
      </c>
      <c r="AA23" s="175">
        <f t="array" ref="AA23">IF(AND($N23&lt;&gt;"",AA$8&lt;&gt;""),COUNTIFS($K$9:$K$59,$N23,$L$9:$L$59,AA$8),0)</f>
        <v>0</v>
      </c>
      <c r="AB23" s="175">
        <f t="array" ref="AB23">IF(AND($N23&lt;&gt;"",AB$8&lt;&gt;""),COUNTIFS($K$9:$K$59,$N23,$L$9:$L$59,AB$8),0)</f>
        <v>0</v>
      </c>
      <c r="AC23" s="175">
        <f t="array" ref="AC23">IF(AND($N23&lt;&gt;"",AC$8&lt;&gt;""),COUNTIFS($K$9:$K$59,$N23,$L$9:$L$59,AC$8),0)</f>
        <v>0</v>
      </c>
      <c r="AD23" s="175">
        <f t="array" ref="AD23">IF(AND($N23&lt;&gt;"",AD$8&lt;&gt;""),COUNTIFS($K$9:$K$59,$N23,$L$9:$L$59,AD$8),0)</f>
        <v>0</v>
      </c>
      <c r="AE23" s="175">
        <f t="array" ref="AE23">IF(AND($N23&lt;&gt;"",AE$8&lt;&gt;""),COUNTIFS($K$9:$K$59,$N23,$L$9:$L$59,AE$8),0)</f>
        <v>0</v>
      </c>
      <c r="AF23" s="175">
        <f t="array" ref="AF23">IF(AND($N23&lt;&gt;"",AF$8&lt;&gt;""),COUNTIFS($K$9:$K$59,$N23,$L$9:$L$59,AF$8),0)</f>
        <v>0</v>
      </c>
      <c r="AG23" s="175">
        <f t="array" ref="AG23">IF(AND($N23&lt;&gt;"",AG$8&lt;&gt;""),COUNTIFS($K$9:$K$59,$N23,$L$9:$L$59,AG$8),0)</f>
        <v>0</v>
      </c>
      <c r="AH23" s="175">
        <f t="array" ref="AH23">IF(AND($N23&lt;&gt;"",AH$8&lt;&gt;""),COUNTIFS($K$9:$K$59,$N23,$L$9:$L$59,AH$8),0)</f>
        <v>0</v>
      </c>
      <c r="AI23" s="175">
        <f t="array" ref="AI23">IF(AND($N23&lt;&gt;"",AI$8&lt;&gt;""),COUNTIFS($K$9:$K$59,$N23,$L$9:$L$59,AI$8),0)</f>
        <v>0</v>
      </c>
      <c r="AJ23" s="175">
        <f t="array" ref="AJ23">IF(AND($N23&lt;&gt;"",AJ$8&lt;&gt;""),COUNTIFS($K$9:$K$59,$N23,$L$9:$L$59,AJ$8),0)</f>
        <v>0</v>
      </c>
      <c r="AK23" s="175">
        <f t="array" ref="AK23">IF(AND($N23&lt;&gt;"",AK$8&lt;&gt;""),COUNTIFS($K$9:$K$59,$N23,$L$9:$L$59,AK$8),0)</f>
        <v>0</v>
      </c>
      <c r="AL23" s="175">
        <f t="array" ref="AL23">IF(AND($N23&lt;&gt;"",AL$8&lt;&gt;""),COUNTIFS($K$9:$K$59,$N23,$L$9:$L$59,AL$8),0)</f>
        <v>0</v>
      </c>
      <c r="AM23" s="175">
        <f t="array" ref="AM23">IF(AND($N23&lt;&gt;"",AM$8&lt;&gt;""),COUNTIFS($K$9:$K$59,$N23,$L$9:$L$59,AM$8),0)</f>
        <v>0</v>
      </c>
      <c r="AN23" s="175">
        <f t="array" ref="AN23">IF(AND($N23&lt;&gt;"",AN$8&lt;&gt;""),COUNTIFS($K$9:$K$59,$N23,$L$9:$L$59,AN$8),0)</f>
        <v>0</v>
      </c>
      <c r="AO23" s="175">
        <f t="array" ref="AO23">IF(AND($N23&lt;&gt;"",AO$8&lt;&gt;""),COUNTIFS($K$9:$K$59,$N23,$L$9:$L$59,AO$8),0)</f>
        <v>0</v>
      </c>
      <c r="AP23" s="175">
        <f t="array" ref="AP23">IF(AND($N23&lt;&gt;"",AP$8&lt;&gt;""),COUNTIFS($K$9:$K$59,$N23,$L$9:$L$59,AP$8),0)</f>
        <v>0</v>
      </c>
      <c r="AQ23" s="175">
        <f t="array" ref="AQ23">IF(AND($N23&lt;&gt;"",AQ$8&lt;&gt;""),COUNTIFS($K$9:$K$59,$N23,$L$9:$L$59,AQ$8),0)</f>
        <v>0</v>
      </c>
      <c r="AR23" s="175">
        <f t="array" ref="AR23">IF(AND($N23&lt;&gt;"",AR$8&lt;&gt;""),COUNTIFS($K$9:$K$59,$N23,$L$9:$L$59,AR$8),0)</f>
        <v>0</v>
      </c>
      <c r="AS23" s="175">
        <f t="array" ref="AS23">IF(AND($N23&lt;&gt;"",AS$8&lt;&gt;""),COUNTIFS($K$9:$K$59,$N23,$L$9:$L$59,AS$8),0)</f>
        <v>0</v>
      </c>
      <c r="AT23" s="175">
        <f t="array" ref="AT23">IF(AND($N23&lt;&gt;"",AT$8&lt;&gt;""),COUNTIFS($K$9:$K$59,$N23,$L$9:$L$59,AT$8),0)</f>
        <v>0</v>
      </c>
      <c r="AU23" s="175">
        <f t="array" ref="AU23">IF(AND($N23&lt;&gt;"",AU$8&lt;&gt;""),COUNTIFS($K$9:$K$59,$N23,$L$9:$L$59,AU$8),0)</f>
        <v>0</v>
      </c>
      <c r="AV23" s="175">
        <f t="array" ref="AV23">IF(AND($N23&lt;&gt;"",AV$8&lt;&gt;""),COUNTIFS($K$9:$K$59,$N23,$L$9:$L$59,AV$8),0)</f>
        <v>0</v>
      </c>
      <c r="AW23" s="175">
        <f t="array" ref="AW23">IF(AND($N23&lt;&gt;"",AW$8&lt;&gt;""),COUNTIFS($K$9:$K$59,$N23,$L$9:$L$59,AW$8),0)</f>
        <v>0</v>
      </c>
      <c r="AX23" s="175">
        <f t="array" ref="AX23">IF(AND($N23&lt;&gt;"",AX$8&lt;&gt;""),COUNTIFS($K$9:$K$59,$N23,$L$9:$L$59,AX$8),0)</f>
        <v>0</v>
      </c>
      <c r="AY23" s="175">
        <f t="array" ref="AY23">IF(AND($N23&lt;&gt;"",AY$8&lt;&gt;""),COUNTIFS($K$9:$K$59,$N23,$L$9:$L$59,AY$8),0)</f>
        <v>0</v>
      </c>
      <c r="AZ23" s="175">
        <f t="array" ref="AZ23">IF(AND($N23&lt;&gt;"",AZ$8&lt;&gt;""),COUNTIFS($K$9:$K$59,$N23,$L$9:$L$59,AZ$8),0)</f>
        <v>0</v>
      </c>
      <c r="BA23" s="175">
        <f t="array" ref="BA23">IF(AND($N23&lt;&gt;"",BA$8&lt;&gt;""),COUNTIFS($K$9:$K$59,$N23,$L$9:$L$59,BA$8),0)</f>
        <v>0</v>
      </c>
      <c r="BB23" s="175">
        <f t="array" ref="BB23">IF(AND($N23&lt;&gt;"",BB$8&lt;&gt;""),COUNTIFS($K$9:$K$59,$N23,$L$9:$L$59,BB$8),0)</f>
        <v>0</v>
      </c>
      <c r="BC23" s="175">
        <f t="array" ref="BC23">IF(AND($N23&lt;&gt;"",BC$8&lt;&gt;""),COUNTIFS($K$9:$K$59,$N23,$L$9:$L$59,BC$8),0)</f>
        <v>0</v>
      </c>
      <c r="BD23" s="175">
        <f t="array" ref="BD23">IF(AND($N23&lt;&gt;"",BD$8&lt;&gt;""),COUNTIFS($K$9:$K$59,$N23,$L$9:$L$59,BD$8),0)</f>
        <v>0</v>
      </c>
      <c r="BE23" s="175">
        <f t="array" ref="BE23">IF(AND($N23&lt;&gt;"",BE$8&lt;&gt;""),COUNTIFS($K$9:$K$59,$N23,$L$9:$L$59,BE$8),0)</f>
        <v>0</v>
      </c>
      <c r="BF23" s="175">
        <f t="array" ref="BF23">IF(AND($N23&lt;&gt;"",BF$8&lt;&gt;""),COUNTIFS($K$9:$K$59,$N23,$L$9:$L$59,BF$8),0)</f>
        <v>0</v>
      </c>
      <c r="BG23" s="175">
        <f t="array" ref="BG23">IF(AND($N23&lt;&gt;"",BG$8&lt;&gt;""),COUNTIFS($K$9:$K$59,$N23,$L$9:$L$59,BG$8),0)</f>
        <v>0</v>
      </c>
      <c r="BH23" s="175">
        <f t="array" ref="BH23">IF(AND($N23&lt;&gt;"",BH$8&lt;&gt;""),COUNTIFS($K$9:$K$59,$N23,$L$9:$L$59,BH$8),0)</f>
        <v>0</v>
      </c>
      <c r="BI23" s="175">
        <f t="array" ref="BI23">IF(AND($N23&lt;&gt;"",BI$8&lt;&gt;""),COUNTIFS($K$9:$K$59,$N23,$L$9:$L$59,BI$8),0)</f>
        <v>0</v>
      </c>
      <c r="BJ23" s="175">
        <f t="array" ref="BJ23">IF(AND($N23&lt;&gt;"",BJ$8&lt;&gt;""),COUNTIFS($K$9:$K$59,$N23,$L$9:$L$59,BJ$8),0)</f>
        <v>0</v>
      </c>
      <c r="BK23" s="175">
        <f t="array" ref="BK23">IF(AND($N23&lt;&gt;"",BK$8&lt;&gt;""),COUNTIFS($K$9:$K$59,$N23,$L$9:$L$59,BK$8),0)</f>
        <v>0</v>
      </c>
      <c r="BL23" s="175">
        <f t="array" ref="BL23">IF(AND($N23&lt;&gt;"",BL$8&lt;&gt;""),COUNTIFS($K$9:$K$59,$N23,$L$9:$L$59,BL$8),0)</f>
        <v>0</v>
      </c>
    </row>
    <row r="24" spans="2:64" s="22" customFormat="1" x14ac:dyDescent="0.2">
      <c r="B24" s="119" t="s">
        <v>109</v>
      </c>
      <c r="C24" s="260"/>
      <c r="D24" s="118"/>
      <c r="E24" s="15"/>
      <c r="F24" s="15"/>
      <c r="G24" s="15"/>
      <c r="H24" s="15" t="s">
        <v>287</v>
      </c>
      <c r="I24" s="116" t="str">
        <f t="shared" si="1"/>
        <v>-</v>
      </c>
      <c r="J24" s="120"/>
      <c r="K24" s="195" t="str">
        <f t="shared" si="2"/>
        <v/>
      </c>
      <c r="L24" s="188" t="str">
        <f t="shared" si="3"/>
        <v/>
      </c>
      <c r="N24" s="185" t="str">
        <f t="array" ref="N24">IFERROR(INDEX($K$9:$K$59,MATCH(0,COUNTIF($N$8:$N23,$K$9:$K$59),0)),"")</f>
        <v/>
      </c>
      <c r="O24" s="175">
        <f t="array" ref="O24">IF(AND($N24&lt;&gt;"",O$8&lt;&gt;""),COUNTIFS($K$9:$K$59,$N24,$L$9:$L$59,O$8),0)</f>
        <v>0</v>
      </c>
      <c r="P24" s="175">
        <f t="array" ref="P24">IF(AND($N24&lt;&gt;"",P$8&lt;&gt;""),COUNTIFS($K$9:$K$59,$N24,$L$9:$L$59,P$8),0)</f>
        <v>0</v>
      </c>
      <c r="Q24" s="175">
        <f t="array" ref="Q24">IF(AND($N24&lt;&gt;"",Q$8&lt;&gt;""),COUNTIFS($K$9:$K$59,$N24,$L$9:$L$59,Q$8),0)</f>
        <v>0</v>
      </c>
      <c r="R24" s="175">
        <f t="array" ref="R24">IF(AND($N24&lt;&gt;"",R$8&lt;&gt;""),COUNTIFS($K$9:$K$59,$N24,$L$9:$L$59,R$8),0)</f>
        <v>0</v>
      </c>
      <c r="S24" s="175">
        <f t="array" ref="S24">IF(AND($N24&lt;&gt;"",S$8&lt;&gt;""),COUNTIFS($K$9:$K$59,$N24,$L$9:$L$59,S$8),0)</f>
        <v>0</v>
      </c>
      <c r="T24" s="175">
        <f t="array" ref="T24">IF(AND($N24&lt;&gt;"",T$8&lt;&gt;""),COUNTIFS($K$9:$K$59,$N24,$L$9:$L$59,T$8),0)</f>
        <v>0</v>
      </c>
      <c r="U24" s="175">
        <f t="array" ref="U24">IF(AND($N24&lt;&gt;"",U$8&lt;&gt;""),COUNTIFS($K$9:$K$59,$N24,$L$9:$L$59,U$8),0)</f>
        <v>0</v>
      </c>
      <c r="V24" s="175">
        <f t="array" ref="V24">IF(AND($N24&lt;&gt;"",V$8&lt;&gt;""),COUNTIFS($K$9:$K$59,$N24,$L$9:$L$59,V$8),0)</f>
        <v>0</v>
      </c>
      <c r="W24" s="175">
        <f t="array" ref="W24">IF(AND($N24&lt;&gt;"",W$8&lt;&gt;""),COUNTIFS($K$9:$K$59,$N24,$L$9:$L$59,W$8),0)</f>
        <v>0</v>
      </c>
      <c r="X24" s="175">
        <f t="array" ref="X24">IF(AND($N24&lt;&gt;"",X$8&lt;&gt;""),COUNTIFS($K$9:$K$59,$N24,$L$9:$L$59,X$8),0)</f>
        <v>0</v>
      </c>
      <c r="Y24" s="175">
        <f t="array" ref="Y24">IF(AND($N24&lt;&gt;"",Y$8&lt;&gt;""),COUNTIFS($K$9:$K$59,$N24,$L$9:$L$59,Y$8),0)</f>
        <v>0</v>
      </c>
      <c r="Z24" s="175">
        <f t="array" ref="Z24">IF(AND($N24&lt;&gt;"",Z$8&lt;&gt;""),COUNTIFS($K$9:$K$59,$N24,$L$9:$L$59,Z$8),0)</f>
        <v>0</v>
      </c>
      <c r="AA24" s="175">
        <f t="array" ref="AA24">IF(AND($N24&lt;&gt;"",AA$8&lt;&gt;""),COUNTIFS($K$9:$K$59,$N24,$L$9:$L$59,AA$8),0)</f>
        <v>0</v>
      </c>
      <c r="AB24" s="175">
        <f t="array" ref="AB24">IF(AND($N24&lt;&gt;"",AB$8&lt;&gt;""),COUNTIFS($K$9:$K$59,$N24,$L$9:$L$59,AB$8),0)</f>
        <v>0</v>
      </c>
      <c r="AC24" s="175">
        <f t="array" ref="AC24">IF(AND($N24&lt;&gt;"",AC$8&lt;&gt;""),COUNTIFS($K$9:$K$59,$N24,$L$9:$L$59,AC$8),0)</f>
        <v>0</v>
      </c>
      <c r="AD24" s="175">
        <f t="array" ref="AD24">IF(AND($N24&lt;&gt;"",AD$8&lt;&gt;""),COUNTIFS($K$9:$K$59,$N24,$L$9:$L$59,AD$8),0)</f>
        <v>0</v>
      </c>
      <c r="AE24" s="175">
        <f t="array" ref="AE24">IF(AND($N24&lt;&gt;"",AE$8&lt;&gt;""),COUNTIFS($K$9:$K$59,$N24,$L$9:$L$59,AE$8),0)</f>
        <v>0</v>
      </c>
      <c r="AF24" s="175">
        <f t="array" ref="AF24">IF(AND($N24&lt;&gt;"",AF$8&lt;&gt;""),COUNTIFS($K$9:$K$59,$N24,$L$9:$L$59,AF$8),0)</f>
        <v>0</v>
      </c>
      <c r="AG24" s="175">
        <f t="array" ref="AG24">IF(AND($N24&lt;&gt;"",AG$8&lt;&gt;""),COUNTIFS($K$9:$K$59,$N24,$L$9:$L$59,AG$8),0)</f>
        <v>0</v>
      </c>
      <c r="AH24" s="175">
        <f t="array" ref="AH24">IF(AND($N24&lt;&gt;"",AH$8&lt;&gt;""),COUNTIFS($K$9:$K$59,$N24,$L$9:$L$59,AH$8),0)</f>
        <v>0</v>
      </c>
      <c r="AI24" s="175">
        <f t="array" ref="AI24">IF(AND($N24&lt;&gt;"",AI$8&lt;&gt;""),COUNTIFS($K$9:$K$59,$N24,$L$9:$L$59,AI$8),0)</f>
        <v>0</v>
      </c>
      <c r="AJ24" s="175">
        <f t="array" ref="AJ24">IF(AND($N24&lt;&gt;"",AJ$8&lt;&gt;""),COUNTIFS($K$9:$K$59,$N24,$L$9:$L$59,AJ$8),0)</f>
        <v>0</v>
      </c>
      <c r="AK24" s="175">
        <f t="array" ref="AK24">IF(AND($N24&lt;&gt;"",AK$8&lt;&gt;""),COUNTIFS($K$9:$K$59,$N24,$L$9:$L$59,AK$8),0)</f>
        <v>0</v>
      </c>
      <c r="AL24" s="175">
        <f t="array" ref="AL24">IF(AND($N24&lt;&gt;"",AL$8&lt;&gt;""),COUNTIFS($K$9:$K$59,$N24,$L$9:$L$59,AL$8),0)</f>
        <v>0</v>
      </c>
      <c r="AM24" s="175">
        <f t="array" ref="AM24">IF(AND($N24&lt;&gt;"",AM$8&lt;&gt;""),COUNTIFS($K$9:$K$59,$N24,$L$9:$L$59,AM$8),0)</f>
        <v>0</v>
      </c>
      <c r="AN24" s="175">
        <f t="array" ref="AN24">IF(AND($N24&lt;&gt;"",AN$8&lt;&gt;""),COUNTIFS($K$9:$K$59,$N24,$L$9:$L$59,AN$8),0)</f>
        <v>0</v>
      </c>
      <c r="AO24" s="175">
        <f t="array" ref="AO24">IF(AND($N24&lt;&gt;"",AO$8&lt;&gt;""),COUNTIFS($K$9:$K$59,$N24,$L$9:$L$59,AO$8),0)</f>
        <v>0</v>
      </c>
      <c r="AP24" s="175">
        <f t="array" ref="AP24">IF(AND($N24&lt;&gt;"",AP$8&lt;&gt;""),COUNTIFS($K$9:$K$59,$N24,$L$9:$L$59,AP$8),0)</f>
        <v>0</v>
      </c>
      <c r="AQ24" s="175">
        <f t="array" ref="AQ24">IF(AND($N24&lt;&gt;"",AQ$8&lt;&gt;""),COUNTIFS($K$9:$K$59,$N24,$L$9:$L$59,AQ$8),0)</f>
        <v>0</v>
      </c>
      <c r="AR24" s="175">
        <f t="array" ref="AR24">IF(AND($N24&lt;&gt;"",AR$8&lt;&gt;""),COUNTIFS($K$9:$K$59,$N24,$L$9:$L$59,AR$8),0)</f>
        <v>0</v>
      </c>
      <c r="AS24" s="175">
        <f t="array" ref="AS24">IF(AND($N24&lt;&gt;"",AS$8&lt;&gt;""),COUNTIFS($K$9:$K$59,$N24,$L$9:$L$59,AS$8),0)</f>
        <v>0</v>
      </c>
      <c r="AT24" s="175">
        <f t="array" ref="AT24">IF(AND($N24&lt;&gt;"",AT$8&lt;&gt;""),COUNTIFS($K$9:$K$59,$N24,$L$9:$L$59,AT$8),0)</f>
        <v>0</v>
      </c>
      <c r="AU24" s="175">
        <f t="array" ref="AU24">IF(AND($N24&lt;&gt;"",AU$8&lt;&gt;""),COUNTIFS($K$9:$K$59,$N24,$L$9:$L$59,AU$8),0)</f>
        <v>0</v>
      </c>
      <c r="AV24" s="175">
        <f t="array" ref="AV24">IF(AND($N24&lt;&gt;"",AV$8&lt;&gt;""),COUNTIFS($K$9:$K$59,$N24,$L$9:$L$59,AV$8),0)</f>
        <v>0</v>
      </c>
      <c r="AW24" s="175">
        <f t="array" ref="AW24">IF(AND($N24&lt;&gt;"",AW$8&lt;&gt;""),COUNTIFS($K$9:$K$59,$N24,$L$9:$L$59,AW$8),0)</f>
        <v>0</v>
      </c>
      <c r="AX24" s="175">
        <f t="array" ref="AX24">IF(AND($N24&lt;&gt;"",AX$8&lt;&gt;""),COUNTIFS($K$9:$K$59,$N24,$L$9:$L$59,AX$8),0)</f>
        <v>0</v>
      </c>
      <c r="AY24" s="175">
        <f t="array" ref="AY24">IF(AND($N24&lt;&gt;"",AY$8&lt;&gt;""),COUNTIFS($K$9:$K$59,$N24,$L$9:$L$59,AY$8),0)</f>
        <v>0</v>
      </c>
      <c r="AZ24" s="175">
        <f t="array" ref="AZ24">IF(AND($N24&lt;&gt;"",AZ$8&lt;&gt;""),COUNTIFS($K$9:$K$59,$N24,$L$9:$L$59,AZ$8),0)</f>
        <v>0</v>
      </c>
      <c r="BA24" s="175">
        <f t="array" ref="BA24">IF(AND($N24&lt;&gt;"",BA$8&lt;&gt;""),COUNTIFS($K$9:$K$59,$N24,$L$9:$L$59,BA$8),0)</f>
        <v>0</v>
      </c>
      <c r="BB24" s="175">
        <f t="array" ref="BB24">IF(AND($N24&lt;&gt;"",BB$8&lt;&gt;""),COUNTIFS($K$9:$K$59,$N24,$L$9:$L$59,BB$8),0)</f>
        <v>0</v>
      </c>
      <c r="BC24" s="175">
        <f t="array" ref="BC24">IF(AND($N24&lt;&gt;"",BC$8&lt;&gt;""),COUNTIFS($K$9:$K$59,$N24,$L$9:$L$59,BC$8),0)</f>
        <v>0</v>
      </c>
      <c r="BD24" s="175">
        <f t="array" ref="BD24">IF(AND($N24&lt;&gt;"",BD$8&lt;&gt;""),COUNTIFS($K$9:$K$59,$N24,$L$9:$L$59,BD$8),0)</f>
        <v>0</v>
      </c>
      <c r="BE24" s="175">
        <f t="array" ref="BE24">IF(AND($N24&lt;&gt;"",BE$8&lt;&gt;""),COUNTIFS($K$9:$K$59,$N24,$L$9:$L$59,BE$8),0)</f>
        <v>0</v>
      </c>
      <c r="BF24" s="175">
        <f t="array" ref="BF24">IF(AND($N24&lt;&gt;"",BF$8&lt;&gt;""),COUNTIFS($K$9:$K$59,$N24,$L$9:$L$59,BF$8),0)</f>
        <v>0</v>
      </c>
      <c r="BG24" s="175">
        <f t="array" ref="BG24">IF(AND($N24&lt;&gt;"",BG$8&lt;&gt;""),COUNTIFS($K$9:$K$59,$N24,$L$9:$L$59,BG$8),0)</f>
        <v>0</v>
      </c>
      <c r="BH24" s="175">
        <f t="array" ref="BH24">IF(AND($N24&lt;&gt;"",BH$8&lt;&gt;""),COUNTIFS($K$9:$K$59,$N24,$L$9:$L$59,BH$8),0)</f>
        <v>0</v>
      </c>
      <c r="BI24" s="175">
        <f t="array" ref="BI24">IF(AND($N24&lt;&gt;"",BI$8&lt;&gt;""),COUNTIFS($K$9:$K$59,$N24,$L$9:$L$59,BI$8),0)</f>
        <v>0</v>
      </c>
      <c r="BJ24" s="175">
        <f t="array" ref="BJ24">IF(AND($N24&lt;&gt;"",BJ$8&lt;&gt;""),COUNTIFS($K$9:$K$59,$N24,$L$9:$L$59,BJ$8),0)</f>
        <v>0</v>
      </c>
      <c r="BK24" s="175">
        <f t="array" ref="BK24">IF(AND($N24&lt;&gt;"",BK$8&lt;&gt;""),COUNTIFS($K$9:$K$59,$N24,$L$9:$L$59,BK$8),0)</f>
        <v>0</v>
      </c>
      <c r="BL24" s="175">
        <f t="array" ref="BL24">IF(AND($N24&lt;&gt;"",BL$8&lt;&gt;""),COUNTIFS($K$9:$K$59,$N24,$L$9:$L$59,BL$8),0)</f>
        <v>0</v>
      </c>
    </row>
    <row r="25" spans="2:64" s="22" customFormat="1" x14ac:dyDescent="0.2">
      <c r="B25" s="119" t="s">
        <v>110</v>
      </c>
      <c r="C25" s="260"/>
      <c r="D25" s="118"/>
      <c r="E25" s="15"/>
      <c r="F25" s="15"/>
      <c r="G25" s="15"/>
      <c r="H25" s="15" t="s">
        <v>287</v>
      </c>
      <c r="I25" s="116" t="str">
        <f t="shared" si="1"/>
        <v>-</v>
      </c>
      <c r="J25" s="120"/>
      <c r="K25" s="195" t="str">
        <f t="shared" si="2"/>
        <v/>
      </c>
      <c r="L25" s="188" t="str">
        <f t="shared" si="3"/>
        <v/>
      </c>
      <c r="N25" s="185" t="str">
        <f t="array" ref="N25">IFERROR(INDEX($K$9:$K$59,MATCH(0,COUNTIF($N$8:$N24,$K$9:$K$59),0)),"")</f>
        <v/>
      </c>
      <c r="O25" s="175">
        <f t="array" ref="O25">IF(AND($N25&lt;&gt;"",O$8&lt;&gt;""),COUNTIFS($K$9:$K$59,$N25,$L$9:$L$59,O$8),0)</f>
        <v>0</v>
      </c>
      <c r="P25" s="175">
        <f t="array" ref="P25">IF(AND($N25&lt;&gt;"",P$8&lt;&gt;""),COUNTIFS($K$9:$K$59,$N25,$L$9:$L$59,P$8),0)</f>
        <v>0</v>
      </c>
      <c r="Q25" s="175">
        <f t="array" ref="Q25">IF(AND($N25&lt;&gt;"",Q$8&lt;&gt;""),COUNTIFS($K$9:$K$59,$N25,$L$9:$L$59,Q$8),0)</f>
        <v>0</v>
      </c>
      <c r="R25" s="175">
        <f t="array" ref="R25">IF(AND($N25&lt;&gt;"",R$8&lt;&gt;""),COUNTIFS($K$9:$K$59,$N25,$L$9:$L$59,R$8),0)</f>
        <v>0</v>
      </c>
      <c r="S25" s="175">
        <f t="array" ref="S25">IF(AND($N25&lt;&gt;"",S$8&lt;&gt;""),COUNTIFS($K$9:$K$59,$N25,$L$9:$L$59,S$8),0)</f>
        <v>0</v>
      </c>
      <c r="T25" s="175">
        <f t="array" ref="T25">IF(AND($N25&lt;&gt;"",T$8&lt;&gt;""),COUNTIFS($K$9:$K$59,$N25,$L$9:$L$59,T$8),0)</f>
        <v>0</v>
      </c>
      <c r="U25" s="175">
        <f t="array" ref="U25">IF(AND($N25&lt;&gt;"",U$8&lt;&gt;""),COUNTIFS($K$9:$K$59,$N25,$L$9:$L$59,U$8),0)</f>
        <v>0</v>
      </c>
      <c r="V25" s="175">
        <f t="array" ref="V25">IF(AND($N25&lt;&gt;"",V$8&lt;&gt;""),COUNTIFS($K$9:$K$59,$N25,$L$9:$L$59,V$8),0)</f>
        <v>0</v>
      </c>
      <c r="W25" s="175">
        <f t="array" ref="W25">IF(AND($N25&lt;&gt;"",W$8&lt;&gt;""),COUNTIFS($K$9:$K$59,$N25,$L$9:$L$59,W$8),0)</f>
        <v>0</v>
      </c>
      <c r="X25" s="175">
        <f t="array" ref="X25">IF(AND($N25&lt;&gt;"",X$8&lt;&gt;""),COUNTIFS($K$9:$K$59,$N25,$L$9:$L$59,X$8),0)</f>
        <v>0</v>
      </c>
      <c r="Y25" s="175">
        <f t="array" ref="Y25">IF(AND($N25&lt;&gt;"",Y$8&lt;&gt;""),COUNTIFS($K$9:$K$59,$N25,$L$9:$L$59,Y$8),0)</f>
        <v>0</v>
      </c>
      <c r="Z25" s="175">
        <f t="array" ref="Z25">IF(AND($N25&lt;&gt;"",Z$8&lt;&gt;""),COUNTIFS($K$9:$K$59,$N25,$L$9:$L$59,Z$8),0)</f>
        <v>0</v>
      </c>
      <c r="AA25" s="175">
        <f t="array" ref="AA25">IF(AND($N25&lt;&gt;"",AA$8&lt;&gt;""),COUNTIFS($K$9:$K$59,$N25,$L$9:$L$59,AA$8),0)</f>
        <v>0</v>
      </c>
      <c r="AB25" s="175">
        <f t="array" ref="AB25">IF(AND($N25&lt;&gt;"",AB$8&lt;&gt;""),COUNTIFS($K$9:$K$59,$N25,$L$9:$L$59,AB$8),0)</f>
        <v>0</v>
      </c>
      <c r="AC25" s="175">
        <f t="array" ref="AC25">IF(AND($N25&lt;&gt;"",AC$8&lt;&gt;""),COUNTIFS($K$9:$K$59,$N25,$L$9:$L$59,AC$8),0)</f>
        <v>0</v>
      </c>
      <c r="AD25" s="175">
        <f t="array" ref="AD25">IF(AND($N25&lt;&gt;"",AD$8&lt;&gt;""),COUNTIFS($K$9:$K$59,$N25,$L$9:$L$59,AD$8),0)</f>
        <v>0</v>
      </c>
      <c r="AE25" s="175">
        <f t="array" ref="AE25">IF(AND($N25&lt;&gt;"",AE$8&lt;&gt;""),COUNTIFS($K$9:$K$59,$N25,$L$9:$L$59,AE$8),0)</f>
        <v>0</v>
      </c>
      <c r="AF25" s="175">
        <f t="array" ref="AF25">IF(AND($N25&lt;&gt;"",AF$8&lt;&gt;""),COUNTIFS($K$9:$K$59,$N25,$L$9:$L$59,AF$8),0)</f>
        <v>0</v>
      </c>
      <c r="AG25" s="175">
        <f t="array" ref="AG25">IF(AND($N25&lt;&gt;"",AG$8&lt;&gt;""),COUNTIFS($K$9:$K$59,$N25,$L$9:$L$59,AG$8),0)</f>
        <v>0</v>
      </c>
      <c r="AH25" s="175">
        <f t="array" ref="AH25">IF(AND($N25&lt;&gt;"",AH$8&lt;&gt;""),COUNTIFS($K$9:$K$59,$N25,$L$9:$L$59,AH$8),0)</f>
        <v>0</v>
      </c>
      <c r="AI25" s="175">
        <f t="array" ref="AI25">IF(AND($N25&lt;&gt;"",AI$8&lt;&gt;""),COUNTIFS($K$9:$K$59,$N25,$L$9:$L$59,AI$8),0)</f>
        <v>0</v>
      </c>
      <c r="AJ25" s="175">
        <f t="array" ref="AJ25">IF(AND($N25&lt;&gt;"",AJ$8&lt;&gt;""),COUNTIFS($K$9:$K$59,$N25,$L$9:$L$59,AJ$8),0)</f>
        <v>0</v>
      </c>
      <c r="AK25" s="175">
        <f t="array" ref="AK25">IF(AND($N25&lt;&gt;"",AK$8&lt;&gt;""),COUNTIFS($K$9:$K$59,$N25,$L$9:$L$59,AK$8),0)</f>
        <v>0</v>
      </c>
      <c r="AL25" s="175">
        <f t="array" ref="AL25">IF(AND($N25&lt;&gt;"",AL$8&lt;&gt;""),COUNTIFS($K$9:$K$59,$N25,$L$9:$L$59,AL$8),0)</f>
        <v>0</v>
      </c>
      <c r="AM25" s="175">
        <f t="array" ref="AM25">IF(AND($N25&lt;&gt;"",AM$8&lt;&gt;""),COUNTIFS($K$9:$K$59,$N25,$L$9:$L$59,AM$8),0)</f>
        <v>0</v>
      </c>
      <c r="AN25" s="175">
        <f t="array" ref="AN25">IF(AND($N25&lt;&gt;"",AN$8&lt;&gt;""),COUNTIFS($K$9:$K$59,$N25,$L$9:$L$59,AN$8),0)</f>
        <v>0</v>
      </c>
      <c r="AO25" s="175">
        <f t="array" ref="AO25">IF(AND($N25&lt;&gt;"",AO$8&lt;&gt;""),COUNTIFS($K$9:$K$59,$N25,$L$9:$L$59,AO$8),0)</f>
        <v>0</v>
      </c>
      <c r="AP25" s="175">
        <f t="array" ref="AP25">IF(AND($N25&lt;&gt;"",AP$8&lt;&gt;""),COUNTIFS($K$9:$K$59,$N25,$L$9:$L$59,AP$8),0)</f>
        <v>0</v>
      </c>
      <c r="AQ25" s="175">
        <f t="array" ref="AQ25">IF(AND($N25&lt;&gt;"",AQ$8&lt;&gt;""),COUNTIFS($K$9:$K$59,$N25,$L$9:$L$59,AQ$8),0)</f>
        <v>0</v>
      </c>
      <c r="AR25" s="175">
        <f t="array" ref="AR25">IF(AND($N25&lt;&gt;"",AR$8&lt;&gt;""),COUNTIFS($K$9:$K$59,$N25,$L$9:$L$59,AR$8),0)</f>
        <v>0</v>
      </c>
      <c r="AS25" s="175">
        <f t="array" ref="AS25">IF(AND($N25&lt;&gt;"",AS$8&lt;&gt;""),COUNTIFS($K$9:$K$59,$N25,$L$9:$L$59,AS$8),0)</f>
        <v>0</v>
      </c>
      <c r="AT25" s="175">
        <f t="array" ref="AT25">IF(AND($N25&lt;&gt;"",AT$8&lt;&gt;""),COUNTIFS($K$9:$K$59,$N25,$L$9:$L$59,AT$8),0)</f>
        <v>0</v>
      </c>
      <c r="AU25" s="175">
        <f t="array" ref="AU25">IF(AND($N25&lt;&gt;"",AU$8&lt;&gt;""),COUNTIFS($K$9:$K$59,$N25,$L$9:$L$59,AU$8),0)</f>
        <v>0</v>
      </c>
      <c r="AV25" s="175">
        <f t="array" ref="AV25">IF(AND($N25&lt;&gt;"",AV$8&lt;&gt;""),COUNTIFS($K$9:$K$59,$N25,$L$9:$L$59,AV$8),0)</f>
        <v>0</v>
      </c>
      <c r="AW25" s="175">
        <f t="array" ref="AW25">IF(AND($N25&lt;&gt;"",AW$8&lt;&gt;""),COUNTIFS($K$9:$K$59,$N25,$L$9:$L$59,AW$8),0)</f>
        <v>0</v>
      </c>
      <c r="AX25" s="175">
        <f t="array" ref="AX25">IF(AND($N25&lt;&gt;"",AX$8&lt;&gt;""),COUNTIFS($K$9:$K$59,$N25,$L$9:$L$59,AX$8),0)</f>
        <v>0</v>
      </c>
      <c r="AY25" s="175">
        <f t="array" ref="AY25">IF(AND($N25&lt;&gt;"",AY$8&lt;&gt;""),COUNTIFS($K$9:$K$59,$N25,$L$9:$L$59,AY$8),0)</f>
        <v>0</v>
      </c>
      <c r="AZ25" s="175">
        <f t="array" ref="AZ25">IF(AND($N25&lt;&gt;"",AZ$8&lt;&gt;""),COUNTIFS($K$9:$K$59,$N25,$L$9:$L$59,AZ$8),0)</f>
        <v>0</v>
      </c>
      <c r="BA25" s="175">
        <f t="array" ref="BA25">IF(AND($N25&lt;&gt;"",BA$8&lt;&gt;""),COUNTIFS($K$9:$K$59,$N25,$L$9:$L$59,BA$8),0)</f>
        <v>0</v>
      </c>
      <c r="BB25" s="175">
        <f t="array" ref="BB25">IF(AND($N25&lt;&gt;"",BB$8&lt;&gt;""),COUNTIFS($K$9:$K$59,$N25,$L$9:$L$59,BB$8),0)</f>
        <v>0</v>
      </c>
      <c r="BC25" s="175">
        <f t="array" ref="BC25">IF(AND($N25&lt;&gt;"",BC$8&lt;&gt;""),COUNTIFS($K$9:$K$59,$N25,$L$9:$L$59,BC$8),0)</f>
        <v>0</v>
      </c>
      <c r="BD25" s="175">
        <f t="array" ref="BD25">IF(AND($N25&lt;&gt;"",BD$8&lt;&gt;""),COUNTIFS($K$9:$K$59,$N25,$L$9:$L$59,BD$8),0)</f>
        <v>0</v>
      </c>
      <c r="BE25" s="175">
        <f t="array" ref="BE25">IF(AND($N25&lt;&gt;"",BE$8&lt;&gt;""),COUNTIFS($K$9:$K$59,$N25,$L$9:$L$59,BE$8),0)</f>
        <v>0</v>
      </c>
      <c r="BF25" s="175">
        <f t="array" ref="BF25">IF(AND($N25&lt;&gt;"",BF$8&lt;&gt;""),COUNTIFS($K$9:$K$59,$N25,$L$9:$L$59,BF$8),0)</f>
        <v>0</v>
      </c>
      <c r="BG25" s="175">
        <f t="array" ref="BG25">IF(AND($N25&lt;&gt;"",BG$8&lt;&gt;""),COUNTIFS($K$9:$K$59,$N25,$L$9:$L$59,BG$8),0)</f>
        <v>0</v>
      </c>
      <c r="BH25" s="175">
        <f t="array" ref="BH25">IF(AND($N25&lt;&gt;"",BH$8&lt;&gt;""),COUNTIFS($K$9:$K$59,$N25,$L$9:$L$59,BH$8),0)</f>
        <v>0</v>
      </c>
      <c r="BI25" s="175">
        <f t="array" ref="BI25">IF(AND($N25&lt;&gt;"",BI$8&lt;&gt;""),COUNTIFS($K$9:$K$59,$N25,$L$9:$L$59,BI$8),0)</f>
        <v>0</v>
      </c>
      <c r="BJ25" s="175">
        <f t="array" ref="BJ25">IF(AND($N25&lt;&gt;"",BJ$8&lt;&gt;""),COUNTIFS($K$9:$K$59,$N25,$L$9:$L$59,BJ$8),0)</f>
        <v>0</v>
      </c>
      <c r="BK25" s="175">
        <f t="array" ref="BK25">IF(AND($N25&lt;&gt;"",BK$8&lt;&gt;""),COUNTIFS($K$9:$K$59,$N25,$L$9:$L$59,BK$8),0)</f>
        <v>0</v>
      </c>
      <c r="BL25" s="175">
        <f t="array" ref="BL25">IF(AND($N25&lt;&gt;"",BL$8&lt;&gt;""),COUNTIFS($K$9:$K$59,$N25,$L$9:$L$59,BL$8),0)</f>
        <v>0</v>
      </c>
    </row>
    <row r="26" spans="2:64" s="22" customFormat="1" x14ac:dyDescent="0.2">
      <c r="B26" s="119" t="s">
        <v>111</v>
      </c>
      <c r="C26" s="260"/>
      <c r="D26" s="118"/>
      <c r="E26" s="15"/>
      <c r="F26" s="15"/>
      <c r="G26" s="15"/>
      <c r="H26" s="15" t="s">
        <v>287</v>
      </c>
      <c r="I26" s="116" t="str">
        <f t="shared" si="1"/>
        <v>-</v>
      </c>
      <c r="J26" s="120"/>
      <c r="K26" s="195" t="str">
        <f t="shared" si="2"/>
        <v/>
      </c>
      <c r="L26" s="188" t="str">
        <f t="shared" si="3"/>
        <v/>
      </c>
      <c r="N26" s="185" t="str">
        <f t="array" ref="N26">IFERROR(INDEX($K$9:$K$59,MATCH(0,COUNTIF($N$8:$N25,$K$9:$K$59),0)),"")</f>
        <v/>
      </c>
      <c r="O26" s="175">
        <f t="array" ref="O26">IF(AND($N26&lt;&gt;"",O$8&lt;&gt;""),COUNTIFS($K$9:$K$59,$N26,$L$9:$L$59,O$8),0)</f>
        <v>0</v>
      </c>
      <c r="P26" s="175">
        <f t="array" ref="P26">IF(AND($N26&lt;&gt;"",P$8&lt;&gt;""),COUNTIFS($K$9:$K$59,$N26,$L$9:$L$59,P$8),0)</f>
        <v>0</v>
      </c>
      <c r="Q26" s="175">
        <f t="array" ref="Q26">IF(AND($N26&lt;&gt;"",Q$8&lt;&gt;""),COUNTIFS($K$9:$K$59,$N26,$L$9:$L$59,Q$8),0)</f>
        <v>0</v>
      </c>
      <c r="R26" s="175">
        <f t="array" ref="R26">IF(AND($N26&lt;&gt;"",R$8&lt;&gt;""),COUNTIFS($K$9:$K$59,$N26,$L$9:$L$59,R$8),0)</f>
        <v>0</v>
      </c>
      <c r="S26" s="175">
        <f t="array" ref="S26">IF(AND($N26&lt;&gt;"",S$8&lt;&gt;""),COUNTIFS($K$9:$K$59,$N26,$L$9:$L$59,S$8),0)</f>
        <v>0</v>
      </c>
      <c r="T26" s="175">
        <f t="array" ref="T26">IF(AND($N26&lt;&gt;"",T$8&lt;&gt;""),COUNTIFS($K$9:$K$59,$N26,$L$9:$L$59,T$8),0)</f>
        <v>0</v>
      </c>
      <c r="U26" s="175">
        <f t="array" ref="U26">IF(AND($N26&lt;&gt;"",U$8&lt;&gt;""),COUNTIFS($K$9:$K$59,$N26,$L$9:$L$59,U$8),0)</f>
        <v>0</v>
      </c>
      <c r="V26" s="175">
        <f t="array" ref="V26">IF(AND($N26&lt;&gt;"",V$8&lt;&gt;""),COUNTIFS($K$9:$K$59,$N26,$L$9:$L$59,V$8),0)</f>
        <v>0</v>
      </c>
      <c r="W26" s="175">
        <f t="array" ref="W26">IF(AND($N26&lt;&gt;"",W$8&lt;&gt;""),COUNTIFS($K$9:$K$59,$N26,$L$9:$L$59,W$8),0)</f>
        <v>0</v>
      </c>
      <c r="X26" s="175">
        <f t="array" ref="X26">IF(AND($N26&lt;&gt;"",X$8&lt;&gt;""),COUNTIFS($K$9:$K$59,$N26,$L$9:$L$59,X$8),0)</f>
        <v>0</v>
      </c>
      <c r="Y26" s="175">
        <f t="array" ref="Y26">IF(AND($N26&lt;&gt;"",Y$8&lt;&gt;""),COUNTIFS($K$9:$K$59,$N26,$L$9:$L$59,Y$8),0)</f>
        <v>0</v>
      </c>
      <c r="Z26" s="175">
        <f t="array" ref="Z26">IF(AND($N26&lt;&gt;"",Z$8&lt;&gt;""),COUNTIFS($K$9:$K$59,$N26,$L$9:$L$59,Z$8),0)</f>
        <v>0</v>
      </c>
      <c r="AA26" s="175">
        <f t="array" ref="AA26">IF(AND($N26&lt;&gt;"",AA$8&lt;&gt;""),COUNTIFS($K$9:$K$59,$N26,$L$9:$L$59,AA$8),0)</f>
        <v>0</v>
      </c>
      <c r="AB26" s="175">
        <f t="array" ref="AB26">IF(AND($N26&lt;&gt;"",AB$8&lt;&gt;""),COUNTIFS($K$9:$K$59,$N26,$L$9:$L$59,AB$8),0)</f>
        <v>0</v>
      </c>
      <c r="AC26" s="175">
        <f t="array" ref="AC26">IF(AND($N26&lt;&gt;"",AC$8&lt;&gt;""),COUNTIFS($K$9:$K$59,$N26,$L$9:$L$59,AC$8),0)</f>
        <v>0</v>
      </c>
      <c r="AD26" s="175">
        <f t="array" ref="AD26">IF(AND($N26&lt;&gt;"",AD$8&lt;&gt;""),COUNTIFS($K$9:$K$59,$N26,$L$9:$L$59,AD$8),0)</f>
        <v>0</v>
      </c>
      <c r="AE26" s="175">
        <f t="array" ref="AE26">IF(AND($N26&lt;&gt;"",AE$8&lt;&gt;""),COUNTIFS($K$9:$K$59,$N26,$L$9:$L$59,AE$8),0)</f>
        <v>0</v>
      </c>
      <c r="AF26" s="175">
        <f t="array" ref="AF26">IF(AND($N26&lt;&gt;"",AF$8&lt;&gt;""),COUNTIFS($K$9:$K$59,$N26,$L$9:$L$59,AF$8),0)</f>
        <v>0</v>
      </c>
      <c r="AG26" s="175">
        <f t="array" ref="AG26">IF(AND($N26&lt;&gt;"",AG$8&lt;&gt;""),COUNTIFS($K$9:$K$59,$N26,$L$9:$L$59,AG$8),0)</f>
        <v>0</v>
      </c>
      <c r="AH26" s="175">
        <f t="array" ref="AH26">IF(AND($N26&lt;&gt;"",AH$8&lt;&gt;""),COUNTIFS($K$9:$K$59,$N26,$L$9:$L$59,AH$8),0)</f>
        <v>0</v>
      </c>
      <c r="AI26" s="175">
        <f t="array" ref="AI26">IF(AND($N26&lt;&gt;"",AI$8&lt;&gt;""),COUNTIFS($K$9:$K$59,$N26,$L$9:$L$59,AI$8),0)</f>
        <v>0</v>
      </c>
      <c r="AJ26" s="175">
        <f t="array" ref="AJ26">IF(AND($N26&lt;&gt;"",AJ$8&lt;&gt;""),COUNTIFS($K$9:$K$59,$N26,$L$9:$L$59,AJ$8),0)</f>
        <v>0</v>
      </c>
      <c r="AK26" s="175">
        <f t="array" ref="AK26">IF(AND($N26&lt;&gt;"",AK$8&lt;&gt;""),COUNTIFS($K$9:$K$59,$N26,$L$9:$L$59,AK$8),0)</f>
        <v>0</v>
      </c>
      <c r="AL26" s="175">
        <f t="array" ref="AL26">IF(AND($N26&lt;&gt;"",AL$8&lt;&gt;""),COUNTIFS($K$9:$K$59,$N26,$L$9:$L$59,AL$8),0)</f>
        <v>0</v>
      </c>
      <c r="AM26" s="175">
        <f t="array" ref="AM26">IF(AND($N26&lt;&gt;"",AM$8&lt;&gt;""),COUNTIFS($K$9:$K$59,$N26,$L$9:$L$59,AM$8),0)</f>
        <v>0</v>
      </c>
      <c r="AN26" s="175">
        <f t="array" ref="AN26">IF(AND($N26&lt;&gt;"",AN$8&lt;&gt;""),COUNTIFS($K$9:$K$59,$N26,$L$9:$L$59,AN$8),0)</f>
        <v>0</v>
      </c>
      <c r="AO26" s="175">
        <f t="array" ref="AO26">IF(AND($N26&lt;&gt;"",AO$8&lt;&gt;""),COUNTIFS($K$9:$K$59,$N26,$L$9:$L$59,AO$8),0)</f>
        <v>0</v>
      </c>
      <c r="AP26" s="175">
        <f t="array" ref="AP26">IF(AND($N26&lt;&gt;"",AP$8&lt;&gt;""),COUNTIFS($K$9:$K$59,$N26,$L$9:$L$59,AP$8),0)</f>
        <v>0</v>
      </c>
      <c r="AQ26" s="175">
        <f t="array" ref="AQ26">IF(AND($N26&lt;&gt;"",AQ$8&lt;&gt;""),COUNTIFS($K$9:$K$59,$N26,$L$9:$L$59,AQ$8),0)</f>
        <v>0</v>
      </c>
      <c r="AR26" s="175">
        <f t="array" ref="AR26">IF(AND($N26&lt;&gt;"",AR$8&lt;&gt;""),COUNTIFS($K$9:$K$59,$N26,$L$9:$L$59,AR$8),0)</f>
        <v>0</v>
      </c>
      <c r="AS26" s="175">
        <f t="array" ref="AS26">IF(AND($N26&lt;&gt;"",AS$8&lt;&gt;""),COUNTIFS($K$9:$K$59,$N26,$L$9:$L$59,AS$8),0)</f>
        <v>0</v>
      </c>
      <c r="AT26" s="175">
        <f t="array" ref="AT26">IF(AND($N26&lt;&gt;"",AT$8&lt;&gt;""),COUNTIFS($K$9:$K$59,$N26,$L$9:$L$59,AT$8),0)</f>
        <v>0</v>
      </c>
      <c r="AU26" s="175">
        <f t="array" ref="AU26">IF(AND($N26&lt;&gt;"",AU$8&lt;&gt;""),COUNTIFS($K$9:$K$59,$N26,$L$9:$L$59,AU$8),0)</f>
        <v>0</v>
      </c>
      <c r="AV26" s="175">
        <f t="array" ref="AV26">IF(AND($N26&lt;&gt;"",AV$8&lt;&gt;""),COUNTIFS($K$9:$K$59,$N26,$L$9:$L$59,AV$8),0)</f>
        <v>0</v>
      </c>
      <c r="AW26" s="175">
        <f t="array" ref="AW26">IF(AND($N26&lt;&gt;"",AW$8&lt;&gt;""),COUNTIFS($K$9:$K$59,$N26,$L$9:$L$59,AW$8),0)</f>
        <v>0</v>
      </c>
      <c r="AX26" s="175">
        <f t="array" ref="AX26">IF(AND($N26&lt;&gt;"",AX$8&lt;&gt;""),COUNTIFS($K$9:$K$59,$N26,$L$9:$L$59,AX$8),0)</f>
        <v>0</v>
      </c>
      <c r="AY26" s="175">
        <f t="array" ref="AY26">IF(AND($N26&lt;&gt;"",AY$8&lt;&gt;""),COUNTIFS($K$9:$K$59,$N26,$L$9:$L$59,AY$8),0)</f>
        <v>0</v>
      </c>
      <c r="AZ26" s="175">
        <f t="array" ref="AZ26">IF(AND($N26&lt;&gt;"",AZ$8&lt;&gt;""),COUNTIFS($K$9:$K$59,$N26,$L$9:$L$59,AZ$8),0)</f>
        <v>0</v>
      </c>
      <c r="BA26" s="175">
        <f t="array" ref="BA26">IF(AND($N26&lt;&gt;"",BA$8&lt;&gt;""),COUNTIFS($K$9:$K$59,$N26,$L$9:$L$59,BA$8),0)</f>
        <v>0</v>
      </c>
      <c r="BB26" s="175">
        <f t="array" ref="BB26">IF(AND($N26&lt;&gt;"",BB$8&lt;&gt;""),COUNTIFS($K$9:$K$59,$N26,$L$9:$L$59,BB$8),0)</f>
        <v>0</v>
      </c>
      <c r="BC26" s="175">
        <f t="array" ref="BC26">IF(AND($N26&lt;&gt;"",BC$8&lt;&gt;""),COUNTIFS($K$9:$K$59,$N26,$L$9:$L$59,BC$8),0)</f>
        <v>0</v>
      </c>
      <c r="BD26" s="175">
        <f t="array" ref="BD26">IF(AND($N26&lt;&gt;"",BD$8&lt;&gt;""),COUNTIFS($K$9:$K$59,$N26,$L$9:$L$59,BD$8),0)</f>
        <v>0</v>
      </c>
      <c r="BE26" s="175">
        <f t="array" ref="BE26">IF(AND($N26&lt;&gt;"",BE$8&lt;&gt;""),COUNTIFS($K$9:$K$59,$N26,$L$9:$L$59,BE$8),0)</f>
        <v>0</v>
      </c>
      <c r="BF26" s="175">
        <f t="array" ref="BF26">IF(AND($N26&lt;&gt;"",BF$8&lt;&gt;""),COUNTIFS($K$9:$K$59,$N26,$L$9:$L$59,BF$8),0)</f>
        <v>0</v>
      </c>
      <c r="BG26" s="175">
        <f t="array" ref="BG26">IF(AND($N26&lt;&gt;"",BG$8&lt;&gt;""),COUNTIFS($K$9:$K$59,$N26,$L$9:$L$59,BG$8),0)</f>
        <v>0</v>
      </c>
      <c r="BH26" s="175">
        <f t="array" ref="BH26">IF(AND($N26&lt;&gt;"",BH$8&lt;&gt;""),COUNTIFS($K$9:$K$59,$N26,$L$9:$L$59,BH$8),0)</f>
        <v>0</v>
      </c>
      <c r="BI26" s="175">
        <f t="array" ref="BI26">IF(AND($N26&lt;&gt;"",BI$8&lt;&gt;""),COUNTIFS($K$9:$K$59,$N26,$L$9:$L$59,BI$8),0)</f>
        <v>0</v>
      </c>
      <c r="BJ26" s="175">
        <f t="array" ref="BJ26">IF(AND($N26&lt;&gt;"",BJ$8&lt;&gt;""),COUNTIFS($K$9:$K$59,$N26,$L$9:$L$59,BJ$8),0)</f>
        <v>0</v>
      </c>
      <c r="BK26" s="175">
        <f t="array" ref="BK26">IF(AND($N26&lt;&gt;"",BK$8&lt;&gt;""),COUNTIFS($K$9:$K$59,$N26,$L$9:$L$59,BK$8),0)</f>
        <v>0</v>
      </c>
      <c r="BL26" s="175">
        <f t="array" ref="BL26">IF(AND($N26&lt;&gt;"",BL$8&lt;&gt;""),COUNTIFS($K$9:$K$59,$N26,$L$9:$L$59,BL$8),0)</f>
        <v>0</v>
      </c>
    </row>
    <row r="27" spans="2:64" s="22" customFormat="1" x14ac:dyDescent="0.2">
      <c r="B27" s="119" t="s">
        <v>112</v>
      </c>
      <c r="C27" s="260"/>
      <c r="D27" s="118"/>
      <c r="E27" s="15"/>
      <c r="F27" s="15"/>
      <c r="G27" s="15"/>
      <c r="H27" s="15" t="s">
        <v>287</v>
      </c>
      <c r="I27" s="116" t="str">
        <f t="shared" si="1"/>
        <v>-</v>
      </c>
      <c r="J27" s="120"/>
      <c r="K27" s="195" t="str">
        <f t="shared" si="2"/>
        <v/>
      </c>
      <c r="L27" s="188" t="str">
        <f t="shared" si="3"/>
        <v/>
      </c>
      <c r="N27" s="185" t="str">
        <f t="array" ref="N27">IFERROR(INDEX($K$9:$K$59,MATCH(0,COUNTIF($N$8:$N26,$K$9:$K$59),0)),"")</f>
        <v/>
      </c>
      <c r="O27" s="175">
        <f t="array" ref="O27">IF(AND($N27&lt;&gt;"",O$8&lt;&gt;""),COUNTIFS($K$9:$K$59,$N27,$L$9:$L$59,O$8),0)</f>
        <v>0</v>
      </c>
      <c r="P27" s="175">
        <f t="array" ref="P27">IF(AND($N27&lt;&gt;"",P$8&lt;&gt;""),COUNTIFS($K$9:$K$59,$N27,$L$9:$L$59,P$8),0)</f>
        <v>0</v>
      </c>
      <c r="Q27" s="175">
        <f t="array" ref="Q27">IF(AND($N27&lt;&gt;"",Q$8&lt;&gt;""),COUNTIFS($K$9:$K$59,$N27,$L$9:$L$59,Q$8),0)</f>
        <v>0</v>
      </c>
      <c r="R27" s="175">
        <f t="array" ref="R27">IF(AND($N27&lt;&gt;"",R$8&lt;&gt;""),COUNTIFS($K$9:$K$59,$N27,$L$9:$L$59,R$8),0)</f>
        <v>0</v>
      </c>
      <c r="S27" s="175">
        <f t="array" ref="S27">IF(AND($N27&lt;&gt;"",S$8&lt;&gt;""),COUNTIFS($K$9:$K$59,$N27,$L$9:$L$59,S$8),0)</f>
        <v>0</v>
      </c>
      <c r="T27" s="175">
        <f t="array" ref="T27">IF(AND($N27&lt;&gt;"",T$8&lt;&gt;""),COUNTIFS($K$9:$K$59,$N27,$L$9:$L$59,T$8),0)</f>
        <v>0</v>
      </c>
      <c r="U27" s="175">
        <f t="array" ref="U27">IF(AND($N27&lt;&gt;"",U$8&lt;&gt;""),COUNTIFS($K$9:$K$59,$N27,$L$9:$L$59,U$8),0)</f>
        <v>0</v>
      </c>
      <c r="V27" s="175">
        <f t="array" ref="V27">IF(AND($N27&lt;&gt;"",V$8&lt;&gt;""),COUNTIFS($K$9:$K$59,$N27,$L$9:$L$59,V$8),0)</f>
        <v>0</v>
      </c>
      <c r="W27" s="175">
        <f t="array" ref="W27">IF(AND($N27&lt;&gt;"",W$8&lt;&gt;""),COUNTIFS($K$9:$K$59,$N27,$L$9:$L$59,W$8),0)</f>
        <v>0</v>
      </c>
      <c r="X27" s="175">
        <f t="array" ref="X27">IF(AND($N27&lt;&gt;"",X$8&lt;&gt;""),COUNTIFS($K$9:$K$59,$N27,$L$9:$L$59,X$8),0)</f>
        <v>0</v>
      </c>
      <c r="Y27" s="175">
        <f t="array" ref="Y27">IF(AND($N27&lt;&gt;"",Y$8&lt;&gt;""),COUNTIFS($K$9:$K$59,$N27,$L$9:$L$59,Y$8),0)</f>
        <v>0</v>
      </c>
      <c r="Z27" s="175">
        <f t="array" ref="Z27">IF(AND($N27&lt;&gt;"",Z$8&lt;&gt;""),COUNTIFS($K$9:$K$59,$N27,$L$9:$L$59,Z$8),0)</f>
        <v>0</v>
      </c>
      <c r="AA27" s="175">
        <f t="array" ref="AA27">IF(AND($N27&lt;&gt;"",AA$8&lt;&gt;""),COUNTIFS($K$9:$K$59,$N27,$L$9:$L$59,AA$8),0)</f>
        <v>0</v>
      </c>
      <c r="AB27" s="175">
        <f t="array" ref="AB27">IF(AND($N27&lt;&gt;"",AB$8&lt;&gt;""),COUNTIFS($K$9:$K$59,$N27,$L$9:$L$59,AB$8),0)</f>
        <v>0</v>
      </c>
      <c r="AC27" s="175">
        <f t="array" ref="AC27">IF(AND($N27&lt;&gt;"",AC$8&lt;&gt;""),COUNTIFS($K$9:$K$59,$N27,$L$9:$L$59,AC$8),0)</f>
        <v>0</v>
      </c>
      <c r="AD27" s="175">
        <f t="array" ref="AD27">IF(AND($N27&lt;&gt;"",AD$8&lt;&gt;""),COUNTIFS($K$9:$K$59,$N27,$L$9:$L$59,AD$8),0)</f>
        <v>0</v>
      </c>
      <c r="AE27" s="175">
        <f t="array" ref="AE27">IF(AND($N27&lt;&gt;"",AE$8&lt;&gt;""),COUNTIFS($K$9:$K$59,$N27,$L$9:$L$59,AE$8),0)</f>
        <v>0</v>
      </c>
      <c r="AF27" s="175">
        <f t="array" ref="AF27">IF(AND($N27&lt;&gt;"",AF$8&lt;&gt;""),COUNTIFS($K$9:$K$59,$N27,$L$9:$L$59,AF$8),0)</f>
        <v>0</v>
      </c>
      <c r="AG27" s="175">
        <f t="array" ref="AG27">IF(AND($N27&lt;&gt;"",AG$8&lt;&gt;""),COUNTIFS($K$9:$K$59,$N27,$L$9:$L$59,AG$8),0)</f>
        <v>0</v>
      </c>
      <c r="AH27" s="175">
        <f t="array" ref="AH27">IF(AND($N27&lt;&gt;"",AH$8&lt;&gt;""),COUNTIFS($K$9:$K$59,$N27,$L$9:$L$59,AH$8),0)</f>
        <v>0</v>
      </c>
      <c r="AI27" s="175">
        <f t="array" ref="AI27">IF(AND($N27&lt;&gt;"",AI$8&lt;&gt;""),COUNTIFS($K$9:$K$59,$N27,$L$9:$L$59,AI$8),0)</f>
        <v>0</v>
      </c>
      <c r="AJ27" s="175">
        <f t="array" ref="AJ27">IF(AND($N27&lt;&gt;"",AJ$8&lt;&gt;""),COUNTIFS($K$9:$K$59,$N27,$L$9:$L$59,AJ$8),0)</f>
        <v>0</v>
      </c>
      <c r="AK27" s="175">
        <f t="array" ref="AK27">IF(AND($N27&lt;&gt;"",AK$8&lt;&gt;""),COUNTIFS($K$9:$K$59,$N27,$L$9:$L$59,AK$8),0)</f>
        <v>0</v>
      </c>
      <c r="AL27" s="175">
        <f t="array" ref="AL27">IF(AND($N27&lt;&gt;"",AL$8&lt;&gt;""),COUNTIFS($K$9:$K$59,$N27,$L$9:$L$59,AL$8),0)</f>
        <v>0</v>
      </c>
      <c r="AM27" s="175">
        <f t="array" ref="AM27">IF(AND($N27&lt;&gt;"",AM$8&lt;&gt;""),COUNTIFS($K$9:$K$59,$N27,$L$9:$L$59,AM$8),0)</f>
        <v>0</v>
      </c>
      <c r="AN27" s="175">
        <f t="array" ref="AN27">IF(AND($N27&lt;&gt;"",AN$8&lt;&gt;""),COUNTIFS($K$9:$K$59,$N27,$L$9:$L$59,AN$8),0)</f>
        <v>0</v>
      </c>
      <c r="AO27" s="175">
        <f t="array" ref="AO27">IF(AND($N27&lt;&gt;"",AO$8&lt;&gt;""),COUNTIFS($K$9:$K$59,$N27,$L$9:$L$59,AO$8),0)</f>
        <v>0</v>
      </c>
      <c r="AP27" s="175">
        <f t="array" ref="AP27">IF(AND($N27&lt;&gt;"",AP$8&lt;&gt;""),COUNTIFS($K$9:$K$59,$N27,$L$9:$L$59,AP$8),0)</f>
        <v>0</v>
      </c>
      <c r="AQ27" s="175">
        <f t="array" ref="AQ27">IF(AND($N27&lt;&gt;"",AQ$8&lt;&gt;""),COUNTIFS($K$9:$K$59,$N27,$L$9:$L$59,AQ$8),0)</f>
        <v>0</v>
      </c>
      <c r="AR27" s="175">
        <f t="array" ref="AR27">IF(AND($N27&lt;&gt;"",AR$8&lt;&gt;""),COUNTIFS($K$9:$K$59,$N27,$L$9:$L$59,AR$8),0)</f>
        <v>0</v>
      </c>
      <c r="AS27" s="175">
        <f t="array" ref="AS27">IF(AND($N27&lt;&gt;"",AS$8&lt;&gt;""),COUNTIFS($K$9:$K$59,$N27,$L$9:$L$59,AS$8),0)</f>
        <v>0</v>
      </c>
      <c r="AT27" s="175">
        <f t="array" ref="AT27">IF(AND($N27&lt;&gt;"",AT$8&lt;&gt;""),COUNTIFS($K$9:$K$59,$N27,$L$9:$L$59,AT$8),0)</f>
        <v>0</v>
      </c>
      <c r="AU27" s="175">
        <f t="array" ref="AU27">IF(AND($N27&lt;&gt;"",AU$8&lt;&gt;""),COUNTIFS($K$9:$K$59,$N27,$L$9:$L$59,AU$8),0)</f>
        <v>0</v>
      </c>
      <c r="AV27" s="175">
        <f t="array" ref="AV27">IF(AND($N27&lt;&gt;"",AV$8&lt;&gt;""),COUNTIFS($K$9:$K$59,$N27,$L$9:$L$59,AV$8),0)</f>
        <v>0</v>
      </c>
      <c r="AW27" s="175">
        <f t="array" ref="AW27">IF(AND($N27&lt;&gt;"",AW$8&lt;&gt;""),COUNTIFS($K$9:$K$59,$N27,$L$9:$L$59,AW$8),0)</f>
        <v>0</v>
      </c>
      <c r="AX27" s="175">
        <f t="array" ref="AX27">IF(AND($N27&lt;&gt;"",AX$8&lt;&gt;""),COUNTIFS($K$9:$K$59,$N27,$L$9:$L$59,AX$8),0)</f>
        <v>0</v>
      </c>
      <c r="AY27" s="175">
        <f t="array" ref="AY27">IF(AND($N27&lt;&gt;"",AY$8&lt;&gt;""),COUNTIFS($K$9:$K$59,$N27,$L$9:$L$59,AY$8),0)</f>
        <v>0</v>
      </c>
      <c r="AZ27" s="175">
        <f t="array" ref="AZ27">IF(AND($N27&lt;&gt;"",AZ$8&lt;&gt;""),COUNTIFS($K$9:$K$59,$N27,$L$9:$L$59,AZ$8),0)</f>
        <v>0</v>
      </c>
      <c r="BA27" s="175">
        <f t="array" ref="BA27">IF(AND($N27&lt;&gt;"",BA$8&lt;&gt;""),COUNTIFS($K$9:$K$59,$N27,$L$9:$L$59,BA$8),0)</f>
        <v>0</v>
      </c>
      <c r="BB27" s="175">
        <f t="array" ref="BB27">IF(AND($N27&lt;&gt;"",BB$8&lt;&gt;""),COUNTIFS($K$9:$K$59,$N27,$L$9:$L$59,BB$8),0)</f>
        <v>0</v>
      </c>
      <c r="BC27" s="175">
        <f t="array" ref="BC27">IF(AND($N27&lt;&gt;"",BC$8&lt;&gt;""),COUNTIFS($K$9:$K$59,$N27,$L$9:$L$59,BC$8),0)</f>
        <v>0</v>
      </c>
      <c r="BD27" s="175">
        <f t="array" ref="BD27">IF(AND($N27&lt;&gt;"",BD$8&lt;&gt;""),COUNTIFS($K$9:$K$59,$N27,$L$9:$L$59,BD$8),0)</f>
        <v>0</v>
      </c>
      <c r="BE27" s="175">
        <f t="array" ref="BE27">IF(AND($N27&lt;&gt;"",BE$8&lt;&gt;""),COUNTIFS($K$9:$K$59,$N27,$L$9:$L$59,BE$8),0)</f>
        <v>0</v>
      </c>
      <c r="BF27" s="175">
        <f t="array" ref="BF27">IF(AND($N27&lt;&gt;"",BF$8&lt;&gt;""),COUNTIFS($K$9:$K$59,$N27,$L$9:$L$59,BF$8),0)</f>
        <v>0</v>
      </c>
      <c r="BG27" s="175">
        <f t="array" ref="BG27">IF(AND($N27&lt;&gt;"",BG$8&lt;&gt;""),COUNTIFS($K$9:$K$59,$N27,$L$9:$L$59,BG$8),0)</f>
        <v>0</v>
      </c>
      <c r="BH27" s="175">
        <f t="array" ref="BH27">IF(AND($N27&lt;&gt;"",BH$8&lt;&gt;""),COUNTIFS($K$9:$K$59,$N27,$L$9:$L$59,BH$8),0)</f>
        <v>0</v>
      </c>
      <c r="BI27" s="175">
        <f t="array" ref="BI27">IF(AND($N27&lt;&gt;"",BI$8&lt;&gt;""),COUNTIFS($K$9:$K$59,$N27,$L$9:$L$59,BI$8),0)</f>
        <v>0</v>
      </c>
      <c r="BJ27" s="175">
        <f t="array" ref="BJ27">IF(AND($N27&lt;&gt;"",BJ$8&lt;&gt;""),COUNTIFS($K$9:$K$59,$N27,$L$9:$L$59,BJ$8),0)</f>
        <v>0</v>
      </c>
      <c r="BK27" s="175">
        <f t="array" ref="BK27">IF(AND($N27&lt;&gt;"",BK$8&lt;&gt;""),COUNTIFS($K$9:$K$59,$N27,$L$9:$L$59,BK$8),0)</f>
        <v>0</v>
      </c>
      <c r="BL27" s="175">
        <f t="array" ref="BL27">IF(AND($N27&lt;&gt;"",BL$8&lt;&gt;""),COUNTIFS($K$9:$K$59,$N27,$L$9:$L$59,BL$8),0)</f>
        <v>0</v>
      </c>
    </row>
    <row r="28" spans="2:64" s="22" customFormat="1" x14ac:dyDescent="0.2">
      <c r="B28" s="119" t="s">
        <v>113</v>
      </c>
      <c r="C28" s="260"/>
      <c r="D28" s="118"/>
      <c r="E28" s="15"/>
      <c r="F28" s="15"/>
      <c r="G28" s="15"/>
      <c r="H28" s="15" t="s">
        <v>287</v>
      </c>
      <c r="I28" s="116" t="str">
        <f t="shared" si="1"/>
        <v>-</v>
      </c>
      <c r="J28" s="120"/>
      <c r="K28" s="195" t="str">
        <f t="shared" si="2"/>
        <v/>
      </c>
      <c r="L28" s="188" t="str">
        <f t="shared" si="3"/>
        <v/>
      </c>
      <c r="N28" s="185" t="str">
        <f t="array" ref="N28">IFERROR(INDEX($K$9:$K$59,MATCH(0,COUNTIF($N$8:$N27,$K$9:$K$59),0)),"")</f>
        <v/>
      </c>
      <c r="O28" s="175">
        <f t="array" ref="O28">IF(AND($N28&lt;&gt;"",O$8&lt;&gt;""),COUNTIFS($K$9:$K$59,$N28,$L$9:$L$59,O$8),0)</f>
        <v>0</v>
      </c>
      <c r="P28" s="175">
        <f t="array" ref="P28">IF(AND($N28&lt;&gt;"",P$8&lt;&gt;""),COUNTIFS($K$9:$K$59,$N28,$L$9:$L$59,P$8),0)</f>
        <v>0</v>
      </c>
      <c r="Q28" s="175">
        <f t="array" ref="Q28">IF(AND($N28&lt;&gt;"",Q$8&lt;&gt;""),COUNTIFS($K$9:$K$59,$N28,$L$9:$L$59,Q$8),0)</f>
        <v>0</v>
      </c>
      <c r="R28" s="175">
        <f t="array" ref="R28">IF(AND($N28&lt;&gt;"",R$8&lt;&gt;""),COUNTIFS($K$9:$K$59,$N28,$L$9:$L$59,R$8),0)</f>
        <v>0</v>
      </c>
      <c r="S28" s="175">
        <f t="array" ref="S28">IF(AND($N28&lt;&gt;"",S$8&lt;&gt;""),COUNTIFS($K$9:$K$59,$N28,$L$9:$L$59,S$8),0)</f>
        <v>0</v>
      </c>
      <c r="T28" s="175">
        <f t="array" ref="T28">IF(AND($N28&lt;&gt;"",T$8&lt;&gt;""),COUNTIFS($K$9:$K$59,$N28,$L$9:$L$59,T$8),0)</f>
        <v>0</v>
      </c>
      <c r="U28" s="175">
        <f t="array" ref="U28">IF(AND($N28&lt;&gt;"",U$8&lt;&gt;""),COUNTIFS($K$9:$K$59,$N28,$L$9:$L$59,U$8),0)</f>
        <v>0</v>
      </c>
      <c r="V28" s="175">
        <f t="array" ref="V28">IF(AND($N28&lt;&gt;"",V$8&lt;&gt;""),COUNTIFS($K$9:$K$59,$N28,$L$9:$L$59,V$8),0)</f>
        <v>0</v>
      </c>
      <c r="W28" s="175">
        <f t="array" ref="W28">IF(AND($N28&lt;&gt;"",W$8&lt;&gt;""),COUNTIFS($K$9:$K$59,$N28,$L$9:$L$59,W$8),0)</f>
        <v>0</v>
      </c>
      <c r="X28" s="175">
        <f t="array" ref="X28">IF(AND($N28&lt;&gt;"",X$8&lt;&gt;""),COUNTIFS($K$9:$K$59,$N28,$L$9:$L$59,X$8),0)</f>
        <v>0</v>
      </c>
      <c r="Y28" s="175">
        <f t="array" ref="Y28">IF(AND($N28&lt;&gt;"",Y$8&lt;&gt;""),COUNTIFS($K$9:$K$59,$N28,$L$9:$L$59,Y$8),0)</f>
        <v>0</v>
      </c>
      <c r="Z28" s="175">
        <f t="array" ref="Z28">IF(AND($N28&lt;&gt;"",Z$8&lt;&gt;""),COUNTIFS($K$9:$K$59,$N28,$L$9:$L$59,Z$8),0)</f>
        <v>0</v>
      </c>
      <c r="AA28" s="175">
        <f t="array" ref="AA28">IF(AND($N28&lt;&gt;"",AA$8&lt;&gt;""),COUNTIFS($K$9:$K$59,$N28,$L$9:$L$59,AA$8),0)</f>
        <v>0</v>
      </c>
      <c r="AB28" s="175">
        <f t="array" ref="AB28">IF(AND($N28&lt;&gt;"",AB$8&lt;&gt;""),COUNTIFS($K$9:$K$59,$N28,$L$9:$L$59,AB$8),0)</f>
        <v>0</v>
      </c>
      <c r="AC28" s="175">
        <f t="array" ref="AC28">IF(AND($N28&lt;&gt;"",AC$8&lt;&gt;""),COUNTIFS($K$9:$K$59,$N28,$L$9:$L$59,AC$8),0)</f>
        <v>0</v>
      </c>
      <c r="AD28" s="175">
        <f t="array" ref="AD28">IF(AND($N28&lt;&gt;"",AD$8&lt;&gt;""),COUNTIFS($K$9:$K$59,$N28,$L$9:$L$59,AD$8),0)</f>
        <v>0</v>
      </c>
      <c r="AE28" s="175">
        <f t="array" ref="AE28">IF(AND($N28&lt;&gt;"",AE$8&lt;&gt;""),COUNTIFS($K$9:$K$59,$N28,$L$9:$L$59,AE$8),0)</f>
        <v>0</v>
      </c>
      <c r="AF28" s="175">
        <f t="array" ref="AF28">IF(AND($N28&lt;&gt;"",AF$8&lt;&gt;""),COUNTIFS($K$9:$K$59,$N28,$L$9:$L$59,AF$8),0)</f>
        <v>0</v>
      </c>
      <c r="AG28" s="175">
        <f t="array" ref="AG28">IF(AND($N28&lt;&gt;"",AG$8&lt;&gt;""),COUNTIFS($K$9:$K$59,$N28,$L$9:$L$59,AG$8),0)</f>
        <v>0</v>
      </c>
      <c r="AH28" s="175">
        <f t="array" ref="AH28">IF(AND($N28&lt;&gt;"",AH$8&lt;&gt;""),COUNTIFS($K$9:$K$59,$N28,$L$9:$L$59,AH$8),0)</f>
        <v>0</v>
      </c>
      <c r="AI28" s="175">
        <f t="array" ref="AI28">IF(AND($N28&lt;&gt;"",AI$8&lt;&gt;""),COUNTIFS($K$9:$K$59,$N28,$L$9:$L$59,AI$8),0)</f>
        <v>0</v>
      </c>
      <c r="AJ28" s="175">
        <f t="array" ref="AJ28">IF(AND($N28&lt;&gt;"",AJ$8&lt;&gt;""),COUNTIFS($K$9:$K$59,$N28,$L$9:$L$59,AJ$8),0)</f>
        <v>0</v>
      </c>
      <c r="AK28" s="175">
        <f t="array" ref="AK28">IF(AND($N28&lt;&gt;"",AK$8&lt;&gt;""),COUNTIFS($K$9:$K$59,$N28,$L$9:$L$59,AK$8),0)</f>
        <v>0</v>
      </c>
      <c r="AL28" s="175">
        <f t="array" ref="AL28">IF(AND($N28&lt;&gt;"",AL$8&lt;&gt;""),COUNTIFS($K$9:$K$59,$N28,$L$9:$L$59,AL$8),0)</f>
        <v>0</v>
      </c>
      <c r="AM28" s="175">
        <f t="array" ref="AM28">IF(AND($N28&lt;&gt;"",AM$8&lt;&gt;""),COUNTIFS($K$9:$K$59,$N28,$L$9:$L$59,AM$8),0)</f>
        <v>0</v>
      </c>
      <c r="AN28" s="175">
        <f t="array" ref="AN28">IF(AND($N28&lt;&gt;"",AN$8&lt;&gt;""),COUNTIFS($K$9:$K$59,$N28,$L$9:$L$59,AN$8),0)</f>
        <v>0</v>
      </c>
      <c r="AO28" s="175">
        <f t="array" ref="AO28">IF(AND($N28&lt;&gt;"",AO$8&lt;&gt;""),COUNTIFS($K$9:$K$59,$N28,$L$9:$L$59,AO$8),0)</f>
        <v>0</v>
      </c>
      <c r="AP28" s="175">
        <f t="array" ref="AP28">IF(AND($N28&lt;&gt;"",AP$8&lt;&gt;""),COUNTIFS($K$9:$K$59,$N28,$L$9:$L$59,AP$8),0)</f>
        <v>0</v>
      </c>
      <c r="AQ28" s="175">
        <f t="array" ref="AQ28">IF(AND($N28&lt;&gt;"",AQ$8&lt;&gt;""),COUNTIFS($K$9:$K$59,$N28,$L$9:$L$59,AQ$8),0)</f>
        <v>0</v>
      </c>
      <c r="AR28" s="175">
        <f t="array" ref="AR28">IF(AND($N28&lt;&gt;"",AR$8&lt;&gt;""),COUNTIFS($K$9:$K$59,$N28,$L$9:$L$59,AR$8),0)</f>
        <v>0</v>
      </c>
      <c r="AS28" s="175">
        <f t="array" ref="AS28">IF(AND($N28&lt;&gt;"",AS$8&lt;&gt;""),COUNTIFS($K$9:$K$59,$N28,$L$9:$L$59,AS$8),0)</f>
        <v>0</v>
      </c>
      <c r="AT28" s="175">
        <f t="array" ref="AT28">IF(AND($N28&lt;&gt;"",AT$8&lt;&gt;""),COUNTIFS($K$9:$K$59,$N28,$L$9:$L$59,AT$8),0)</f>
        <v>0</v>
      </c>
      <c r="AU28" s="175">
        <f t="array" ref="AU28">IF(AND($N28&lt;&gt;"",AU$8&lt;&gt;""),COUNTIFS($K$9:$K$59,$N28,$L$9:$L$59,AU$8),0)</f>
        <v>0</v>
      </c>
      <c r="AV28" s="175">
        <f t="array" ref="AV28">IF(AND($N28&lt;&gt;"",AV$8&lt;&gt;""),COUNTIFS($K$9:$K$59,$N28,$L$9:$L$59,AV$8),0)</f>
        <v>0</v>
      </c>
      <c r="AW28" s="175">
        <f t="array" ref="AW28">IF(AND($N28&lt;&gt;"",AW$8&lt;&gt;""),COUNTIFS($K$9:$K$59,$N28,$L$9:$L$59,AW$8),0)</f>
        <v>0</v>
      </c>
      <c r="AX28" s="175">
        <f t="array" ref="AX28">IF(AND($N28&lt;&gt;"",AX$8&lt;&gt;""),COUNTIFS($K$9:$K$59,$N28,$L$9:$L$59,AX$8),0)</f>
        <v>0</v>
      </c>
      <c r="AY28" s="175">
        <f t="array" ref="AY28">IF(AND($N28&lt;&gt;"",AY$8&lt;&gt;""),COUNTIFS($K$9:$K$59,$N28,$L$9:$L$59,AY$8),0)</f>
        <v>0</v>
      </c>
      <c r="AZ28" s="175">
        <f t="array" ref="AZ28">IF(AND($N28&lt;&gt;"",AZ$8&lt;&gt;""),COUNTIFS($K$9:$K$59,$N28,$L$9:$L$59,AZ$8),0)</f>
        <v>0</v>
      </c>
      <c r="BA28" s="175">
        <f t="array" ref="BA28">IF(AND($N28&lt;&gt;"",BA$8&lt;&gt;""),COUNTIFS($K$9:$K$59,$N28,$L$9:$L$59,BA$8),0)</f>
        <v>0</v>
      </c>
      <c r="BB28" s="175">
        <f t="array" ref="BB28">IF(AND($N28&lt;&gt;"",BB$8&lt;&gt;""),COUNTIFS($K$9:$K$59,$N28,$L$9:$L$59,BB$8),0)</f>
        <v>0</v>
      </c>
      <c r="BC28" s="175">
        <f t="array" ref="BC28">IF(AND($N28&lt;&gt;"",BC$8&lt;&gt;""),COUNTIFS($K$9:$K$59,$N28,$L$9:$L$59,BC$8),0)</f>
        <v>0</v>
      </c>
      <c r="BD28" s="175">
        <f t="array" ref="BD28">IF(AND($N28&lt;&gt;"",BD$8&lt;&gt;""),COUNTIFS($K$9:$K$59,$N28,$L$9:$L$59,BD$8),0)</f>
        <v>0</v>
      </c>
      <c r="BE28" s="175">
        <f t="array" ref="BE28">IF(AND($N28&lt;&gt;"",BE$8&lt;&gt;""),COUNTIFS($K$9:$K$59,$N28,$L$9:$L$59,BE$8),0)</f>
        <v>0</v>
      </c>
      <c r="BF28" s="175">
        <f t="array" ref="BF28">IF(AND($N28&lt;&gt;"",BF$8&lt;&gt;""),COUNTIFS($K$9:$K$59,$N28,$L$9:$L$59,BF$8),0)</f>
        <v>0</v>
      </c>
      <c r="BG28" s="175">
        <f t="array" ref="BG28">IF(AND($N28&lt;&gt;"",BG$8&lt;&gt;""),COUNTIFS($K$9:$K$59,$N28,$L$9:$L$59,BG$8),0)</f>
        <v>0</v>
      </c>
      <c r="BH28" s="175">
        <f t="array" ref="BH28">IF(AND($N28&lt;&gt;"",BH$8&lt;&gt;""),COUNTIFS($K$9:$K$59,$N28,$L$9:$L$59,BH$8),0)</f>
        <v>0</v>
      </c>
      <c r="BI28" s="175">
        <f t="array" ref="BI28">IF(AND($N28&lt;&gt;"",BI$8&lt;&gt;""),COUNTIFS($K$9:$K$59,$N28,$L$9:$L$59,BI$8),0)</f>
        <v>0</v>
      </c>
      <c r="BJ28" s="175">
        <f t="array" ref="BJ28">IF(AND($N28&lt;&gt;"",BJ$8&lt;&gt;""),COUNTIFS($K$9:$K$59,$N28,$L$9:$L$59,BJ$8),0)</f>
        <v>0</v>
      </c>
      <c r="BK28" s="175">
        <f t="array" ref="BK28">IF(AND($N28&lt;&gt;"",BK$8&lt;&gt;""),COUNTIFS($K$9:$K$59,$N28,$L$9:$L$59,BK$8),0)</f>
        <v>0</v>
      </c>
      <c r="BL28" s="175">
        <f t="array" ref="BL28">IF(AND($N28&lt;&gt;"",BL$8&lt;&gt;""),COUNTIFS($K$9:$K$59,$N28,$L$9:$L$59,BL$8),0)</f>
        <v>0</v>
      </c>
    </row>
    <row r="29" spans="2:64" s="22" customFormat="1" x14ac:dyDescent="0.2">
      <c r="B29" s="119" t="s">
        <v>114</v>
      </c>
      <c r="C29" s="260"/>
      <c r="D29" s="118"/>
      <c r="E29" s="15"/>
      <c r="F29" s="15"/>
      <c r="G29" s="15"/>
      <c r="H29" s="15" t="s">
        <v>287</v>
      </c>
      <c r="I29" s="116" t="str">
        <f t="shared" si="1"/>
        <v>-</v>
      </c>
      <c r="J29" s="120"/>
      <c r="K29" s="195" t="str">
        <f t="shared" si="2"/>
        <v/>
      </c>
      <c r="L29" s="188" t="str">
        <f t="shared" si="3"/>
        <v/>
      </c>
      <c r="N29" s="185" t="str">
        <f t="array" ref="N29">IFERROR(INDEX($K$9:$K$59,MATCH(0,COUNTIF($N$8:$N28,$K$9:$K$59),0)),"")</f>
        <v/>
      </c>
      <c r="O29" s="175">
        <f t="array" ref="O29">IF(AND($N29&lt;&gt;"",O$8&lt;&gt;""),COUNTIFS($K$9:$K$59,$N29,$L$9:$L$59,O$8),0)</f>
        <v>0</v>
      </c>
      <c r="P29" s="175">
        <f t="array" ref="P29">IF(AND($N29&lt;&gt;"",P$8&lt;&gt;""),COUNTIFS($K$9:$K$59,$N29,$L$9:$L$59,P$8),0)</f>
        <v>0</v>
      </c>
      <c r="Q29" s="175">
        <f t="array" ref="Q29">IF(AND($N29&lt;&gt;"",Q$8&lt;&gt;""),COUNTIFS($K$9:$K$59,$N29,$L$9:$L$59,Q$8),0)</f>
        <v>0</v>
      </c>
      <c r="R29" s="175">
        <f t="array" ref="R29">IF(AND($N29&lt;&gt;"",R$8&lt;&gt;""),COUNTIFS($K$9:$K$59,$N29,$L$9:$L$59,R$8),0)</f>
        <v>0</v>
      </c>
      <c r="S29" s="175">
        <f t="array" ref="S29">IF(AND($N29&lt;&gt;"",S$8&lt;&gt;""),COUNTIFS($K$9:$K$59,$N29,$L$9:$L$59,S$8),0)</f>
        <v>0</v>
      </c>
      <c r="T29" s="175">
        <f t="array" ref="T29">IF(AND($N29&lt;&gt;"",T$8&lt;&gt;""),COUNTIFS($K$9:$K$59,$N29,$L$9:$L$59,T$8),0)</f>
        <v>0</v>
      </c>
      <c r="U29" s="175">
        <f t="array" ref="U29">IF(AND($N29&lt;&gt;"",U$8&lt;&gt;""),COUNTIFS($K$9:$K$59,$N29,$L$9:$L$59,U$8),0)</f>
        <v>0</v>
      </c>
      <c r="V29" s="175">
        <f t="array" ref="V29">IF(AND($N29&lt;&gt;"",V$8&lt;&gt;""),COUNTIFS($K$9:$K$59,$N29,$L$9:$L$59,V$8),0)</f>
        <v>0</v>
      </c>
      <c r="W29" s="175">
        <f t="array" ref="W29">IF(AND($N29&lt;&gt;"",W$8&lt;&gt;""),COUNTIFS($K$9:$K$59,$N29,$L$9:$L$59,W$8),0)</f>
        <v>0</v>
      </c>
      <c r="X29" s="175">
        <f t="array" ref="X29">IF(AND($N29&lt;&gt;"",X$8&lt;&gt;""),COUNTIFS($K$9:$K$59,$N29,$L$9:$L$59,X$8),0)</f>
        <v>0</v>
      </c>
      <c r="Y29" s="175">
        <f t="array" ref="Y29">IF(AND($N29&lt;&gt;"",Y$8&lt;&gt;""),COUNTIFS($K$9:$K$59,$N29,$L$9:$L$59,Y$8),0)</f>
        <v>0</v>
      </c>
      <c r="Z29" s="175">
        <f t="array" ref="Z29">IF(AND($N29&lt;&gt;"",Z$8&lt;&gt;""),COUNTIFS($K$9:$K$59,$N29,$L$9:$L$59,Z$8),0)</f>
        <v>0</v>
      </c>
      <c r="AA29" s="175">
        <f t="array" ref="AA29">IF(AND($N29&lt;&gt;"",AA$8&lt;&gt;""),COUNTIFS($K$9:$K$59,$N29,$L$9:$L$59,AA$8),0)</f>
        <v>0</v>
      </c>
      <c r="AB29" s="175">
        <f t="array" ref="AB29">IF(AND($N29&lt;&gt;"",AB$8&lt;&gt;""),COUNTIFS($K$9:$K$59,$N29,$L$9:$L$59,AB$8),0)</f>
        <v>0</v>
      </c>
      <c r="AC29" s="175">
        <f t="array" ref="AC29">IF(AND($N29&lt;&gt;"",AC$8&lt;&gt;""),COUNTIFS($K$9:$K$59,$N29,$L$9:$L$59,AC$8),0)</f>
        <v>0</v>
      </c>
      <c r="AD29" s="175">
        <f t="array" ref="AD29">IF(AND($N29&lt;&gt;"",AD$8&lt;&gt;""),COUNTIFS($K$9:$K$59,$N29,$L$9:$L$59,AD$8),0)</f>
        <v>0</v>
      </c>
      <c r="AE29" s="175">
        <f t="array" ref="AE29">IF(AND($N29&lt;&gt;"",AE$8&lt;&gt;""),COUNTIFS($K$9:$K$59,$N29,$L$9:$L$59,AE$8),0)</f>
        <v>0</v>
      </c>
      <c r="AF29" s="175">
        <f t="array" ref="AF29">IF(AND($N29&lt;&gt;"",AF$8&lt;&gt;""),COUNTIFS($K$9:$K$59,$N29,$L$9:$L$59,AF$8),0)</f>
        <v>0</v>
      </c>
      <c r="AG29" s="175">
        <f t="array" ref="AG29">IF(AND($N29&lt;&gt;"",AG$8&lt;&gt;""),COUNTIFS($K$9:$K$59,$N29,$L$9:$L$59,AG$8),0)</f>
        <v>0</v>
      </c>
      <c r="AH29" s="175">
        <f t="array" ref="AH29">IF(AND($N29&lt;&gt;"",AH$8&lt;&gt;""),COUNTIFS($K$9:$K$59,$N29,$L$9:$L$59,AH$8),0)</f>
        <v>0</v>
      </c>
      <c r="AI29" s="175">
        <f t="array" ref="AI29">IF(AND($N29&lt;&gt;"",AI$8&lt;&gt;""),COUNTIFS($K$9:$K$59,$N29,$L$9:$L$59,AI$8),0)</f>
        <v>0</v>
      </c>
      <c r="AJ29" s="175">
        <f t="array" ref="AJ29">IF(AND($N29&lt;&gt;"",AJ$8&lt;&gt;""),COUNTIFS($K$9:$K$59,$N29,$L$9:$L$59,AJ$8),0)</f>
        <v>0</v>
      </c>
      <c r="AK29" s="175">
        <f t="array" ref="AK29">IF(AND($N29&lt;&gt;"",AK$8&lt;&gt;""),COUNTIFS($K$9:$K$59,$N29,$L$9:$L$59,AK$8),0)</f>
        <v>0</v>
      </c>
      <c r="AL29" s="175">
        <f t="array" ref="AL29">IF(AND($N29&lt;&gt;"",AL$8&lt;&gt;""),COUNTIFS($K$9:$K$59,$N29,$L$9:$L$59,AL$8),0)</f>
        <v>0</v>
      </c>
      <c r="AM29" s="175">
        <f t="array" ref="AM29">IF(AND($N29&lt;&gt;"",AM$8&lt;&gt;""),COUNTIFS($K$9:$K$59,$N29,$L$9:$L$59,AM$8),0)</f>
        <v>0</v>
      </c>
      <c r="AN29" s="175">
        <f t="array" ref="AN29">IF(AND($N29&lt;&gt;"",AN$8&lt;&gt;""),COUNTIFS($K$9:$K$59,$N29,$L$9:$L$59,AN$8),0)</f>
        <v>0</v>
      </c>
      <c r="AO29" s="175">
        <f t="array" ref="AO29">IF(AND($N29&lt;&gt;"",AO$8&lt;&gt;""),COUNTIFS($K$9:$K$59,$N29,$L$9:$L$59,AO$8),0)</f>
        <v>0</v>
      </c>
      <c r="AP29" s="175">
        <f t="array" ref="AP29">IF(AND($N29&lt;&gt;"",AP$8&lt;&gt;""),COUNTIFS($K$9:$K$59,$N29,$L$9:$L$59,AP$8),0)</f>
        <v>0</v>
      </c>
      <c r="AQ29" s="175">
        <f t="array" ref="AQ29">IF(AND($N29&lt;&gt;"",AQ$8&lt;&gt;""),COUNTIFS($K$9:$K$59,$N29,$L$9:$L$59,AQ$8),0)</f>
        <v>0</v>
      </c>
      <c r="AR29" s="175">
        <f t="array" ref="AR29">IF(AND($N29&lt;&gt;"",AR$8&lt;&gt;""),COUNTIFS($K$9:$K$59,$N29,$L$9:$L$59,AR$8),0)</f>
        <v>0</v>
      </c>
      <c r="AS29" s="175">
        <f t="array" ref="AS29">IF(AND($N29&lt;&gt;"",AS$8&lt;&gt;""),COUNTIFS($K$9:$K$59,$N29,$L$9:$L$59,AS$8),0)</f>
        <v>0</v>
      </c>
      <c r="AT29" s="175">
        <f t="array" ref="AT29">IF(AND($N29&lt;&gt;"",AT$8&lt;&gt;""),COUNTIFS($K$9:$K$59,$N29,$L$9:$L$59,AT$8),0)</f>
        <v>0</v>
      </c>
      <c r="AU29" s="175">
        <f t="array" ref="AU29">IF(AND($N29&lt;&gt;"",AU$8&lt;&gt;""),COUNTIFS($K$9:$K$59,$N29,$L$9:$L$59,AU$8),0)</f>
        <v>0</v>
      </c>
      <c r="AV29" s="175">
        <f t="array" ref="AV29">IF(AND($N29&lt;&gt;"",AV$8&lt;&gt;""),COUNTIFS($K$9:$K$59,$N29,$L$9:$L$59,AV$8),0)</f>
        <v>0</v>
      </c>
      <c r="AW29" s="175">
        <f t="array" ref="AW29">IF(AND($N29&lt;&gt;"",AW$8&lt;&gt;""),COUNTIFS($K$9:$K$59,$N29,$L$9:$L$59,AW$8),0)</f>
        <v>0</v>
      </c>
      <c r="AX29" s="175">
        <f t="array" ref="AX29">IF(AND($N29&lt;&gt;"",AX$8&lt;&gt;""),COUNTIFS($K$9:$K$59,$N29,$L$9:$L$59,AX$8),0)</f>
        <v>0</v>
      </c>
      <c r="AY29" s="175">
        <f t="array" ref="AY29">IF(AND($N29&lt;&gt;"",AY$8&lt;&gt;""),COUNTIFS($K$9:$K$59,$N29,$L$9:$L$59,AY$8),0)</f>
        <v>0</v>
      </c>
      <c r="AZ29" s="175">
        <f t="array" ref="AZ29">IF(AND($N29&lt;&gt;"",AZ$8&lt;&gt;""),COUNTIFS($K$9:$K$59,$N29,$L$9:$L$59,AZ$8),0)</f>
        <v>0</v>
      </c>
      <c r="BA29" s="175">
        <f t="array" ref="BA29">IF(AND($N29&lt;&gt;"",BA$8&lt;&gt;""),COUNTIFS($K$9:$K$59,$N29,$L$9:$L$59,BA$8),0)</f>
        <v>0</v>
      </c>
      <c r="BB29" s="175">
        <f t="array" ref="BB29">IF(AND($N29&lt;&gt;"",BB$8&lt;&gt;""),COUNTIFS($K$9:$K$59,$N29,$L$9:$L$59,BB$8),0)</f>
        <v>0</v>
      </c>
      <c r="BC29" s="175">
        <f t="array" ref="BC29">IF(AND($N29&lt;&gt;"",BC$8&lt;&gt;""),COUNTIFS($K$9:$K$59,$N29,$L$9:$L$59,BC$8),0)</f>
        <v>0</v>
      </c>
      <c r="BD29" s="175">
        <f t="array" ref="BD29">IF(AND($N29&lt;&gt;"",BD$8&lt;&gt;""),COUNTIFS($K$9:$K$59,$N29,$L$9:$L$59,BD$8),0)</f>
        <v>0</v>
      </c>
      <c r="BE29" s="175">
        <f t="array" ref="BE29">IF(AND($N29&lt;&gt;"",BE$8&lt;&gt;""),COUNTIFS($K$9:$K$59,$N29,$L$9:$L$59,BE$8),0)</f>
        <v>0</v>
      </c>
      <c r="BF29" s="175">
        <f t="array" ref="BF29">IF(AND($N29&lt;&gt;"",BF$8&lt;&gt;""),COUNTIFS($K$9:$K$59,$N29,$L$9:$L$59,BF$8),0)</f>
        <v>0</v>
      </c>
      <c r="BG29" s="175">
        <f t="array" ref="BG29">IF(AND($N29&lt;&gt;"",BG$8&lt;&gt;""),COUNTIFS($K$9:$K$59,$N29,$L$9:$L$59,BG$8),0)</f>
        <v>0</v>
      </c>
      <c r="BH29" s="175">
        <f t="array" ref="BH29">IF(AND($N29&lt;&gt;"",BH$8&lt;&gt;""),COUNTIFS($K$9:$K$59,$N29,$L$9:$L$59,BH$8),0)</f>
        <v>0</v>
      </c>
      <c r="BI29" s="175">
        <f t="array" ref="BI29">IF(AND($N29&lt;&gt;"",BI$8&lt;&gt;""),COUNTIFS($K$9:$K$59,$N29,$L$9:$L$59,BI$8),0)</f>
        <v>0</v>
      </c>
      <c r="BJ29" s="175">
        <f t="array" ref="BJ29">IF(AND($N29&lt;&gt;"",BJ$8&lt;&gt;""),COUNTIFS($K$9:$K$59,$N29,$L$9:$L$59,BJ$8),0)</f>
        <v>0</v>
      </c>
      <c r="BK29" s="175">
        <f t="array" ref="BK29">IF(AND($N29&lt;&gt;"",BK$8&lt;&gt;""),COUNTIFS($K$9:$K$59,$N29,$L$9:$L$59,BK$8),0)</f>
        <v>0</v>
      </c>
      <c r="BL29" s="175">
        <f t="array" ref="BL29">IF(AND($N29&lt;&gt;"",BL$8&lt;&gt;""),COUNTIFS($K$9:$K$59,$N29,$L$9:$L$59,BL$8),0)</f>
        <v>0</v>
      </c>
    </row>
    <row r="30" spans="2:64" s="22" customFormat="1" x14ac:dyDescent="0.2">
      <c r="B30" s="119" t="s">
        <v>115</v>
      </c>
      <c r="C30" s="260"/>
      <c r="D30" s="118"/>
      <c r="E30" s="15"/>
      <c r="F30" s="15"/>
      <c r="G30" s="15"/>
      <c r="H30" s="15" t="s">
        <v>287</v>
      </c>
      <c r="I30" s="116" t="str">
        <f t="shared" si="1"/>
        <v>-</v>
      </c>
      <c r="J30" s="120"/>
      <c r="K30" s="195" t="str">
        <f t="shared" si="2"/>
        <v/>
      </c>
      <c r="L30" s="188" t="str">
        <f t="shared" si="3"/>
        <v/>
      </c>
      <c r="N30" s="185" t="str">
        <f t="array" ref="N30">IFERROR(INDEX($K$9:$K$59,MATCH(0,COUNTIF($N$8:$N29,$K$9:$K$59),0)),"")</f>
        <v/>
      </c>
      <c r="O30" s="175">
        <f t="array" ref="O30">IF(AND($N30&lt;&gt;"",O$8&lt;&gt;""),COUNTIFS($K$9:$K$59,$N30,$L$9:$L$59,O$8),0)</f>
        <v>0</v>
      </c>
      <c r="P30" s="175">
        <f t="array" ref="P30">IF(AND($N30&lt;&gt;"",P$8&lt;&gt;""),COUNTIFS($K$9:$K$59,$N30,$L$9:$L$59,P$8),0)</f>
        <v>0</v>
      </c>
      <c r="Q30" s="175">
        <f t="array" ref="Q30">IF(AND($N30&lt;&gt;"",Q$8&lt;&gt;""),COUNTIFS($K$9:$K$59,$N30,$L$9:$L$59,Q$8),0)</f>
        <v>0</v>
      </c>
      <c r="R30" s="175">
        <f t="array" ref="R30">IF(AND($N30&lt;&gt;"",R$8&lt;&gt;""),COUNTIFS($K$9:$K$59,$N30,$L$9:$L$59,R$8),0)</f>
        <v>0</v>
      </c>
      <c r="S30" s="175">
        <f t="array" ref="S30">IF(AND($N30&lt;&gt;"",S$8&lt;&gt;""),COUNTIFS($K$9:$K$59,$N30,$L$9:$L$59,S$8),0)</f>
        <v>0</v>
      </c>
      <c r="T30" s="175">
        <f t="array" ref="T30">IF(AND($N30&lt;&gt;"",T$8&lt;&gt;""),COUNTIFS($K$9:$K$59,$N30,$L$9:$L$59,T$8),0)</f>
        <v>0</v>
      </c>
      <c r="U30" s="175">
        <f t="array" ref="U30">IF(AND($N30&lt;&gt;"",U$8&lt;&gt;""),COUNTIFS($K$9:$K$59,$N30,$L$9:$L$59,U$8),0)</f>
        <v>0</v>
      </c>
      <c r="V30" s="175">
        <f t="array" ref="V30">IF(AND($N30&lt;&gt;"",V$8&lt;&gt;""),COUNTIFS($K$9:$K$59,$N30,$L$9:$L$59,V$8),0)</f>
        <v>0</v>
      </c>
      <c r="W30" s="175">
        <f t="array" ref="W30">IF(AND($N30&lt;&gt;"",W$8&lt;&gt;""),COUNTIFS($K$9:$K$59,$N30,$L$9:$L$59,W$8),0)</f>
        <v>0</v>
      </c>
      <c r="X30" s="175">
        <f t="array" ref="X30">IF(AND($N30&lt;&gt;"",X$8&lt;&gt;""),COUNTIFS($K$9:$K$59,$N30,$L$9:$L$59,X$8),0)</f>
        <v>0</v>
      </c>
      <c r="Y30" s="175">
        <f t="array" ref="Y30">IF(AND($N30&lt;&gt;"",Y$8&lt;&gt;""),COUNTIFS($K$9:$K$59,$N30,$L$9:$L$59,Y$8),0)</f>
        <v>0</v>
      </c>
      <c r="Z30" s="175">
        <f t="array" ref="Z30">IF(AND($N30&lt;&gt;"",Z$8&lt;&gt;""),COUNTIFS($K$9:$K$59,$N30,$L$9:$L$59,Z$8),0)</f>
        <v>0</v>
      </c>
      <c r="AA30" s="175">
        <f t="array" ref="AA30">IF(AND($N30&lt;&gt;"",AA$8&lt;&gt;""),COUNTIFS($K$9:$K$59,$N30,$L$9:$L$59,AA$8),0)</f>
        <v>0</v>
      </c>
      <c r="AB30" s="175">
        <f t="array" ref="AB30">IF(AND($N30&lt;&gt;"",AB$8&lt;&gt;""),COUNTIFS($K$9:$K$59,$N30,$L$9:$L$59,AB$8),0)</f>
        <v>0</v>
      </c>
      <c r="AC30" s="175">
        <f t="array" ref="AC30">IF(AND($N30&lt;&gt;"",AC$8&lt;&gt;""),COUNTIFS($K$9:$K$59,$N30,$L$9:$L$59,AC$8),0)</f>
        <v>0</v>
      </c>
      <c r="AD30" s="175">
        <f t="array" ref="AD30">IF(AND($N30&lt;&gt;"",AD$8&lt;&gt;""),COUNTIFS($K$9:$K$59,$N30,$L$9:$L$59,AD$8),0)</f>
        <v>0</v>
      </c>
      <c r="AE30" s="175">
        <f t="array" ref="AE30">IF(AND($N30&lt;&gt;"",AE$8&lt;&gt;""),COUNTIFS($K$9:$K$59,$N30,$L$9:$L$59,AE$8),0)</f>
        <v>0</v>
      </c>
      <c r="AF30" s="175">
        <f t="array" ref="AF30">IF(AND($N30&lt;&gt;"",AF$8&lt;&gt;""),COUNTIFS($K$9:$K$59,$N30,$L$9:$L$59,AF$8),0)</f>
        <v>0</v>
      </c>
      <c r="AG30" s="175">
        <f t="array" ref="AG30">IF(AND($N30&lt;&gt;"",AG$8&lt;&gt;""),COUNTIFS($K$9:$K$59,$N30,$L$9:$L$59,AG$8),0)</f>
        <v>0</v>
      </c>
      <c r="AH30" s="175">
        <f t="array" ref="AH30">IF(AND($N30&lt;&gt;"",AH$8&lt;&gt;""),COUNTIFS($K$9:$K$59,$N30,$L$9:$L$59,AH$8),0)</f>
        <v>0</v>
      </c>
      <c r="AI30" s="175">
        <f t="array" ref="AI30">IF(AND($N30&lt;&gt;"",AI$8&lt;&gt;""),COUNTIFS($K$9:$K$59,$N30,$L$9:$L$59,AI$8),0)</f>
        <v>0</v>
      </c>
      <c r="AJ30" s="175">
        <f t="array" ref="AJ30">IF(AND($N30&lt;&gt;"",AJ$8&lt;&gt;""),COUNTIFS($K$9:$K$59,$N30,$L$9:$L$59,AJ$8),0)</f>
        <v>0</v>
      </c>
      <c r="AK30" s="175">
        <f t="array" ref="AK30">IF(AND($N30&lt;&gt;"",AK$8&lt;&gt;""),COUNTIFS($K$9:$K$59,$N30,$L$9:$L$59,AK$8),0)</f>
        <v>0</v>
      </c>
      <c r="AL30" s="175">
        <f t="array" ref="AL30">IF(AND($N30&lt;&gt;"",AL$8&lt;&gt;""),COUNTIFS($K$9:$K$59,$N30,$L$9:$L$59,AL$8),0)</f>
        <v>0</v>
      </c>
      <c r="AM30" s="175">
        <f t="array" ref="AM30">IF(AND($N30&lt;&gt;"",AM$8&lt;&gt;""),COUNTIFS($K$9:$K$59,$N30,$L$9:$L$59,AM$8),0)</f>
        <v>0</v>
      </c>
      <c r="AN30" s="175">
        <f t="array" ref="AN30">IF(AND($N30&lt;&gt;"",AN$8&lt;&gt;""),COUNTIFS($K$9:$K$59,$N30,$L$9:$L$59,AN$8),0)</f>
        <v>0</v>
      </c>
      <c r="AO30" s="175">
        <f t="array" ref="AO30">IF(AND($N30&lt;&gt;"",AO$8&lt;&gt;""),COUNTIFS($K$9:$K$59,$N30,$L$9:$L$59,AO$8),0)</f>
        <v>0</v>
      </c>
      <c r="AP30" s="175">
        <f t="array" ref="AP30">IF(AND($N30&lt;&gt;"",AP$8&lt;&gt;""),COUNTIFS($K$9:$K$59,$N30,$L$9:$L$59,AP$8),0)</f>
        <v>0</v>
      </c>
      <c r="AQ30" s="175">
        <f t="array" ref="AQ30">IF(AND($N30&lt;&gt;"",AQ$8&lt;&gt;""),COUNTIFS($K$9:$K$59,$N30,$L$9:$L$59,AQ$8),0)</f>
        <v>0</v>
      </c>
      <c r="AR30" s="175">
        <f t="array" ref="AR30">IF(AND($N30&lt;&gt;"",AR$8&lt;&gt;""),COUNTIFS($K$9:$K$59,$N30,$L$9:$L$59,AR$8),0)</f>
        <v>0</v>
      </c>
      <c r="AS30" s="175">
        <f t="array" ref="AS30">IF(AND($N30&lt;&gt;"",AS$8&lt;&gt;""),COUNTIFS($K$9:$K$59,$N30,$L$9:$L$59,AS$8),0)</f>
        <v>0</v>
      </c>
      <c r="AT30" s="175">
        <f t="array" ref="AT30">IF(AND($N30&lt;&gt;"",AT$8&lt;&gt;""),COUNTIFS($K$9:$K$59,$N30,$L$9:$L$59,AT$8),0)</f>
        <v>0</v>
      </c>
      <c r="AU30" s="175">
        <f t="array" ref="AU30">IF(AND($N30&lt;&gt;"",AU$8&lt;&gt;""),COUNTIFS($K$9:$K$59,$N30,$L$9:$L$59,AU$8),0)</f>
        <v>0</v>
      </c>
      <c r="AV30" s="175">
        <f t="array" ref="AV30">IF(AND($N30&lt;&gt;"",AV$8&lt;&gt;""),COUNTIFS($K$9:$K$59,$N30,$L$9:$L$59,AV$8),0)</f>
        <v>0</v>
      </c>
      <c r="AW30" s="175">
        <f t="array" ref="AW30">IF(AND($N30&lt;&gt;"",AW$8&lt;&gt;""),COUNTIFS($K$9:$K$59,$N30,$L$9:$L$59,AW$8),0)</f>
        <v>0</v>
      </c>
      <c r="AX30" s="175">
        <f t="array" ref="AX30">IF(AND($N30&lt;&gt;"",AX$8&lt;&gt;""),COUNTIFS($K$9:$K$59,$N30,$L$9:$L$59,AX$8),0)</f>
        <v>0</v>
      </c>
      <c r="AY30" s="175">
        <f t="array" ref="AY30">IF(AND($N30&lt;&gt;"",AY$8&lt;&gt;""),COUNTIFS($K$9:$K$59,$N30,$L$9:$L$59,AY$8),0)</f>
        <v>0</v>
      </c>
      <c r="AZ30" s="175">
        <f t="array" ref="AZ30">IF(AND($N30&lt;&gt;"",AZ$8&lt;&gt;""),COUNTIFS($K$9:$K$59,$N30,$L$9:$L$59,AZ$8),0)</f>
        <v>0</v>
      </c>
      <c r="BA30" s="175">
        <f t="array" ref="BA30">IF(AND($N30&lt;&gt;"",BA$8&lt;&gt;""),COUNTIFS($K$9:$K$59,$N30,$L$9:$L$59,BA$8),0)</f>
        <v>0</v>
      </c>
      <c r="BB30" s="175">
        <f t="array" ref="BB30">IF(AND($N30&lt;&gt;"",BB$8&lt;&gt;""),COUNTIFS($K$9:$K$59,$N30,$L$9:$L$59,BB$8),0)</f>
        <v>0</v>
      </c>
      <c r="BC30" s="175">
        <f t="array" ref="BC30">IF(AND($N30&lt;&gt;"",BC$8&lt;&gt;""),COUNTIFS($K$9:$K$59,$N30,$L$9:$L$59,BC$8),0)</f>
        <v>0</v>
      </c>
      <c r="BD30" s="175">
        <f t="array" ref="BD30">IF(AND($N30&lt;&gt;"",BD$8&lt;&gt;""),COUNTIFS($K$9:$K$59,$N30,$L$9:$L$59,BD$8),0)</f>
        <v>0</v>
      </c>
      <c r="BE30" s="175">
        <f t="array" ref="BE30">IF(AND($N30&lt;&gt;"",BE$8&lt;&gt;""),COUNTIFS($K$9:$K$59,$N30,$L$9:$L$59,BE$8),0)</f>
        <v>0</v>
      </c>
      <c r="BF30" s="175">
        <f t="array" ref="BF30">IF(AND($N30&lt;&gt;"",BF$8&lt;&gt;""),COUNTIFS($K$9:$K$59,$N30,$L$9:$L$59,BF$8),0)</f>
        <v>0</v>
      </c>
      <c r="BG30" s="175">
        <f t="array" ref="BG30">IF(AND($N30&lt;&gt;"",BG$8&lt;&gt;""),COUNTIFS($K$9:$K$59,$N30,$L$9:$L$59,BG$8),0)</f>
        <v>0</v>
      </c>
      <c r="BH30" s="175">
        <f t="array" ref="BH30">IF(AND($N30&lt;&gt;"",BH$8&lt;&gt;""),COUNTIFS($K$9:$K$59,$N30,$L$9:$L$59,BH$8),0)</f>
        <v>0</v>
      </c>
      <c r="BI30" s="175">
        <f t="array" ref="BI30">IF(AND($N30&lt;&gt;"",BI$8&lt;&gt;""),COUNTIFS($K$9:$K$59,$N30,$L$9:$L$59,BI$8),0)</f>
        <v>0</v>
      </c>
      <c r="BJ30" s="175">
        <f t="array" ref="BJ30">IF(AND($N30&lt;&gt;"",BJ$8&lt;&gt;""),COUNTIFS($K$9:$K$59,$N30,$L$9:$L$59,BJ$8),0)</f>
        <v>0</v>
      </c>
      <c r="BK30" s="175">
        <f t="array" ref="BK30">IF(AND($N30&lt;&gt;"",BK$8&lt;&gt;""),COUNTIFS($K$9:$K$59,$N30,$L$9:$L$59,BK$8),0)</f>
        <v>0</v>
      </c>
      <c r="BL30" s="175">
        <f t="array" ref="BL30">IF(AND($N30&lt;&gt;"",BL$8&lt;&gt;""),COUNTIFS($K$9:$K$59,$N30,$L$9:$L$59,BL$8),0)</f>
        <v>0</v>
      </c>
    </row>
    <row r="31" spans="2:64" s="22" customFormat="1" x14ac:dyDescent="0.2">
      <c r="B31" s="119" t="s">
        <v>116</v>
      </c>
      <c r="C31" s="260"/>
      <c r="D31" s="118"/>
      <c r="E31" s="15"/>
      <c r="F31" s="15"/>
      <c r="G31" s="15"/>
      <c r="H31" s="15" t="s">
        <v>287</v>
      </c>
      <c r="I31" s="116" t="str">
        <f t="shared" si="1"/>
        <v>-</v>
      </c>
      <c r="J31" s="120"/>
      <c r="K31" s="195" t="str">
        <f t="shared" si="2"/>
        <v/>
      </c>
      <c r="L31" s="188" t="str">
        <f t="shared" si="3"/>
        <v/>
      </c>
      <c r="N31" s="185" t="str">
        <f t="array" ref="N31">IFERROR(INDEX($K$9:$K$59,MATCH(0,COUNTIF($N$8:$N30,$K$9:$K$59),0)),"")</f>
        <v/>
      </c>
      <c r="O31" s="175">
        <f t="array" ref="O31">IF(AND($N31&lt;&gt;"",O$8&lt;&gt;""),COUNTIFS($K$9:$K$59,$N31,$L$9:$L$59,O$8),0)</f>
        <v>0</v>
      </c>
      <c r="P31" s="175">
        <f t="array" ref="P31">IF(AND($N31&lt;&gt;"",P$8&lt;&gt;""),COUNTIFS($K$9:$K$59,$N31,$L$9:$L$59,P$8),0)</f>
        <v>0</v>
      </c>
      <c r="Q31" s="175">
        <f t="array" ref="Q31">IF(AND($N31&lt;&gt;"",Q$8&lt;&gt;""),COUNTIFS($K$9:$K$59,$N31,$L$9:$L$59,Q$8),0)</f>
        <v>0</v>
      </c>
      <c r="R31" s="175">
        <f t="array" ref="R31">IF(AND($N31&lt;&gt;"",R$8&lt;&gt;""),COUNTIFS($K$9:$K$59,$N31,$L$9:$L$59,R$8),0)</f>
        <v>0</v>
      </c>
      <c r="S31" s="175">
        <f t="array" ref="S31">IF(AND($N31&lt;&gt;"",S$8&lt;&gt;""),COUNTIFS($K$9:$K$59,$N31,$L$9:$L$59,S$8),0)</f>
        <v>0</v>
      </c>
      <c r="T31" s="175">
        <f t="array" ref="T31">IF(AND($N31&lt;&gt;"",T$8&lt;&gt;""),COUNTIFS($K$9:$K$59,$N31,$L$9:$L$59,T$8),0)</f>
        <v>0</v>
      </c>
      <c r="U31" s="175">
        <f t="array" ref="U31">IF(AND($N31&lt;&gt;"",U$8&lt;&gt;""),COUNTIFS($K$9:$K$59,$N31,$L$9:$L$59,U$8),0)</f>
        <v>0</v>
      </c>
      <c r="V31" s="175">
        <f t="array" ref="V31">IF(AND($N31&lt;&gt;"",V$8&lt;&gt;""),COUNTIFS($K$9:$K$59,$N31,$L$9:$L$59,V$8),0)</f>
        <v>0</v>
      </c>
      <c r="W31" s="175">
        <f t="array" ref="W31">IF(AND($N31&lt;&gt;"",W$8&lt;&gt;""),COUNTIFS($K$9:$K$59,$N31,$L$9:$L$59,W$8),0)</f>
        <v>0</v>
      </c>
      <c r="X31" s="175">
        <f t="array" ref="X31">IF(AND($N31&lt;&gt;"",X$8&lt;&gt;""),COUNTIFS($K$9:$K$59,$N31,$L$9:$L$59,X$8),0)</f>
        <v>0</v>
      </c>
      <c r="Y31" s="175">
        <f t="array" ref="Y31">IF(AND($N31&lt;&gt;"",Y$8&lt;&gt;""),COUNTIFS($K$9:$K$59,$N31,$L$9:$L$59,Y$8),0)</f>
        <v>0</v>
      </c>
      <c r="Z31" s="175">
        <f t="array" ref="Z31">IF(AND($N31&lt;&gt;"",Z$8&lt;&gt;""),COUNTIFS($K$9:$K$59,$N31,$L$9:$L$59,Z$8),0)</f>
        <v>0</v>
      </c>
      <c r="AA31" s="175">
        <f t="array" ref="AA31">IF(AND($N31&lt;&gt;"",AA$8&lt;&gt;""),COUNTIFS($K$9:$K$59,$N31,$L$9:$L$59,AA$8),0)</f>
        <v>0</v>
      </c>
      <c r="AB31" s="175">
        <f t="array" ref="AB31">IF(AND($N31&lt;&gt;"",AB$8&lt;&gt;""),COUNTIFS($K$9:$K$59,$N31,$L$9:$L$59,AB$8),0)</f>
        <v>0</v>
      </c>
      <c r="AC31" s="175">
        <f t="array" ref="AC31">IF(AND($N31&lt;&gt;"",AC$8&lt;&gt;""),COUNTIFS($K$9:$K$59,$N31,$L$9:$L$59,AC$8),0)</f>
        <v>0</v>
      </c>
      <c r="AD31" s="175">
        <f t="array" ref="AD31">IF(AND($N31&lt;&gt;"",AD$8&lt;&gt;""),COUNTIFS($K$9:$K$59,$N31,$L$9:$L$59,AD$8),0)</f>
        <v>0</v>
      </c>
      <c r="AE31" s="175">
        <f t="array" ref="AE31">IF(AND($N31&lt;&gt;"",AE$8&lt;&gt;""),COUNTIFS($K$9:$K$59,$N31,$L$9:$L$59,AE$8),0)</f>
        <v>0</v>
      </c>
      <c r="AF31" s="175">
        <f t="array" ref="AF31">IF(AND($N31&lt;&gt;"",AF$8&lt;&gt;""),COUNTIFS($K$9:$K$59,$N31,$L$9:$L$59,AF$8),0)</f>
        <v>0</v>
      </c>
      <c r="AG31" s="175">
        <f t="array" ref="AG31">IF(AND($N31&lt;&gt;"",AG$8&lt;&gt;""),COUNTIFS($K$9:$K$59,$N31,$L$9:$L$59,AG$8),0)</f>
        <v>0</v>
      </c>
      <c r="AH31" s="175">
        <f t="array" ref="AH31">IF(AND($N31&lt;&gt;"",AH$8&lt;&gt;""),COUNTIFS($K$9:$K$59,$N31,$L$9:$L$59,AH$8),0)</f>
        <v>0</v>
      </c>
      <c r="AI31" s="175">
        <f t="array" ref="AI31">IF(AND($N31&lt;&gt;"",AI$8&lt;&gt;""),COUNTIFS($K$9:$K$59,$N31,$L$9:$L$59,AI$8),0)</f>
        <v>0</v>
      </c>
      <c r="AJ31" s="175">
        <f t="array" ref="AJ31">IF(AND($N31&lt;&gt;"",AJ$8&lt;&gt;""),COUNTIFS($K$9:$K$59,$N31,$L$9:$L$59,AJ$8),0)</f>
        <v>0</v>
      </c>
      <c r="AK31" s="175">
        <f t="array" ref="AK31">IF(AND($N31&lt;&gt;"",AK$8&lt;&gt;""),COUNTIFS($K$9:$K$59,$N31,$L$9:$L$59,AK$8),0)</f>
        <v>0</v>
      </c>
      <c r="AL31" s="175">
        <f t="array" ref="AL31">IF(AND($N31&lt;&gt;"",AL$8&lt;&gt;""),COUNTIFS($K$9:$K$59,$N31,$L$9:$L$59,AL$8),0)</f>
        <v>0</v>
      </c>
      <c r="AM31" s="175">
        <f t="array" ref="AM31">IF(AND($N31&lt;&gt;"",AM$8&lt;&gt;""),COUNTIFS($K$9:$K$59,$N31,$L$9:$L$59,AM$8),0)</f>
        <v>0</v>
      </c>
      <c r="AN31" s="175">
        <f t="array" ref="AN31">IF(AND($N31&lt;&gt;"",AN$8&lt;&gt;""),COUNTIFS($K$9:$K$59,$N31,$L$9:$L$59,AN$8),0)</f>
        <v>0</v>
      </c>
      <c r="AO31" s="175">
        <f t="array" ref="AO31">IF(AND($N31&lt;&gt;"",AO$8&lt;&gt;""),COUNTIFS($K$9:$K$59,$N31,$L$9:$L$59,AO$8),0)</f>
        <v>0</v>
      </c>
      <c r="AP31" s="175">
        <f t="array" ref="AP31">IF(AND($N31&lt;&gt;"",AP$8&lt;&gt;""),COUNTIFS($K$9:$K$59,$N31,$L$9:$L$59,AP$8),0)</f>
        <v>0</v>
      </c>
      <c r="AQ31" s="175">
        <f t="array" ref="AQ31">IF(AND($N31&lt;&gt;"",AQ$8&lt;&gt;""),COUNTIFS($K$9:$K$59,$N31,$L$9:$L$59,AQ$8),0)</f>
        <v>0</v>
      </c>
      <c r="AR31" s="175">
        <f t="array" ref="AR31">IF(AND($N31&lt;&gt;"",AR$8&lt;&gt;""),COUNTIFS($K$9:$K$59,$N31,$L$9:$L$59,AR$8),0)</f>
        <v>0</v>
      </c>
      <c r="AS31" s="175">
        <f t="array" ref="AS31">IF(AND($N31&lt;&gt;"",AS$8&lt;&gt;""),COUNTIFS($K$9:$K$59,$N31,$L$9:$L$59,AS$8),0)</f>
        <v>0</v>
      </c>
      <c r="AT31" s="175">
        <f t="array" ref="AT31">IF(AND($N31&lt;&gt;"",AT$8&lt;&gt;""),COUNTIFS($K$9:$K$59,$N31,$L$9:$L$59,AT$8),0)</f>
        <v>0</v>
      </c>
      <c r="AU31" s="175">
        <f t="array" ref="AU31">IF(AND($N31&lt;&gt;"",AU$8&lt;&gt;""),COUNTIFS($K$9:$K$59,$N31,$L$9:$L$59,AU$8),0)</f>
        <v>0</v>
      </c>
      <c r="AV31" s="175">
        <f t="array" ref="AV31">IF(AND($N31&lt;&gt;"",AV$8&lt;&gt;""),COUNTIFS($K$9:$K$59,$N31,$L$9:$L$59,AV$8),0)</f>
        <v>0</v>
      </c>
      <c r="AW31" s="175">
        <f t="array" ref="AW31">IF(AND($N31&lt;&gt;"",AW$8&lt;&gt;""),COUNTIFS($K$9:$K$59,$N31,$L$9:$L$59,AW$8),0)</f>
        <v>0</v>
      </c>
      <c r="AX31" s="175">
        <f t="array" ref="AX31">IF(AND($N31&lt;&gt;"",AX$8&lt;&gt;""),COUNTIFS($K$9:$K$59,$N31,$L$9:$L$59,AX$8),0)</f>
        <v>0</v>
      </c>
      <c r="AY31" s="175">
        <f t="array" ref="AY31">IF(AND($N31&lt;&gt;"",AY$8&lt;&gt;""),COUNTIFS($K$9:$K$59,$N31,$L$9:$L$59,AY$8),0)</f>
        <v>0</v>
      </c>
      <c r="AZ31" s="175">
        <f t="array" ref="AZ31">IF(AND($N31&lt;&gt;"",AZ$8&lt;&gt;""),COUNTIFS($K$9:$K$59,$N31,$L$9:$L$59,AZ$8),0)</f>
        <v>0</v>
      </c>
      <c r="BA31" s="175">
        <f t="array" ref="BA31">IF(AND($N31&lt;&gt;"",BA$8&lt;&gt;""),COUNTIFS($K$9:$K$59,$N31,$L$9:$L$59,BA$8),0)</f>
        <v>0</v>
      </c>
      <c r="BB31" s="175">
        <f t="array" ref="BB31">IF(AND($N31&lt;&gt;"",BB$8&lt;&gt;""),COUNTIFS($K$9:$K$59,$N31,$L$9:$L$59,BB$8),0)</f>
        <v>0</v>
      </c>
      <c r="BC31" s="175">
        <f t="array" ref="BC31">IF(AND($N31&lt;&gt;"",BC$8&lt;&gt;""),COUNTIFS($K$9:$K$59,$N31,$L$9:$L$59,BC$8),0)</f>
        <v>0</v>
      </c>
      <c r="BD31" s="175">
        <f t="array" ref="BD31">IF(AND($N31&lt;&gt;"",BD$8&lt;&gt;""),COUNTIFS($K$9:$K$59,$N31,$L$9:$L$59,BD$8),0)</f>
        <v>0</v>
      </c>
      <c r="BE31" s="175">
        <f t="array" ref="BE31">IF(AND($N31&lt;&gt;"",BE$8&lt;&gt;""),COUNTIFS($K$9:$K$59,$N31,$L$9:$L$59,BE$8),0)</f>
        <v>0</v>
      </c>
      <c r="BF31" s="175">
        <f t="array" ref="BF31">IF(AND($N31&lt;&gt;"",BF$8&lt;&gt;""),COUNTIFS($K$9:$K$59,$N31,$L$9:$L$59,BF$8),0)</f>
        <v>0</v>
      </c>
      <c r="BG31" s="175">
        <f t="array" ref="BG31">IF(AND($N31&lt;&gt;"",BG$8&lt;&gt;""),COUNTIFS($K$9:$K$59,$N31,$L$9:$L$59,BG$8),0)</f>
        <v>0</v>
      </c>
      <c r="BH31" s="175">
        <f t="array" ref="BH31">IF(AND($N31&lt;&gt;"",BH$8&lt;&gt;""),COUNTIFS($K$9:$K$59,$N31,$L$9:$L$59,BH$8),0)</f>
        <v>0</v>
      </c>
      <c r="BI31" s="175">
        <f t="array" ref="BI31">IF(AND($N31&lt;&gt;"",BI$8&lt;&gt;""),COUNTIFS($K$9:$K$59,$N31,$L$9:$L$59,BI$8),0)</f>
        <v>0</v>
      </c>
      <c r="BJ31" s="175">
        <f t="array" ref="BJ31">IF(AND($N31&lt;&gt;"",BJ$8&lt;&gt;""),COUNTIFS($K$9:$K$59,$N31,$L$9:$L$59,BJ$8),0)</f>
        <v>0</v>
      </c>
      <c r="BK31" s="175">
        <f t="array" ref="BK31">IF(AND($N31&lt;&gt;"",BK$8&lt;&gt;""),COUNTIFS($K$9:$K$59,$N31,$L$9:$L$59,BK$8),0)</f>
        <v>0</v>
      </c>
      <c r="BL31" s="175">
        <f t="array" ref="BL31">IF(AND($N31&lt;&gt;"",BL$8&lt;&gt;""),COUNTIFS($K$9:$K$59,$N31,$L$9:$L$59,BL$8),0)</f>
        <v>0</v>
      </c>
    </row>
    <row r="32" spans="2:64" s="22" customFormat="1" x14ac:dyDescent="0.2">
      <c r="B32" s="119" t="s">
        <v>117</v>
      </c>
      <c r="C32" s="260"/>
      <c r="D32" s="118"/>
      <c r="E32" s="15"/>
      <c r="F32" s="15"/>
      <c r="G32" s="15"/>
      <c r="H32" s="15" t="s">
        <v>287</v>
      </c>
      <c r="I32" s="116" t="str">
        <f t="shared" si="1"/>
        <v>-</v>
      </c>
      <c r="J32" s="120"/>
      <c r="K32" s="195" t="str">
        <f t="shared" si="2"/>
        <v/>
      </c>
      <c r="L32" s="188" t="str">
        <f t="shared" si="3"/>
        <v/>
      </c>
      <c r="N32" s="185" t="str">
        <f t="array" ref="N32">IFERROR(INDEX($K$9:$K$59,MATCH(0,COUNTIF($N$8:$N31,$K$9:$K$59),0)),"")</f>
        <v/>
      </c>
      <c r="O32" s="175">
        <f t="array" ref="O32">IF(AND($N32&lt;&gt;"",O$8&lt;&gt;""),COUNTIFS($K$9:$K$59,$N32,$L$9:$L$59,O$8),0)</f>
        <v>0</v>
      </c>
      <c r="P32" s="175">
        <f t="array" ref="P32">IF(AND($N32&lt;&gt;"",P$8&lt;&gt;""),COUNTIFS($K$9:$K$59,$N32,$L$9:$L$59,P$8),0)</f>
        <v>0</v>
      </c>
      <c r="Q32" s="175">
        <f t="array" ref="Q32">IF(AND($N32&lt;&gt;"",Q$8&lt;&gt;""),COUNTIFS($K$9:$K$59,$N32,$L$9:$L$59,Q$8),0)</f>
        <v>0</v>
      </c>
      <c r="R32" s="175">
        <f t="array" ref="R32">IF(AND($N32&lt;&gt;"",R$8&lt;&gt;""),COUNTIFS($K$9:$K$59,$N32,$L$9:$L$59,R$8),0)</f>
        <v>0</v>
      </c>
      <c r="S32" s="175">
        <f t="array" ref="S32">IF(AND($N32&lt;&gt;"",S$8&lt;&gt;""),COUNTIFS($K$9:$K$59,$N32,$L$9:$L$59,S$8),0)</f>
        <v>0</v>
      </c>
      <c r="T32" s="175">
        <f t="array" ref="T32">IF(AND($N32&lt;&gt;"",T$8&lt;&gt;""),COUNTIFS($K$9:$K$59,$N32,$L$9:$L$59,T$8),0)</f>
        <v>0</v>
      </c>
      <c r="U32" s="175">
        <f t="array" ref="U32">IF(AND($N32&lt;&gt;"",U$8&lt;&gt;""),COUNTIFS($K$9:$K$59,$N32,$L$9:$L$59,U$8),0)</f>
        <v>0</v>
      </c>
      <c r="V32" s="175">
        <f t="array" ref="V32">IF(AND($N32&lt;&gt;"",V$8&lt;&gt;""),COUNTIFS($K$9:$K$59,$N32,$L$9:$L$59,V$8),0)</f>
        <v>0</v>
      </c>
      <c r="W32" s="175">
        <f t="array" ref="W32">IF(AND($N32&lt;&gt;"",W$8&lt;&gt;""),COUNTIFS($K$9:$K$59,$N32,$L$9:$L$59,W$8),0)</f>
        <v>0</v>
      </c>
      <c r="X32" s="175">
        <f t="array" ref="X32">IF(AND($N32&lt;&gt;"",X$8&lt;&gt;""),COUNTIFS($K$9:$K$59,$N32,$L$9:$L$59,X$8),0)</f>
        <v>0</v>
      </c>
      <c r="Y32" s="175">
        <f t="array" ref="Y32">IF(AND($N32&lt;&gt;"",Y$8&lt;&gt;""),COUNTIFS($K$9:$K$59,$N32,$L$9:$L$59,Y$8),0)</f>
        <v>0</v>
      </c>
      <c r="Z32" s="175">
        <f t="array" ref="Z32">IF(AND($N32&lt;&gt;"",Z$8&lt;&gt;""),COUNTIFS($K$9:$K$59,$N32,$L$9:$L$59,Z$8),0)</f>
        <v>0</v>
      </c>
      <c r="AA32" s="175">
        <f t="array" ref="AA32">IF(AND($N32&lt;&gt;"",AA$8&lt;&gt;""),COUNTIFS($K$9:$K$59,$N32,$L$9:$L$59,AA$8),0)</f>
        <v>0</v>
      </c>
      <c r="AB32" s="175">
        <f t="array" ref="AB32">IF(AND($N32&lt;&gt;"",AB$8&lt;&gt;""),COUNTIFS($K$9:$K$59,$N32,$L$9:$L$59,AB$8),0)</f>
        <v>0</v>
      </c>
      <c r="AC32" s="175">
        <f t="array" ref="AC32">IF(AND($N32&lt;&gt;"",AC$8&lt;&gt;""),COUNTIFS($K$9:$K$59,$N32,$L$9:$L$59,AC$8),0)</f>
        <v>0</v>
      </c>
      <c r="AD32" s="175">
        <f t="array" ref="AD32">IF(AND($N32&lt;&gt;"",AD$8&lt;&gt;""),COUNTIFS($K$9:$K$59,$N32,$L$9:$L$59,AD$8),0)</f>
        <v>0</v>
      </c>
      <c r="AE32" s="175">
        <f t="array" ref="AE32">IF(AND($N32&lt;&gt;"",AE$8&lt;&gt;""),COUNTIFS($K$9:$K$59,$N32,$L$9:$L$59,AE$8),0)</f>
        <v>0</v>
      </c>
      <c r="AF32" s="175">
        <f t="array" ref="AF32">IF(AND($N32&lt;&gt;"",AF$8&lt;&gt;""),COUNTIFS($K$9:$K$59,$N32,$L$9:$L$59,AF$8),0)</f>
        <v>0</v>
      </c>
      <c r="AG32" s="175">
        <f t="array" ref="AG32">IF(AND($N32&lt;&gt;"",AG$8&lt;&gt;""),COUNTIFS($K$9:$K$59,$N32,$L$9:$L$59,AG$8),0)</f>
        <v>0</v>
      </c>
      <c r="AH32" s="175">
        <f t="array" ref="AH32">IF(AND($N32&lt;&gt;"",AH$8&lt;&gt;""),COUNTIFS($K$9:$K$59,$N32,$L$9:$L$59,AH$8),0)</f>
        <v>0</v>
      </c>
      <c r="AI32" s="175">
        <f t="array" ref="AI32">IF(AND($N32&lt;&gt;"",AI$8&lt;&gt;""),COUNTIFS($K$9:$K$59,$N32,$L$9:$L$59,AI$8),0)</f>
        <v>0</v>
      </c>
      <c r="AJ32" s="175">
        <f t="array" ref="AJ32">IF(AND($N32&lt;&gt;"",AJ$8&lt;&gt;""),COUNTIFS($K$9:$K$59,$N32,$L$9:$L$59,AJ$8),0)</f>
        <v>0</v>
      </c>
      <c r="AK32" s="175">
        <f t="array" ref="AK32">IF(AND($N32&lt;&gt;"",AK$8&lt;&gt;""),COUNTIFS($K$9:$K$59,$N32,$L$9:$L$59,AK$8),0)</f>
        <v>0</v>
      </c>
      <c r="AL32" s="175">
        <f t="array" ref="AL32">IF(AND($N32&lt;&gt;"",AL$8&lt;&gt;""),COUNTIFS($K$9:$K$59,$N32,$L$9:$L$59,AL$8),0)</f>
        <v>0</v>
      </c>
      <c r="AM32" s="175">
        <f t="array" ref="AM32">IF(AND($N32&lt;&gt;"",AM$8&lt;&gt;""),COUNTIFS($K$9:$K$59,$N32,$L$9:$L$59,AM$8),0)</f>
        <v>0</v>
      </c>
      <c r="AN32" s="175">
        <f t="array" ref="AN32">IF(AND($N32&lt;&gt;"",AN$8&lt;&gt;""),COUNTIFS($K$9:$K$59,$N32,$L$9:$L$59,AN$8),0)</f>
        <v>0</v>
      </c>
      <c r="AO32" s="175">
        <f t="array" ref="AO32">IF(AND($N32&lt;&gt;"",AO$8&lt;&gt;""),COUNTIFS($K$9:$K$59,$N32,$L$9:$L$59,AO$8),0)</f>
        <v>0</v>
      </c>
      <c r="AP32" s="175">
        <f t="array" ref="AP32">IF(AND($N32&lt;&gt;"",AP$8&lt;&gt;""),COUNTIFS($K$9:$K$59,$N32,$L$9:$L$59,AP$8),0)</f>
        <v>0</v>
      </c>
      <c r="AQ32" s="175">
        <f t="array" ref="AQ32">IF(AND($N32&lt;&gt;"",AQ$8&lt;&gt;""),COUNTIFS($K$9:$K$59,$N32,$L$9:$L$59,AQ$8),0)</f>
        <v>0</v>
      </c>
      <c r="AR32" s="175">
        <f t="array" ref="AR32">IF(AND($N32&lt;&gt;"",AR$8&lt;&gt;""),COUNTIFS($K$9:$K$59,$N32,$L$9:$L$59,AR$8),0)</f>
        <v>0</v>
      </c>
      <c r="AS32" s="175">
        <f t="array" ref="AS32">IF(AND($N32&lt;&gt;"",AS$8&lt;&gt;""),COUNTIFS($K$9:$K$59,$N32,$L$9:$L$59,AS$8),0)</f>
        <v>0</v>
      </c>
      <c r="AT32" s="175">
        <f t="array" ref="AT32">IF(AND($N32&lt;&gt;"",AT$8&lt;&gt;""),COUNTIFS($K$9:$K$59,$N32,$L$9:$L$59,AT$8),0)</f>
        <v>0</v>
      </c>
      <c r="AU32" s="175">
        <f t="array" ref="AU32">IF(AND($N32&lt;&gt;"",AU$8&lt;&gt;""),COUNTIFS($K$9:$K$59,$N32,$L$9:$L$59,AU$8),0)</f>
        <v>0</v>
      </c>
      <c r="AV32" s="175">
        <f t="array" ref="AV32">IF(AND($N32&lt;&gt;"",AV$8&lt;&gt;""),COUNTIFS($K$9:$K$59,$N32,$L$9:$L$59,AV$8),0)</f>
        <v>0</v>
      </c>
      <c r="AW32" s="175">
        <f t="array" ref="AW32">IF(AND($N32&lt;&gt;"",AW$8&lt;&gt;""),COUNTIFS($K$9:$K$59,$N32,$L$9:$L$59,AW$8),0)</f>
        <v>0</v>
      </c>
      <c r="AX32" s="175">
        <f t="array" ref="AX32">IF(AND($N32&lt;&gt;"",AX$8&lt;&gt;""),COUNTIFS($K$9:$K$59,$N32,$L$9:$L$59,AX$8),0)</f>
        <v>0</v>
      </c>
      <c r="AY32" s="175">
        <f t="array" ref="AY32">IF(AND($N32&lt;&gt;"",AY$8&lt;&gt;""),COUNTIFS($K$9:$K$59,$N32,$L$9:$L$59,AY$8),0)</f>
        <v>0</v>
      </c>
      <c r="AZ32" s="175">
        <f t="array" ref="AZ32">IF(AND($N32&lt;&gt;"",AZ$8&lt;&gt;""),COUNTIFS($K$9:$K$59,$N32,$L$9:$L$59,AZ$8),0)</f>
        <v>0</v>
      </c>
      <c r="BA32" s="175">
        <f t="array" ref="BA32">IF(AND($N32&lt;&gt;"",BA$8&lt;&gt;""),COUNTIFS($K$9:$K$59,$N32,$L$9:$L$59,BA$8),0)</f>
        <v>0</v>
      </c>
      <c r="BB32" s="175">
        <f t="array" ref="BB32">IF(AND($N32&lt;&gt;"",BB$8&lt;&gt;""),COUNTIFS($K$9:$K$59,$N32,$L$9:$L$59,BB$8),0)</f>
        <v>0</v>
      </c>
      <c r="BC32" s="175">
        <f t="array" ref="BC32">IF(AND($N32&lt;&gt;"",BC$8&lt;&gt;""),COUNTIFS($K$9:$K$59,$N32,$L$9:$L$59,BC$8),0)</f>
        <v>0</v>
      </c>
      <c r="BD32" s="175">
        <f t="array" ref="BD32">IF(AND($N32&lt;&gt;"",BD$8&lt;&gt;""),COUNTIFS($K$9:$K$59,$N32,$L$9:$L$59,BD$8),0)</f>
        <v>0</v>
      </c>
      <c r="BE32" s="175">
        <f t="array" ref="BE32">IF(AND($N32&lt;&gt;"",BE$8&lt;&gt;""),COUNTIFS($K$9:$K$59,$N32,$L$9:$L$59,BE$8),0)</f>
        <v>0</v>
      </c>
      <c r="BF32" s="175">
        <f t="array" ref="BF32">IF(AND($N32&lt;&gt;"",BF$8&lt;&gt;""),COUNTIFS($K$9:$K$59,$N32,$L$9:$L$59,BF$8),0)</f>
        <v>0</v>
      </c>
      <c r="BG32" s="175">
        <f t="array" ref="BG32">IF(AND($N32&lt;&gt;"",BG$8&lt;&gt;""),COUNTIFS($K$9:$K$59,$N32,$L$9:$L$59,BG$8),0)</f>
        <v>0</v>
      </c>
      <c r="BH32" s="175">
        <f t="array" ref="BH32">IF(AND($N32&lt;&gt;"",BH$8&lt;&gt;""),COUNTIFS($K$9:$K$59,$N32,$L$9:$L$59,BH$8),0)</f>
        <v>0</v>
      </c>
      <c r="BI32" s="175">
        <f t="array" ref="BI32">IF(AND($N32&lt;&gt;"",BI$8&lt;&gt;""),COUNTIFS($K$9:$K$59,$N32,$L$9:$L$59,BI$8),0)</f>
        <v>0</v>
      </c>
      <c r="BJ32" s="175">
        <f t="array" ref="BJ32">IF(AND($N32&lt;&gt;"",BJ$8&lt;&gt;""),COUNTIFS($K$9:$K$59,$N32,$L$9:$L$59,BJ$8),0)</f>
        <v>0</v>
      </c>
      <c r="BK32" s="175">
        <f t="array" ref="BK32">IF(AND($N32&lt;&gt;"",BK$8&lt;&gt;""),COUNTIFS($K$9:$K$59,$N32,$L$9:$L$59,BK$8),0)</f>
        <v>0</v>
      </c>
      <c r="BL32" s="175">
        <f t="array" ref="BL32">IF(AND($N32&lt;&gt;"",BL$8&lt;&gt;""),COUNTIFS($K$9:$K$59,$N32,$L$9:$L$59,BL$8),0)</f>
        <v>0</v>
      </c>
    </row>
    <row r="33" spans="2:64" s="22" customFormat="1" x14ac:dyDescent="0.2">
      <c r="B33" s="119" t="s">
        <v>118</v>
      </c>
      <c r="C33" s="260"/>
      <c r="D33" s="118"/>
      <c r="E33" s="15"/>
      <c r="F33" s="15"/>
      <c r="G33" s="15"/>
      <c r="H33" s="15" t="s">
        <v>287</v>
      </c>
      <c r="I33" s="116" t="str">
        <f t="shared" si="1"/>
        <v>-</v>
      </c>
      <c r="J33" s="120"/>
      <c r="K33" s="195" t="str">
        <f t="shared" si="2"/>
        <v/>
      </c>
      <c r="L33" s="188" t="str">
        <f t="shared" si="3"/>
        <v/>
      </c>
      <c r="N33" s="185" t="str">
        <f t="array" ref="N33">IFERROR(INDEX($K$9:$K$59,MATCH(0,COUNTIF($N$8:$N32,$K$9:$K$59),0)),"")</f>
        <v/>
      </c>
      <c r="O33" s="175">
        <f t="array" ref="O33">IF(AND($N33&lt;&gt;"",O$8&lt;&gt;""),COUNTIFS($K$9:$K$59,$N33,$L$9:$L$59,O$8),0)</f>
        <v>0</v>
      </c>
      <c r="P33" s="175">
        <f t="array" ref="P33">IF(AND($N33&lt;&gt;"",P$8&lt;&gt;""),COUNTIFS($K$9:$K$59,$N33,$L$9:$L$59,P$8),0)</f>
        <v>0</v>
      </c>
      <c r="Q33" s="175">
        <f t="array" ref="Q33">IF(AND($N33&lt;&gt;"",Q$8&lt;&gt;""),COUNTIFS($K$9:$K$59,$N33,$L$9:$L$59,Q$8),0)</f>
        <v>0</v>
      </c>
      <c r="R33" s="175">
        <f t="array" ref="R33">IF(AND($N33&lt;&gt;"",R$8&lt;&gt;""),COUNTIFS($K$9:$K$59,$N33,$L$9:$L$59,R$8),0)</f>
        <v>0</v>
      </c>
      <c r="S33" s="175">
        <f t="array" ref="S33">IF(AND($N33&lt;&gt;"",S$8&lt;&gt;""),COUNTIFS($K$9:$K$59,$N33,$L$9:$L$59,S$8),0)</f>
        <v>0</v>
      </c>
      <c r="T33" s="175">
        <f t="array" ref="T33">IF(AND($N33&lt;&gt;"",T$8&lt;&gt;""),COUNTIFS($K$9:$K$59,$N33,$L$9:$L$59,T$8),0)</f>
        <v>0</v>
      </c>
      <c r="U33" s="175">
        <f t="array" ref="U33">IF(AND($N33&lt;&gt;"",U$8&lt;&gt;""),COUNTIFS($K$9:$K$59,$N33,$L$9:$L$59,U$8),0)</f>
        <v>0</v>
      </c>
      <c r="V33" s="175">
        <f t="array" ref="V33">IF(AND($N33&lt;&gt;"",V$8&lt;&gt;""),COUNTIFS($K$9:$K$59,$N33,$L$9:$L$59,V$8),0)</f>
        <v>0</v>
      </c>
      <c r="W33" s="175">
        <f t="array" ref="W33">IF(AND($N33&lt;&gt;"",W$8&lt;&gt;""),COUNTIFS($K$9:$K$59,$N33,$L$9:$L$59,W$8),0)</f>
        <v>0</v>
      </c>
      <c r="X33" s="175">
        <f t="array" ref="X33">IF(AND($N33&lt;&gt;"",X$8&lt;&gt;""),COUNTIFS($K$9:$K$59,$N33,$L$9:$L$59,X$8),0)</f>
        <v>0</v>
      </c>
      <c r="Y33" s="175">
        <f t="array" ref="Y33">IF(AND($N33&lt;&gt;"",Y$8&lt;&gt;""),COUNTIFS($K$9:$K$59,$N33,$L$9:$L$59,Y$8),0)</f>
        <v>0</v>
      </c>
      <c r="Z33" s="175">
        <f t="array" ref="Z33">IF(AND($N33&lt;&gt;"",Z$8&lt;&gt;""),COUNTIFS($K$9:$K$59,$N33,$L$9:$L$59,Z$8),0)</f>
        <v>0</v>
      </c>
      <c r="AA33" s="175">
        <f t="array" ref="AA33">IF(AND($N33&lt;&gt;"",AA$8&lt;&gt;""),COUNTIFS($K$9:$K$59,$N33,$L$9:$L$59,AA$8),0)</f>
        <v>0</v>
      </c>
      <c r="AB33" s="175">
        <f t="array" ref="AB33">IF(AND($N33&lt;&gt;"",AB$8&lt;&gt;""),COUNTIFS($K$9:$K$59,$N33,$L$9:$L$59,AB$8),0)</f>
        <v>0</v>
      </c>
      <c r="AC33" s="175">
        <f t="array" ref="AC33">IF(AND($N33&lt;&gt;"",AC$8&lt;&gt;""),COUNTIFS($K$9:$K$59,$N33,$L$9:$L$59,AC$8),0)</f>
        <v>0</v>
      </c>
      <c r="AD33" s="175">
        <f t="array" ref="AD33">IF(AND($N33&lt;&gt;"",AD$8&lt;&gt;""),COUNTIFS($K$9:$K$59,$N33,$L$9:$L$59,AD$8),0)</f>
        <v>0</v>
      </c>
      <c r="AE33" s="175">
        <f t="array" ref="AE33">IF(AND($N33&lt;&gt;"",AE$8&lt;&gt;""),COUNTIFS($K$9:$K$59,$N33,$L$9:$L$59,AE$8),0)</f>
        <v>0</v>
      </c>
      <c r="AF33" s="175">
        <f t="array" ref="AF33">IF(AND($N33&lt;&gt;"",AF$8&lt;&gt;""),COUNTIFS($K$9:$K$59,$N33,$L$9:$L$59,AF$8),0)</f>
        <v>0</v>
      </c>
      <c r="AG33" s="175">
        <f t="array" ref="AG33">IF(AND($N33&lt;&gt;"",AG$8&lt;&gt;""),COUNTIFS($K$9:$K$59,$N33,$L$9:$L$59,AG$8),0)</f>
        <v>0</v>
      </c>
      <c r="AH33" s="175">
        <f t="array" ref="AH33">IF(AND($N33&lt;&gt;"",AH$8&lt;&gt;""),COUNTIFS($K$9:$K$59,$N33,$L$9:$L$59,AH$8),0)</f>
        <v>0</v>
      </c>
      <c r="AI33" s="175">
        <f t="array" ref="AI33">IF(AND($N33&lt;&gt;"",AI$8&lt;&gt;""),COUNTIFS($K$9:$K$59,$N33,$L$9:$L$59,AI$8),0)</f>
        <v>0</v>
      </c>
      <c r="AJ33" s="175">
        <f t="array" ref="AJ33">IF(AND($N33&lt;&gt;"",AJ$8&lt;&gt;""),COUNTIFS($K$9:$K$59,$N33,$L$9:$L$59,AJ$8),0)</f>
        <v>0</v>
      </c>
      <c r="AK33" s="175">
        <f t="array" ref="AK33">IF(AND($N33&lt;&gt;"",AK$8&lt;&gt;""),COUNTIFS($K$9:$K$59,$N33,$L$9:$L$59,AK$8),0)</f>
        <v>0</v>
      </c>
      <c r="AL33" s="175">
        <f t="array" ref="AL33">IF(AND($N33&lt;&gt;"",AL$8&lt;&gt;""),COUNTIFS($K$9:$K$59,$N33,$L$9:$L$59,AL$8),0)</f>
        <v>0</v>
      </c>
      <c r="AM33" s="175">
        <f t="array" ref="AM33">IF(AND($N33&lt;&gt;"",AM$8&lt;&gt;""),COUNTIFS($K$9:$K$59,$N33,$L$9:$L$59,AM$8),0)</f>
        <v>0</v>
      </c>
      <c r="AN33" s="175">
        <f t="array" ref="AN33">IF(AND($N33&lt;&gt;"",AN$8&lt;&gt;""),COUNTIFS($K$9:$K$59,$N33,$L$9:$L$59,AN$8),0)</f>
        <v>0</v>
      </c>
      <c r="AO33" s="175">
        <f t="array" ref="AO33">IF(AND($N33&lt;&gt;"",AO$8&lt;&gt;""),COUNTIFS($K$9:$K$59,$N33,$L$9:$L$59,AO$8),0)</f>
        <v>0</v>
      </c>
      <c r="AP33" s="175">
        <f t="array" ref="AP33">IF(AND($N33&lt;&gt;"",AP$8&lt;&gt;""),COUNTIFS($K$9:$K$59,$N33,$L$9:$L$59,AP$8),0)</f>
        <v>0</v>
      </c>
      <c r="AQ33" s="175">
        <f t="array" ref="AQ33">IF(AND($N33&lt;&gt;"",AQ$8&lt;&gt;""),COUNTIFS($K$9:$K$59,$N33,$L$9:$L$59,AQ$8),0)</f>
        <v>0</v>
      </c>
      <c r="AR33" s="175">
        <f t="array" ref="AR33">IF(AND($N33&lt;&gt;"",AR$8&lt;&gt;""),COUNTIFS($K$9:$K$59,$N33,$L$9:$L$59,AR$8),0)</f>
        <v>0</v>
      </c>
      <c r="AS33" s="175">
        <f t="array" ref="AS33">IF(AND($N33&lt;&gt;"",AS$8&lt;&gt;""),COUNTIFS($K$9:$K$59,$N33,$L$9:$L$59,AS$8),0)</f>
        <v>0</v>
      </c>
      <c r="AT33" s="175">
        <f t="array" ref="AT33">IF(AND($N33&lt;&gt;"",AT$8&lt;&gt;""),COUNTIFS($K$9:$K$59,$N33,$L$9:$L$59,AT$8),0)</f>
        <v>0</v>
      </c>
      <c r="AU33" s="175">
        <f t="array" ref="AU33">IF(AND($N33&lt;&gt;"",AU$8&lt;&gt;""),COUNTIFS($K$9:$K$59,$N33,$L$9:$L$59,AU$8),0)</f>
        <v>0</v>
      </c>
      <c r="AV33" s="175">
        <f t="array" ref="AV33">IF(AND($N33&lt;&gt;"",AV$8&lt;&gt;""),COUNTIFS($K$9:$K$59,$N33,$L$9:$L$59,AV$8),0)</f>
        <v>0</v>
      </c>
      <c r="AW33" s="175">
        <f t="array" ref="AW33">IF(AND($N33&lt;&gt;"",AW$8&lt;&gt;""),COUNTIFS($K$9:$K$59,$N33,$L$9:$L$59,AW$8),0)</f>
        <v>0</v>
      </c>
      <c r="AX33" s="175">
        <f t="array" ref="AX33">IF(AND($N33&lt;&gt;"",AX$8&lt;&gt;""),COUNTIFS($K$9:$K$59,$N33,$L$9:$L$59,AX$8),0)</f>
        <v>0</v>
      </c>
      <c r="AY33" s="175">
        <f t="array" ref="AY33">IF(AND($N33&lt;&gt;"",AY$8&lt;&gt;""),COUNTIFS($K$9:$K$59,$N33,$L$9:$L$59,AY$8),0)</f>
        <v>0</v>
      </c>
      <c r="AZ33" s="175">
        <f t="array" ref="AZ33">IF(AND($N33&lt;&gt;"",AZ$8&lt;&gt;""),COUNTIFS($K$9:$K$59,$N33,$L$9:$L$59,AZ$8),0)</f>
        <v>0</v>
      </c>
      <c r="BA33" s="175">
        <f t="array" ref="BA33">IF(AND($N33&lt;&gt;"",BA$8&lt;&gt;""),COUNTIFS($K$9:$K$59,$N33,$L$9:$L$59,BA$8),0)</f>
        <v>0</v>
      </c>
      <c r="BB33" s="175">
        <f t="array" ref="BB33">IF(AND($N33&lt;&gt;"",BB$8&lt;&gt;""),COUNTIFS($K$9:$K$59,$N33,$L$9:$L$59,BB$8),0)</f>
        <v>0</v>
      </c>
      <c r="BC33" s="175">
        <f t="array" ref="BC33">IF(AND($N33&lt;&gt;"",BC$8&lt;&gt;""),COUNTIFS($K$9:$K$59,$N33,$L$9:$L$59,BC$8),0)</f>
        <v>0</v>
      </c>
      <c r="BD33" s="175">
        <f t="array" ref="BD33">IF(AND($N33&lt;&gt;"",BD$8&lt;&gt;""),COUNTIFS($K$9:$K$59,$N33,$L$9:$L$59,BD$8),0)</f>
        <v>0</v>
      </c>
      <c r="BE33" s="175">
        <f t="array" ref="BE33">IF(AND($N33&lt;&gt;"",BE$8&lt;&gt;""),COUNTIFS($K$9:$K$59,$N33,$L$9:$L$59,BE$8),0)</f>
        <v>0</v>
      </c>
      <c r="BF33" s="175">
        <f t="array" ref="BF33">IF(AND($N33&lt;&gt;"",BF$8&lt;&gt;""),COUNTIFS($K$9:$K$59,$N33,$L$9:$L$59,BF$8),0)</f>
        <v>0</v>
      </c>
      <c r="BG33" s="175">
        <f t="array" ref="BG33">IF(AND($N33&lt;&gt;"",BG$8&lt;&gt;""),COUNTIFS($K$9:$K$59,$N33,$L$9:$L$59,BG$8),0)</f>
        <v>0</v>
      </c>
      <c r="BH33" s="175">
        <f t="array" ref="BH33">IF(AND($N33&lt;&gt;"",BH$8&lt;&gt;""),COUNTIFS($K$9:$K$59,$N33,$L$9:$L$59,BH$8),0)</f>
        <v>0</v>
      </c>
      <c r="BI33" s="175">
        <f t="array" ref="BI33">IF(AND($N33&lt;&gt;"",BI$8&lt;&gt;""),COUNTIFS($K$9:$K$59,$N33,$L$9:$L$59,BI$8),0)</f>
        <v>0</v>
      </c>
      <c r="BJ33" s="175">
        <f t="array" ref="BJ33">IF(AND($N33&lt;&gt;"",BJ$8&lt;&gt;""),COUNTIFS($K$9:$K$59,$N33,$L$9:$L$59,BJ$8),0)</f>
        <v>0</v>
      </c>
      <c r="BK33" s="175">
        <f t="array" ref="BK33">IF(AND($N33&lt;&gt;"",BK$8&lt;&gt;""),COUNTIFS($K$9:$K$59,$N33,$L$9:$L$59,BK$8),0)</f>
        <v>0</v>
      </c>
      <c r="BL33" s="175">
        <f t="array" ref="BL33">IF(AND($N33&lt;&gt;"",BL$8&lt;&gt;""),COUNTIFS($K$9:$K$59,$N33,$L$9:$L$59,BL$8),0)</f>
        <v>0</v>
      </c>
    </row>
    <row r="34" spans="2:64" s="22" customFormat="1" x14ac:dyDescent="0.2">
      <c r="B34" s="119" t="s">
        <v>119</v>
      </c>
      <c r="C34" s="260"/>
      <c r="D34" s="118"/>
      <c r="E34" s="15"/>
      <c r="F34" s="15"/>
      <c r="G34" s="15"/>
      <c r="H34" s="15" t="s">
        <v>287</v>
      </c>
      <c r="I34" s="116" t="str">
        <f t="shared" si="1"/>
        <v>-</v>
      </c>
      <c r="J34" s="120"/>
      <c r="K34" s="195" t="str">
        <f t="shared" si="2"/>
        <v/>
      </c>
      <c r="L34" s="188" t="str">
        <f t="shared" si="3"/>
        <v/>
      </c>
      <c r="N34" s="185" t="str">
        <f t="array" ref="N34">IFERROR(INDEX($K$9:$K$59,MATCH(0,COUNTIF($N$8:$N33,$K$9:$K$59),0)),"")</f>
        <v/>
      </c>
      <c r="O34" s="175">
        <f t="array" ref="O34">IF(AND($N34&lt;&gt;"",O$8&lt;&gt;""),COUNTIFS($K$9:$K$59,$N34,$L$9:$L$59,O$8),0)</f>
        <v>0</v>
      </c>
      <c r="P34" s="175">
        <f t="array" ref="P34">IF(AND($N34&lt;&gt;"",P$8&lt;&gt;""),COUNTIFS($K$9:$K$59,$N34,$L$9:$L$59,P$8),0)</f>
        <v>0</v>
      </c>
      <c r="Q34" s="175">
        <f t="array" ref="Q34">IF(AND($N34&lt;&gt;"",Q$8&lt;&gt;""),COUNTIFS($K$9:$K$59,$N34,$L$9:$L$59,Q$8),0)</f>
        <v>0</v>
      </c>
      <c r="R34" s="175">
        <f t="array" ref="R34">IF(AND($N34&lt;&gt;"",R$8&lt;&gt;""),COUNTIFS($K$9:$K$59,$N34,$L$9:$L$59,R$8),0)</f>
        <v>0</v>
      </c>
      <c r="S34" s="175">
        <f t="array" ref="S34">IF(AND($N34&lt;&gt;"",S$8&lt;&gt;""),COUNTIFS($K$9:$K$59,$N34,$L$9:$L$59,S$8),0)</f>
        <v>0</v>
      </c>
      <c r="T34" s="175">
        <f t="array" ref="T34">IF(AND($N34&lt;&gt;"",T$8&lt;&gt;""),COUNTIFS($K$9:$K$59,$N34,$L$9:$L$59,T$8),0)</f>
        <v>0</v>
      </c>
      <c r="U34" s="175">
        <f t="array" ref="U34">IF(AND($N34&lt;&gt;"",U$8&lt;&gt;""),COUNTIFS($K$9:$K$59,$N34,$L$9:$L$59,U$8),0)</f>
        <v>0</v>
      </c>
      <c r="V34" s="175">
        <f t="array" ref="V34">IF(AND($N34&lt;&gt;"",V$8&lt;&gt;""),COUNTIFS($K$9:$K$59,$N34,$L$9:$L$59,V$8),0)</f>
        <v>0</v>
      </c>
      <c r="W34" s="175">
        <f t="array" ref="W34">IF(AND($N34&lt;&gt;"",W$8&lt;&gt;""),COUNTIFS($K$9:$K$59,$N34,$L$9:$L$59,W$8),0)</f>
        <v>0</v>
      </c>
      <c r="X34" s="175">
        <f t="array" ref="X34">IF(AND($N34&lt;&gt;"",X$8&lt;&gt;""),COUNTIFS($K$9:$K$59,$N34,$L$9:$L$59,X$8),0)</f>
        <v>0</v>
      </c>
      <c r="Y34" s="175">
        <f t="array" ref="Y34">IF(AND($N34&lt;&gt;"",Y$8&lt;&gt;""),COUNTIFS($K$9:$K$59,$N34,$L$9:$L$59,Y$8),0)</f>
        <v>0</v>
      </c>
      <c r="Z34" s="175">
        <f t="array" ref="Z34">IF(AND($N34&lt;&gt;"",Z$8&lt;&gt;""),COUNTIFS($K$9:$K$59,$N34,$L$9:$L$59,Z$8),0)</f>
        <v>0</v>
      </c>
      <c r="AA34" s="175">
        <f t="array" ref="AA34">IF(AND($N34&lt;&gt;"",AA$8&lt;&gt;""),COUNTIFS($K$9:$K$59,$N34,$L$9:$L$59,AA$8),0)</f>
        <v>0</v>
      </c>
      <c r="AB34" s="175">
        <f t="array" ref="AB34">IF(AND($N34&lt;&gt;"",AB$8&lt;&gt;""),COUNTIFS($K$9:$K$59,$N34,$L$9:$L$59,AB$8),0)</f>
        <v>0</v>
      </c>
      <c r="AC34" s="175">
        <f t="array" ref="AC34">IF(AND($N34&lt;&gt;"",AC$8&lt;&gt;""),COUNTIFS($K$9:$K$59,$N34,$L$9:$L$59,AC$8),0)</f>
        <v>0</v>
      </c>
      <c r="AD34" s="175">
        <f t="array" ref="AD34">IF(AND($N34&lt;&gt;"",AD$8&lt;&gt;""),COUNTIFS($K$9:$K$59,$N34,$L$9:$L$59,AD$8),0)</f>
        <v>0</v>
      </c>
      <c r="AE34" s="175">
        <f t="array" ref="AE34">IF(AND($N34&lt;&gt;"",AE$8&lt;&gt;""),COUNTIFS($K$9:$K$59,$N34,$L$9:$L$59,AE$8),0)</f>
        <v>0</v>
      </c>
      <c r="AF34" s="175">
        <f t="array" ref="AF34">IF(AND($N34&lt;&gt;"",AF$8&lt;&gt;""),COUNTIFS($K$9:$K$59,$N34,$L$9:$L$59,AF$8),0)</f>
        <v>0</v>
      </c>
      <c r="AG34" s="175">
        <f t="array" ref="AG34">IF(AND($N34&lt;&gt;"",AG$8&lt;&gt;""),COUNTIFS($K$9:$K$59,$N34,$L$9:$L$59,AG$8),0)</f>
        <v>0</v>
      </c>
      <c r="AH34" s="175">
        <f t="array" ref="AH34">IF(AND($N34&lt;&gt;"",AH$8&lt;&gt;""),COUNTIFS($K$9:$K$59,$N34,$L$9:$L$59,AH$8),0)</f>
        <v>0</v>
      </c>
      <c r="AI34" s="175">
        <f t="array" ref="AI34">IF(AND($N34&lt;&gt;"",AI$8&lt;&gt;""),COUNTIFS($K$9:$K$59,$N34,$L$9:$L$59,AI$8),0)</f>
        <v>0</v>
      </c>
      <c r="AJ34" s="175">
        <f t="array" ref="AJ34">IF(AND($N34&lt;&gt;"",AJ$8&lt;&gt;""),COUNTIFS($K$9:$K$59,$N34,$L$9:$L$59,AJ$8),0)</f>
        <v>0</v>
      </c>
      <c r="AK34" s="175">
        <f t="array" ref="AK34">IF(AND($N34&lt;&gt;"",AK$8&lt;&gt;""),COUNTIFS($K$9:$K$59,$N34,$L$9:$L$59,AK$8),0)</f>
        <v>0</v>
      </c>
      <c r="AL34" s="175">
        <f t="array" ref="AL34">IF(AND($N34&lt;&gt;"",AL$8&lt;&gt;""),COUNTIFS($K$9:$K$59,$N34,$L$9:$L$59,AL$8),0)</f>
        <v>0</v>
      </c>
      <c r="AM34" s="175">
        <f t="array" ref="AM34">IF(AND($N34&lt;&gt;"",AM$8&lt;&gt;""),COUNTIFS($K$9:$K$59,$N34,$L$9:$L$59,AM$8),0)</f>
        <v>0</v>
      </c>
      <c r="AN34" s="175">
        <f t="array" ref="AN34">IF(AND($N34&lt;&gt;"",AN$8&lt;&gt;""),COUNTIFS($K$9:$K$59,$N34,$L$9:$L$59,AN$8),0)</f>
        <v>0</v>
      </c>
      <c r="AO34" s="175">
        <f t="array" ref="AO34">IF(AND($N34&lt;&gt;"",AO$8&lt;&gt;""),COUNTIFS($K$9:$K$59,$N34,$L$9:$L$59,AO$8),0)</f>
        <v>0</v>
      </c>
      <c r="AP34" s="175">
        <f t="array" ref="AP34">IF(AND($N34&lt;&gt;"",AP$8&lt;&gt;""),COUNTIFS($K$9:$K$59,$N34,$L$9:$L$59,AP$8),0)</f>
        <v>0</v>
      </c>
      <c r="AQ34" s="175">
        <f t="array" ref="AQ34">IF(AND($N34&lt;&gt;"",AQ$8&lt;&gt;""),COUNTIFS($K$9:$K$59,$N34,$L$9:$L$59,AQ$8),0)</f>
        <v>0</v>
      </c>
      <c r="AR34" s="175">
        <f t="array" ref="AR34">IF(AND($N34&lt;&gt;"",AR$8&lt;&gt;""),COUNTIFS($K$9:$K$59,$N34,$L$9:$L$59,AR$8),0)</f>
        <v>0</v>
      </c>
      <c r="AS34" s="175">
        <f t="array" ref="AS34">IF(AND($N34&lt;&gt;"",AS$8&lt;&gt;""),COUNTIFS($K$9:$K$59,$N34,$L$9:$L$59,AS$8),0)</f>
        <v>0</v>
      </c>
      <c r="AT34" s="175">
        <f t="array" ref="AT34">IF(AND($N34&lt;&gt;"",AT$8&lt;&gt;""),COUNTIFS($K$9:$K$59,$N34,$L$9:$L$59,AT$8),0)</f>
        <v>0</v>
      </c>
      <c r="AU34" s="175">
        <f t="array" ref="AU34">IF(AND($N34&lt;&gt;"",AU$8&lt;&gt;""),COUNTIFS($K$9:$K$59,$N34,$L$9:$L$59,AU$8),0)</f>
        <v>0</v>
      </c>
      <c r="AV34" s="175">
        <f t="array" ref="AV34">IF(AND($N34&lt;&gt;"",AV$8&lt;&gt;""),COUNTIFS($K$9:$K$59,$N34,$L$9:$L$59,AV$8),0)</f>
        <v>0</v>
      </c>
      <c r="AW34" s="175">
        <f t="array" ref="AW34">IF(AND($N34&lt;&gt;"",AW$8&lt;&gt;""),COUNTIFS($K$9:$K$59,$N34,$L$9:$L$59,AW$8),0)</f>
        <v>0</v>
      </c>
      <c r="AX34" s="175">
        <f t="array" ref="AX34">IF(AND($N34&lt;&gt;"",AX$8&lt;&gt;""),COUNTIFS($K$9:$K$59,$N34,$L$9:$L$59,AX$8),0)</f>
        <v>0</v>
      </c>
      <c r="AY34" s="175">
        <f t="array" ref="AY34">IF(AND($N34&lt;&gt;"",AY$8&lt;&gt;""),COUNTIFS($K$9:$K$59,$N34,$L$9:$L$59,AY$8),0)</f>
        <v>0</v>
      </c>
      <c r="AZ34" s="175">
        <f t="array" ref="AZ34">IF(AND($N34&lt;&gt;"",AZ$8&lt;&gt;""),COUNTIFS($K$9:$K$59,$N34,$L$9:$L$59,AZ$8),0)</f>
        <v>0</v>
      </c>
      <c r="BA34" s="175">
        <f t="array" ref="BA34">IF(AND($N34&lt;&gt;"",BA$8&lt;&gt;""),COUNTIFS($K$9:$K$59,$N34,$L$9:$L$59,BA$8),0)</f>
        <v>0</v>
      </c>
      <c r="BB34" s="175">
        <f t="array" ref="BB34">IF(AND($N34&lt;&gt;"",BB$8&lt;&gt;""),COUNTIFS($K$9:$K$59,$N34,$L$9:$L$59,BB$8),0)</f>
        <v>0</v>
      </c>
      <c r="BC34" s="175">
        <f t="array" ref="BC34">IF(AND($N34&lt;&gt;"",BC$8&lt;&gt;""),COUNTIFS($K$9:$K$59,$N34,$L$9:$L$59,BC$8),0)</f>
        <v>0</v>
      </c>
      <c r="BD34" s="175">
        <f t="array" ref="BD34">IF(AND($N34&lt;&gt;"",BD$8&lt;&gt;""),COUNTIFS($K$9:$K$59,$N34,$L$9:$L$59,BD$8),0)</f>
        <v>0</v>
      </c>
      <c r="BE34" s="175">
        <f t="array" ref="BE34">IF(AND($N34&lt;&gt;"",BE$8&lt;&gt;""),COUNTIFS($K$9:$K$59,$N34,$L$9:$L$59,BE$8),0)</f>
        <v>0</v>
      </c>
      <c r="BF34" s="175">
        <f t="array" ref="BF34">IF(AND($N34&lt;&gt;"",BF$8&lt;&gt;""),COUNTIFS($K$9:$K$59,$N34,$L$9:$L$59,BF$8),0)</f>
        <v>0</v>
      </c>
      <c r="BG34" s="175">
        <f t="array" ref="BG34">IF(AND($N34&lt;&gt;"",BG$8&lt;&gt;""),COUNTIFS($K$9:$K$59,$N34,$L$9:$L$59,BG$8),0)</f>
        <v>0</v>
      </c>
      <c r="BH34" s="175">
        <f t="array" ref="BH34">IF(AND($N34&lt;&gt;"",BH$8&lt;&gt;""),COUNTIFS($K$9:$K$59,$N34,$L$9:$L$59,BH$8),0)</f>
        <v>0</v>
      </c>
      <c r="BI34" s="175">
        <f t="array" ref="BI34">IF(AND($N34&lt;&gt;"",BI$8&lt;&gt;""),COUNTIFS($K$9:$K$59,$N34,$L$9:$L$59,BI$8),0)</f>
        <v>0</v>
      </c>
      <c r="BJ34" s="175">
        <f t="array" ref="BJ34">IF(AND($N34&lt;&gt;"",BJ$8&lt;&gt;""),COUNTIFS($K$9:$K$59,$N34,$L$9:$L$59,BJ$8),0)</f>
        <v>0</v>
      </c>
      <c r="BK34" s="175">
        <f t="array" ref="BK34">IF(AND($N34&lt;&gt;"",BK$8&lt;&gt;""),COUNTIFS($K$9:$K$59,$N34,$L$9:$L$59,BK$8),0)</f>
        <v>0</v>
      </c>
      <c r="BL34" s="175">
        <f t="array" ref="BL34">IF(AND($N34&lt;&gt;"",BL$8&lt;&gt;""),COUNTIFS($K$9:$K$59,$N34,$L$9:$L$59,BL$8),0)</f>
        <v>0</v>
      </c>
    </row>
    <row r="35" spans="2:64" s="22" customFormat="1" x14ac:dyDescent="0.2">
      <c r="B35" s="119" t="s">
        <v>120</v>
      </c>
      <c r="C35" s="260"/>
      <c r="D35" s="118"/>
      <c r="E35" s="15"/>
      <c r="F35" s="15"/>
      <c r="G35" s="15"/>
      <c r="H35" s="15" t="s">
        <v>287</v>
      </c>
      <c r="I35" s="116" t="str">
        <f t="shared" si="1"/>
        <v>-</v>
      </c>
      <c r="J35" s="120"/>
      <c r="K35" s="195" t="str">
        <f t="shared" si="2"/>
        <v/>
      </c>
      <c r="L35" s="188" t="str">
        <f t="shared" si="3"/>
        <v/>
      </c>
      <c r="N35" s="185" t="str">
        <f t="array" ref="N35">IFERROR(INDEX($K$9:$K$59,MATCH(0,COUNTIF($N$8:$N34,$K$9:$K$59),0)),"")</f>
        <v/>
      </c>
      <c r="O35" s="175">
        <f t="array" ref="O35">IF(AND($N35&lt;&gt;"",O$8&lt;&gt;""),COUNTIFS($K$9:$K$59,$N35,$L$9:$L$59,O$8),0)</f>
        <v>0</v>
      </c>
      <c r="P35" s="175">
        <f t="array" ref="P35">IF(AND($N35&lt;&gt;"",P$8&lt;&gt;""),COUNTIFS($K$9:$K$59,$N35,$L$9:$L$59,P$8),0)</f>
        <v>0</v>
      </c>
      <c r="Q35" s="175">
        <f t="array" ref="Q35">IF(AND($N35&lt;&gt;"",Q$8&lt;&gt;""),COUNTIFS($K$9:$K$59,$N35,$L$9:$L$59,Q$8),0)</f>
        <v>0</v>
      </c>
      <c r="R35" s="175">
        <f t="array" ref="R35">IF(AND($N35&lt;&gt;"",R$8&lt;&gt;""),COUNTIFS($K$9:$K$59,$N35,$L$9:$L$59,R$8),0)</f>
        <v>0</v>
      </c>
      <c r="S35" s="175">
        <f t="array" ref="S35">IF(AND($N35&lt;&gt;"",S$8&lt;&gt;""),COUNTIFS($K$9:$K$59,$N35,$L$9:$L$59,S$8),0)</f>
        <v>0</v>
      </c>
      <c r="T35" s="175">
        <f t="array" ref="T35">IF(AND($N35&lt;&gt;"",T$8&lt;&gt;""),COUNTIFS($K$9:$K$59,$N35,$L$9:$L$59,T$8),0)</f>
        <v>0</v>
      </c>
      <c r="U35" s="175">
        <f t="array" ref="U35">IF(AND($N35&lt;&gt;"",U$8&lt;&gt;""),COUNTIFS($K$9:$K$59,$N35,$L$9:$L$59,U$8),0)</f>
        <v>0</v>
      </c>
      <c r="V35" s="175">
        <f t="array" ref="V35">IF(AND($N35&lt;&gt;"",V$8&lt;&gt;""),COUNTIFS($K$9:$K$59,$N35,$L$9:$L$59,V$8),0)</f>
        <v>0</v>
      </c>
      <c r="W35" s="175">
        <f t="array" ref="W35">IF(AND($N35&lt;&gt;"",W$8&lt;&gt;""),COUNTIFS($K$9:$K$59,$N35,$L$9:$L$59,W$8),0)</f>
        <v>0</v>
      </c>
      <c r="X35" s="175">
        <f t="array" ref="X35">IF(AND($N35&lt;&gt;"",X$8&lt;&gt;""),COUNTIFS($K$9:$K$59,$N35,$L$9:$L$59,X$8),0)</f>
        <v>0</v>
      </c>
      <c r="Y35" s="175">
        <f t="array" ref="Y35">IF(AND($N35&lt;&gt;"",Y$8&lt;&gt;""),COUNTIFS($K$9:$K$59,$N35,$L$9:$L$59,Y$8),0)</f>
        <v>0</v>
      </c>
      <c r="Z35" s="175">
        <f t="array" ref="Z35">IF(AND($N35&lt;&gt;"",Z$8&lt;&gt;""),COUNTIFS($K$9:$K$59,$N35,$L$9:$L$59,Z$8),0)</f>
        <v>0</v>
      </c>
      <c r="AA35" s="175">
        <f t="array" ref="AA35">IF(AND($N35&lt;&gt;"",AA$8&lt;&gt;""),COUNTIFS($K$9:$K$59,$N35,$L$9:$L$59,AA$8),0)</f>
        <v>0</v>
      </c>
      <c r="AB35" s="175">
        <f t="array" ref="AB35">IF(AND($N35&lt;&gt;"",AB$8&lt;&gt;""),COUNTIFS($K$9:$K$59,$N35,$L$9:$L$59,AB$8),0)</f>
        <v>0</v>
      </c>
      <c r="AC35" s="175">
        <f t="array" ref="AC35">IF(AND($N35&lt;&gt;"",AC$8&lt;&gt;""),COUNTIFS($K$9:$K$59,$N35,$L$9:$L$59,AC$8),0)</f>
        <v>0</v>
      </c>
      <c r="AD35" s="175">
        <f t="array" ref="AD35">IF(AND($N35&lt;&gt;"",AD$8&lt;&gt;""),COUNTIFS($K$9:$K$59,$N35,$L$9:$L$59,AD$8),0)</f>
        <v>0</v>
      </c>
      <c r="AE35" s="175">
        <f t="array" ref="AE35">IF(AND($N35&lt;&gt;"",AE$8&lt;&gt;""),COUNTIFS($K$9:$K$59,$N35,$L$9:$L$59,AE$8),0)</f>
        <v>0</v>
      </c>
      <c r="AF35" s="175">
        <f t="array" ref="AF35">IF(AND($N35&lt;&gt;"",AF$8&lt;&gt;""),COUNTIFS($K$9:$K$59,$N35,$L$9:$L$59,AF$8),0)</f>
        <v>0</v>
      </c>
      <c r="AG35" s="175">
        <f t="array" ref="AG35">IF(AND($N35&lt;&gt;"",AG$8&lt;&gt;""),COUNTIFS($K$9:$K$59,$N35,$L$9:$L$59,AG$8),0)</f>
        <v>0</v>
      </c>
      <c r="AH35" s="175">
        <f t="array" ref="AH35">IF(AND($N35&lt;&gt;"",AH$8&lt;&gt;""),COUNTIFS($K$9:$K$59,$N35,$L$9:$L$59,AH$8),0)</f>
        <v>0</v>
      </c>
      <c r="AI35" s="175">
        <f t="array" ref="AI35">IF(AND($N35&lt;&gt;"",AI$8&lt;&gt;""),COUNTIFS($K$9:$K$59,$N35,$L$9:$L$59,AI$8),0)</f>
        <v>0</v>
      </c>
      <c r="AJ35" s="175">
        <f t="array" ref="AJ35">IF(AND($N35&lt;&gt;"",AJ$8&lt;&gt;""),COUNTIFS($K$9:$K$59,$N35,$L$9:$L$59,AJ$8),0)</f>
        <v>0</v>
      </c>
      <c r="AK35" s="175">
        <f t="array" ref="AK35">IF(AND($N35&lt;&gt;"",AK$8&lt;&gt;""),COUNTIFS($K$9:$K$59,$N35,$L$9:$L$59,AK$8),0)</f>
        <v>0</v>
      </c>
      <c r="AL35" s="175">
        <f t="array" ref="AL35">IF(AND($N35&lt;&gt;"",AL$8&lt;&gt;""),COUNTIFS($K$9:$K$59,$N35,$L$9:$L$59,AL$8),0)</f>
        <v>0</v>
      </c>
      <c r="AM35" s="175">
        <f t="array" ref="AM35">IF(AND($N35&lt;&gt;"",AM$8&lt;&gt;""),COUNTIFS($K$9:$K$59,$N35,$L$9:$L$59,AM$8),0)</f>
        <v>0</v>
      </c>
      <c r="AN35" s="175">
        <f t="array" ref="AN35">IF(AND($N35&lt;&gt;"",AN$8&lt;&gt;""),COUNTIFS($K$9:$K$59,$N35,$L$9:$L$59,AN$8),0)</f>
        <v>0</v>
      </c>
      <c r="AO35" s="175">
        <f t="array" ref="AO35">IF(AND($N35&lt;&gt;"",AO$8&lt;&gt;""),COUNTIFS($K$9:$K$59,$N35,$L$9:$L$59,AO$8),0)</f>
        <v>0</v>
      </c>
      <c r="AP35" s="175">
        <f t="array" ref="AP35">IF(AND($N35&lt;&gt;"",AP$8&lt;&gt;""),COUNTIFS($K$9:$K$59,$N35,$L$9:$L$59,AP$8),0)</f>
        <v>0</v>
      </c>
      <c r="AQ35" s="175">
        <f t="array" ref="AQ35">IF(AND($N35&lt;&gt;"",AQ$8&lt;&gt;""),COUNTIFS($K$9:$K$59,$N35,$L$9:$L$59,AQ$8),0)</f>
        <v>0</v>
      </c>
      <c r="AR35" s="175">
        <f t="array" ref="AR35">IF(AND($N35&lt;&gt;"",AR$8&lt;&gt;""),COUNTIFS($K$9:$K$59,$N35,$L$9:$L$59,AR$8),0)</f>
        <v>0</v>
      </c>
      <c r="AS35" s="175">
        <f t="array" ref="AS35">IF(AND($N35&lt;&gt;"",AS$8&lt;&gt;""),COUNTIFS($K$9:$K$59,$N35,$L$9:$L$59,AS$8),0)</f>
        <v>0</v>
      </c>
      <c r="AT35" s="175">
        <f t="array" ref="AT35">IF(AND($N35&lt;&gt;"",AT$8&lt;&gt;""),COUNTIFS($K$9:$K$59,$N35,$L$9:$L$59,AT$8),0)</f>
        <v>0</v>
      </c>
      <c r="AU35" s="175">
        <f t="array" ref="AU35">IF(AND($N35&lt;&gt;"",AU$8&lt;&gt;""),COUNTIFS($K$9:$K$59,$N35,$L$9:$L$59,AU$8),0)</f>
        <v>0</v>
      </c>
      <c r="AV35" s="175">
        <f t="array" ref="AV35">IF(AND($N35&lt;&gt;"",AV$8&lt;&gt;""),COUNTIFS($K$9:$K$59,$N35,$L$9:$L$59,AV$8),0)</f>
        <v>0</v>
      </c>
      <c r="AW35" s="175">
        <f t="array" ref="AW35">IF(AND($N35&lt;&gt;"",AW$8&lt;&gt;""),COUNTIFS($K$9:$K$59,$N35,$L$9:$L$59,AW$8),0)</f>
        <v>0</v>
      </c>
      <c r="AX35" s="175">
        <f t="array" ref="AX35">IF(AND($N35&lt;&gt;"",AX$8&lt;&gt;""),COUNTIFS($K$9:$K$59,$N35,$L$9:$L$59,AX$8),0)</f>
        <v>0</v>
      </c>
      <c r="AY35" s="175">
        <f t="array" ref="AY35">IF(AND($N35&lt;&gt;"",AY$8&lt;&gt;""),COUNTIFS($K$9:$K$59,$N35,$L$9:$L$59,AY$8),0)</f>
        <v>0</v>
      </c>
      <c r="AZ35" s="175">
        <f t="array" ref="AZ35">IF(AND($N35&lt;&gt;"",AZ$8&lt;&gt;""),COUNTIFS($K$9:$K$59,$N35,$L$9:$L$59,AZ$8),0)</f>
        <v>0</v>
      </c>
      <c r="BA35" s="175">
        <f t="array" ref="BA35">IF(AND($N35&lt;&gt;"",BA$8&lt;&gt;""),COUNTIFS($K$9:$K$59,$N35,$L$9:$L$59,BA$8),0)</f>
        <v>0</v>
      </c>
      <c r="BB35" s="175">
        <f t="array" ref="BB35">IF(AND($N35&lt;&gt;"",BB$8&lt;&gt;""),COUNTIFS($K$9:$K$59,$N35,$L$9:$L$59,BB$8),0)</f>
        <v>0</v>
      </c>
      <c r="BC35" s="175">
        <f t="array" ref="BC35">IF(AND($N35&lt;&gt;"",BC$8&lt;&gt;""),COUNTIFS($K$9:$K$59,$N35,$L$9:$L$59,BC$8),0)</f>
        <v>0</v>
      </c>
      <c r="BD35" s="175">
        <f t="array" ref="BD35">IF(AND($N35&lt;&gt;"",BD$8&lt;&gt;""),COUNTIFS($K$9:$K$59,$N35,$L$9:$L$59,BD$8),0)</f>
        <v>0</v>
      </c>
      <c r="BE35" s="175">
        <f t="array" ref="BE35">IF(AND($N35&lt;&gt;"",BE$8&lt;&gt;""),COUNTIFS($K$9:$K$59,$N35,$L$9:$L$59,BE$8),0)</f>
        <v>0</v>
      </c>
      <c r="BF35" s="175">
        <f t="array" ref="BF35">IF(AND($N35&lt;&gt;"",BF$8&lt;&gt;""),COUNTIFS($K$9:$K$59,$N35,$L$9:$L$59,BF$8),0)</f>
        <v>0</v>
      </c>
      <c r="BG35" s="175">
        <f t="array" ref="BG35">IF(AND($N35&lt;&gt;"",BG$8&lt;&gt;""),COUNTIFS($K$9:$K$59,$N35,$L$9:$L$59,BG$8),0)</f>
        <v>0</v>
      </c>
      <c r="BH35" s="175">
        <f t="array" ref="BH35">IF(AND($N35&lt;&gt;"",BH$8&lt;&gt;""),COUNTIFS($K$9:$K$59,$N35,$L$9:$L$59,BH$8),0)</f>
        <v>0</v>
      </c>
      <c r="BI35" s="175">
        <f t="array" ref="BI35">IF(AND($N35&lt;&gt;"",BI$8&lt;&gt;""),COUNTIFS($K$9:$K$59,$N35,$L$9:$L$59,BI$8),0)</f>
        <v>0</v>
      </c>
      <c r="BJ35" s="175">
        <f t="array" ref="BJ35">IF(AND($N35&lt;&gt;"",BJ$8&lt;&gt;""),COUNTIFS($K$9:$K$59,$N35,$L$9:$L$59,BJ$8),0)</f>
        <v>0</v>
      </c>
      <c r="BK35" s="175">
        <f t="array" ref="BK35">IF(AND($N35&lt;&gt;"",BK$8&lt;&gt;""),COUNTIFS($K$9:$K$59,$N35,$L$9:$L$59,BK$8),0)</f>
        <v>0</v>
      </c>
      <c r="BL35" s="175">
        <f t="array" ref="BL35">IF(AND($N35&lt;&gt;"",BL$8&lt;&gt;""),COUNTIFS($K$9:$K$59,$N35,$L$9:$L$59,BL$8),0)</f>
        <v>0</v>
      </c>
    </row>
    <row r="36" spans="2:64" s="22" customFormat="1" x14ac:dyDescent="0.2">
      <c r="B36" s="119" t="s">
        <v>121</v>
      </c>
      <c r="C36" s="260"/>
      <c r="D36" s="118"/>
      <c r="E36" s="15"/>
      <c r="F36" s="15"/>
      <c r="G36" s="15"/>
      <c r="H36" s="15" t="s">
        <v>287</v>
      </c>
      <c r="I36" s="116" t="str">
        <f t="shared" si="1"/>
        <v>-</v>
      </c>
      <c r="J36" s="120"/>
      <c r="K36" s="195" t="str">
        <f t="shared" si="2"/>
        <v/>
      </c>
      <c r="L36" s="188" t="str">
        <f t="shared" si="3"/>
        <v/>
      </c>
      <c r="N36" s="185" t="str">
        <f t="array" ref="N36">IFERROR(INDEX($K$9:$K$59,MATCH(0,COUNTIF($N$8:$N35,$K$9:$K$59),0)),"")</f>
        <v/>
      </c>
      <c r="O36" s="175">
        <f t="array" ref="O36">IF(AND($N36&lt;&gt;"",O$8&lt;&gt;""),COUNTIFS($K$9:$K$59,$N36,$L$9:$L$59,O$8),0)</f>
        <v>0</v>
      </c>
      <c r="P36" s="175">
        <f t="array" ref="P36">IF(AND($N36&lt;&gt;"",P$8&lt;&gt;""),COUNTIFS($K$9:$K$59,$N36,$L$9:$L$59,P$8),0)</f>
        <v>0</v>
      </c>
      <c r="Q36" s="175">
        <f t="array" ref="Q36">IF(AND($N36&lt;&gt;"",Q$8&lt;&gt;""),COUNTIFS($K$9:$K$59,$N36,$L$9:$L$59,Q$8),0)</f>
        <v>0</v>
      </c>
      <c r="R36" s="175">
        <f t="array" ref="R36">IF(AND($N36&lt;&gt;"",R$8&lt;&gt;""),COUNTIFS($K$9:$K$59,$N36,$L$9:$L$59,R$8),0)</f>
        <v>0</v>
      </c>
      <c r="S36" s="175">
        <f t="array" ref="S36">IF(AND($N36&lt;&gt;"",S$8&lt;&gt;""),COUNTIFS($K$9:$K$59,$N36,$L$9:$L$59,S$8),0)</f>
        <v>0</v>
      </c>
      <c r="T36" s="175">
        <f t="array" ref="T36">IF(AND($N36&lt;&gt;"",T$8&lt;&gt;""),COUNTIFS($K$9:$K$59,$N36,$L$9:$L$59,T$8),0)</f>
        <v>0</v>
      </c>
      <c r="U36" s="175">
        <f t="array" ref="U36">IF(AND($N36&lt;&gt;"",U$8&lt;&gt;""),COUNTIFS($K$9:$K$59,$N36,$L$9:$L$59,U$8),0)</f>
        <v>0</v>
      </c>
      <c r="V36" s="175">
        <f t="array" ref="V36">IF(AND($N36&lt;&gt;"",V$8&lt;&gt;""),COUNTIFS($K$9:$K$59,$N36,$L$9:$L$59,V$8),0)</f>
        <v>0</v>
      </c>
      <c r="W36" s="175">
        <f t="array" ref="W36">IF(AND($N36&lt;&gt;"",W$8&lt;&gt;""),COUNTIFS($K$9:$K$59,$N36,$L$9:$L$59,W$8),0)</f>
        <v>0</v>
      </c>
      <c r="X36" s="175">
        <f t="array" ref="X36">IF(AND($N36&lt;&gt;"",X$8&lt;&gt;""),COUNTIFS($K$9:$K$59,$N36,$L$9:$L$59,X$8),0)</f>
        <v>0</v>
      </c>
      <c r="Y36" s="175">
        <f t="array" ref="Y36">IF(AND($N36&lt;&gt;"",Y$8&lt;&gt;""),COUNTIFS($K$9:$K$59,$N36,$L$9:$L$59,Y$8),0)</f>
        <v>0</v>
      </c>
      <c r="Z36" s="175">
        <f t="array" ref="Z36">IF(AND($N36&lt;&gt;"",Z$8&lt;&gt;""),COUNTIFS($K$9:$K$59,$N36,$L$9:$L$59,Z$8),0)</f>
        <v>0</v>
      </c>
      <c r="AA36" s="175">
        <f t="array" ref="AA36">IF(AND($N36&lt;&gt;"",AA$8&lt;&gt;""),COUNTIFS($K$9:$K$59,$N36,$L$9:$L$59,AA$8),0)</f>
        <v>0</v>
      </c>
      <c r="AB36" s="175">
        <f t="array" ref="AB36">IF(AND($N36&lt;&gt;"",AB$8&lt;&gt;""),COUNTIFS($K$9:$K$59,$N36,$L$9:$L$59,AB$8),0)</f>
        <v>0</v>
      </c>
      <c r="AC36" s="175">
        <f t="array" ref="AC36">IF(AND($N36&lt;&gt;"",AC$8&lt;&gt;""),COUNTIFS($K$9:$K$59,$N36,$L$9:$L$59,AC$8),0)</f>
        <v>0</v>
      </c>
      <c r="AD36" s="175">
        <f t="array" ref="AD36">IF(AND($N36&lt;&gt;"",AD$8&lt;&gt;""),COUNTIFS($K$9:$K$59,$N36,$L$9:$L$59,AD$8),0)</f>
        <v>0</v>
      </c>
      <c r="AE36" s="175">
        <f t="array" ref="AE36">IF(AND($N36&lt;&gt;"",AE$8&lt;&gt;""),COUNTIFS($K$9:$K$59,$N36,$L$9:$L$59,AE$8),0)</f>
        <v>0</v>
      </c>
      <c r="AF36" s="175">
        <f t="array" ref="AF36">IF(AND($N36&lt;&gt;"",AF$8&lt;&gt;""),COUNTIFS($K$9:$K$59,$N36,$L$9:$L$59,AF$8),0)</f>
        <v>0</v>
      </c>
      <c r="AG36" s="175">
        <f t="array" ref="AG36">IF(AND($N36&lt;&gt;"",AG$8&lt;&gt;""),COUNTIFS($K$9:$K$59,$N36,$L$9:$L$59,AG$8),0)</f>
        <v>0</v>
      </c>
      <c r="AH36" s="175">
        <f t="array" ref="AH36">IF(AND($N36&lt;&gt;"",AH$8&lt;&gt;""),COUNTIFS($K$9:$K$59,$N36,$L$9:$L$59,AH$8),0)</f>
        <v>0</v>
      </c>
      <c r="AI36" s="175">
        <f t="array" ref="AI36">IF(AND($N36&lt;&gt;"",AI$8&lt;&gt;""),COUNTIFS($K$9:$K$59,$N36,$L$9:$L$59,AI$8),0)</f>
        <v>0</v>
      </c>
      <c r="AJ36" s="175">
        <f t="array" ref="AJ36">IF(AND($N36&lt;&gt;"",AJ$8&lt;&gt;""),COUNTIFS($K$9:$K$59,$N36,$L$9:$L$59,AJ$8),0)</f>
        <v>0</v>
      </c>
      <c r="AK36" s="175">
        <f t="array" ref="AK36">IF(AND($N36&lt;&gt;"",AK$8&lt;&gt;""),COUNTIFS($K$9:$K$59,$N36,$L$9:$L$59,AK$8),0)</f>
        <v>0</v>
      </c>
      <c r="AL36" s="175">
        <f t="array" ref="AL36">IF(AND($N36&lt;&gt;"",AL$8&lt;&gt;""),COUNTIFS($K$9:$K$59,$N36,$L$9:$L$59,AL$8),0)</f>
        <v>0</v>
      </c>
      <c r="AM36" s="175">
        <f t="array" ref="AM36">IF(AND($N36&lt;&gt;"",AM$8&lt;&gt;""),COUNTIFS($K$9:$K$59,$N36,$L$9:$L$59,AM$8),0)</f>
        <v>0</v>
      </c>
      <c r="AN36" s="175">
        <f t="array" ref="AN36">IF(AND($N36&lt;&gt;"",AN$8&lt;&gt;""),COUNTIFS($K$9:$K$59,$N36,$L$9:$L$59,AN$8),0)</f>
        <v>0</v>
      </c>
      <c r="AO36" s="175">
        <f t="array" ref="AO36">IF(AND($N36&lt;&gt;"",AO$8&lt;&gt;""),COUNTIFS($K$9:$K$59,$N36,$L$9:$L$59,AO$8),0)</f>
        <v>0</v>
      </c>
      <c r="AP36" s="175">
        <f t="array" ref="AP36">IF(AND($N36&lt;&gt;"",AP$8&lt;&gt;""),COUNTIFS($K$9:$K$59,$N36,$L$9:$L$59,AP$8),0)</f>
        <v>0</v>
      </c>
      <c r="AQ36" s="175">
        <f t="array" ref="AQ36">IF(AND($N36&lt;&gt;"",AQ$8&lt;&gt;""),COUNTIFS($K$9:$K$59,$N36,$L$9:$L$59,AQ$8),0)</f>
        <v>0</v>
      </c>
      <c r="AR36" s="175">
        <f t="array" ref="AR36">IF(AND($N36&lt;&gt;"",AR$8&lt;&gt;""),COUNTIFS($K$9:$K$59,$N36,$L$9:$L$59,AR$8),0)</f>
        <v>0</v>
      </c>
      <c r="AS36" s="175">
        <f t="array" ref="AS36">IF(AND($N36&lt;&gt;"",AS$8&lt;&gt;""),COUNTIFS($K$9:$K$59,$N36,$L$9:$L$59,AS$8),0)</f>
        <v>0</v>
      </c>
      <c r="AT36" s="175">
        <f t="array" ref="AT36">IF(AND($N36&lt;&gt;"",AT$8&lt;&gt;""),COUNTIFS($K$9:$K$59,$N36,$L$9:$L$59,AT$8),0)</f>
        <v>0</v>
      </c>
      <c r="AU36" s="175">
        <f t="array" ref="AU36">IF(AND($N36&lt;&gt;"",AU$8&lt;&gt;""),COUNTIFS($K$9:$K$59,$N36,$L$9:$L$59,AU$8),0)</f>
        <v>0</v>
      </c>
      <c r="AV36" s="175">
        <f t="array" ref="AV36">IF(AND($N36&lt;&gt;"",AV$8&lt;&gt;""),COUNTIFS($K$9:$K$59,$N36,$L$9:$L$59,AV$8),0)</f>
        <v>0</v>
      </c>
      <c r="AW36" s="175">
        <f t="array" ref="AW36">IF(AND($N36&lt;&gt;"",AW$8&lt;&gt;""),COUNTIFS($K$9:$K$59,$N36,$L$9:$L$59,AW$8),0)</f>
        <v>0</v>
      </c>
      <c r="AX36" s="175">
        <f t="array" ref="AX36">IF(AND($N36&lt;&gt;"",AX$8&lt;&gt;""),COUNTIFS($K$9:$K$59,$N36,$L$9:$L$59,AX$8),0)</f>
        <v>0</v>
      </c>
      <c r="AY36" s="175">
        <f t="array" ref="AY36">IF(AND($N36&lt;&gt;"",AY$8&lt;&gt;""),COUNTIFS($K$9:$K$59,$N36,$L$9:$L$59,AY$8),0)</f>
        <v>0</v>
      </c>
      <c r="AZ36" s="175">
        <f t="array" ref="AZ36">IF(AND($N36&lt;&gt;"",AZ$8&lt;&gt;""),COUNTIFS($K$9:$K$59,$N36,$L$9:$L$59,AZ$8),0)</f>
        <v>0</v>
      </c>
      <c r="BA36" s="175">
        <f t="array" ref="BA36">IF(AND($N36&lt;&gt;"",BA$8&lt;&gt;""),COUNTIFS($K$9:$K$59,$N36,$L$9:$L$59,BA$8),0)</f>
        <v>0</v>
      </c>
      <c r="BB36" s="175">
        <f t="array" ref="BB36">IF(AND($N36&lt;&gt;"",BB$8&lt;&gt;""),COUNTIFS($K$9:$K$59,$N36,$L$9:$L$59,BB$8),0)</f>
        <v>0</v>
      </c>
      <c r="BC36" s="175">
        <f t="array" ref="BC36">IF(AND($N36&lt;&gt;"",BC$8&lt;&gt;""),COUNTIFS($K$9:$K$59,$N36,$L$9:$L$59,BC$8),0)</f>
        <v>0</v>
      </c>
      <c r="BD36" s="175">
        <f t="array" ref="BD36">IF(AND($N36&lt;&gt;"",BD$8&lt;&gt;""),COUNTIFS($K$9:$K$59,$N36,$L$9:$L$59,BD$8),0)</f>
        <v>0</v>
      </c>
      <c r="BE36" s="175">
        <f t="array" ref="BE36">IF(AND($N36&lt;&gt;"",BE$8&lt;&gt;""),COUNTIFS($K$9:$K$59,$N36,$L$9:$L$59,BE$8),0)</f>
        <v>0</v>
      </c>
      <c r="BF36" s="175">
        <f t="array" ref="BF36">IF(AND($N36&lt;&gt;"",BF$8&lt;&gt;""),COUNTIFS($K$9:$K$59,$N36,$L$9:$L$59,BF$8),0)</f>
        <v>0</v>
      </c>
      <c r="BG36" s="175">
        <f t="array" ref="BG36">IF(AND($N36&lt;&gt;"",BG$8&lt;&gt;""),COUNTIFS($K$9:$K$59,$N36,$L$9:$L$59,BG$8),0)</f>
        <v>0</v>
      </c>
      <c r="BH36" s="175">
        <f t="array" ref="BH36">IF(AND($N36&lt;&gt;"",BH$8&lt;&gt;""),COUNTIFS($K$9:$K$59,$N36,$L$9:$L$59,BH$8),0)</f>
        <v>0</v>
      </c>
      <c r="BI36" s="175">
        <f t="array" ref="BI36">IF(AND($N36&lt;&gt;"",BI$8&lt;&gt;""),COUNTIFS($K$9:$K$59,$N36,$L$9:$L$59,BI$8),0)</f>
        <v>0</v>
      </c>
      <c r="BJ36" s="175">
        <f t="array" ref="BJ36">IF(AND($N36&lt;&gt;"",BJ$8&lt;&gt;""),COUNTIFS($K$9:$K$59,$N36,$L$9:$L$59,BJ$8),0)</f>
        <v>0</v>
      </c>
      <c r="BK36" s="175">
        <f t="array" ref="BK36">IF(AND($N36&lt;&gt;"",BK$8&lt;&gt;""),COUNTIFS($K$9:$K$59,$N36,$L$9:$L$59,BK$8),0)</f>
        <v>0</v>
      </c>
      <c r="BL36" s="175">
        <f t="array" ref="BL36">IF(AND($N36&lt;&gt;"",BL$8&lt;&gt;""),COUNTIFS($K$9:$K$59,$N36,$L$9:$L$59,BL$8),0)</f>
        <v>0</v>
      </c>
    </row>
    <row r="37" spans="2:64" s="22" customFormat="1" x14ac:dyDescent="0.2">
      <c r="B37" s="119" t="s">
        <v>122</v>
      </c>
      <c r="C37" s="260"/>
      <c r="D37" s="118"/>
      <c r="E37" s="15"/>
      <c r="F37" s="15"/>
      <c r="G37" s="15"/>
      <c r="H37" s="15" t="s">
        <v>287</v>
      </c>
      <c r="I37" s="116" t="str">
        <f t="shared" si="1"/>
        <v>-</v>
      </c>
      <c r="J37" s="120"/>
      <c r="K37" s="195" t="str">
        <f t="shared" si="2"/>
        <v/>
      </c>
      <c r="L37" s="188" t="str">
        <f t="shared" si="3"/>
        <v/>
      </c>
      <c r="N37" s="185" t="str">
        <f t="array" ref="N37">IFERROR(INDEX($K$9:$K$59,MATCH(0,COUNTIF($N$8:$N36,$K$9:$K$59),0)),"")</f>
        <v/>
      </c>
      <c r="O37" s="175">
        <f t="array" ref="O37">IF(AND($N37&lt;&gt;"",O$8&lt;&gt;""),COUNTIFS($K$9:$K$59,$N37,$L$9:$L$59,O$8),0)</f>
        <v>0</v>
      </c>
      <c r="P37" s="175">
        <f t="array" ref="P37">IF(AND($N37&lt;&gt;"",P$8&lt;&gt;""),COUNTIFS($K$9:$K$59,$N37,$L$9:$L$59,P$8),0)</f>
        <v>0</v>
      </c>
      <c r="Q37" s="175">
        <f t="array" ref="Q37">IF(AND($N37&lt;&gt;"",Q$8&lt;&gt;""),COUNTIFS($K$9:$K$59,$N37,$L$9:$L$59,Q$8),0)</f>
        <v>0</v>
      </c>
      <c r="R37" s="175">
        <f t="array" ref="R37">IF(AND($N37&lt;&gt;"",R$8&lt;&gt;""),COUNTIFS($K$9:$K$59,$N37,$L$9:$L$59,R$8),0)</f>
        <v>0</v>
      </c>
      <c r="S37" s="175">
        <f t="array" ref="S37">IF(AND($N37&lt;&gt;"",S$8&lt;&gt;""),COUNTIFS($K$9:$K$59,$N37,$L$9:$L$59,S$8),0)</f>
        <v>0</v>
      </c>
      <c r="T37" s="175">
        <f t="array" ref="T37">IF(AND($N37&lt;&gt;"",T$8&lt;&gt;""),COUNTIFS($K$9:$K$59,$N37,$L$9:$L$59,T$8),0)</f>
        <v>0</v>
      </c>
      <c r="U37" s="175">
        <f t="array" ref="U37">IF(AND($N37&lt;&gt;"",U$8&lt;&gt;""),COUNTIFS($K$9:$K$59,$N37,$L$9:$L$59,U$8),0)</f>
        <v>0</v>
      </c>
      <c r="V37" s="175">
        <f t="array" ref="V37">IF(AND($N37&lt;&gt;"",V$8&lt;&gt;""),COUNTIFS($K$9:$K$59,$N37,$L$9:$L$59,V$8),0)</f>
        <v>0</v>
      </c>
      <c r="W37" s="175">
        <f t="array" ref="W37">IF(AND($N37&lt;&gt;"",W$8&lt;&gt;""),COUNTIFS($K$9:$K$59,$N37,$L$9:$L$59,W$8),0)</f>
        <v>0</v>
      </c>
      <c r="X37" s="175">
        <f t="array" ref="X37">IF(AND($N37&lt;&gt;"",X$8&lt;&gt;""),COUNTIFS($K$9:$K$59,$N37,$L$9:$L$59,X$8),0)</f>
        <v>0</v>
      </c>
      <c r="Y37" s="175">
        <f t="array" ref="Y37">IF(AND($N37&lt;&gt;"",Y$8&lt;&gt;""),COUNTIFS($K$9:$K$59,$N37,$L$9:$L$59,Y$8),0)</f>
        <v>0</v>
      </c>
      <c r="Z37" s="175">
        <f t="array" ref="Z37">IF(AND($N37&lt;&gt;"",Z$8&lt;&gt;""),COUNTIFS($K$9:$K$59,$N37,$L$9:$L$59,Z$8),0)</f>
        <v>0</v>
      </c>
      <c r="AA37" s="175">
        <f t="array" ref="AA37">IF(AND($N37&lt;&gt;"",AA$8&lt;&gt;""),COUNTIFS($K$9:$K$59,$N37,$L$9:$L$59,AA$8),0)</f>
        <v>0</v>
      </c>
      <c r="AB37" s="175">
        <f t="array" ref="AB37">IF(AND($N37&lt;&gt;"",AB$8&lt;&gt;""),COUNTIFS($K$9:$K$59,$N37,$L$9:$L$59,AB$8),0)</f>
        <v>0</v>
      </c>
      <c r="AC37" s="175">
        <f t="array" ref="AC37">IF(AND($N37&lt;&gt;"",AC$8&lt;&gt;""),COUNTIFS($K$9:$K$59,$N37,$L$9:$L$59,AC$8),0)</f>
        <v>0</v>
      </c>
      <c r="AD37" s="175">
        <f t="array" ref="AD37">IF(AND($N37&lt;&gt;"",AD$8&lt;&gt;""),COUNTIFS($K$9:$K$59,$N37,$L$9:$L$59,AD$8),0)</f>
        <v>0</v>
      </c>
      <c r="AE37" s="175">
        <f t="array" ref="AE37">IF(AND($N37&lt;&gt;"",AE$8&lt;&gt;""),COUNTIFS($K$9:$K$59,$N37,$L$9:$L$59,AE$8),0)</f>
        <v>0</v>
      </c>
      <c r="AF37" s="175">
        <f t="array" ref="AF37">IF(AND($N37&lt;&gt;"",AF$8&lt;&gt;""),COUNTIFS($K$9:$K$59,$N37,$L$9:$L$59,AF$8),0)</f>
        <v>0</v>
      </c>
      <c r="AG37" s="175">
        <f t="array" ref="AG37">IF(AND($N37&lt;&gt;"",AG$8&lt;&gt;""),COUNTIFS($K$9:$K$59,$N37,$L$9:$L$59,AG$8),0)</f>
        <v>0</v>
      </c>
      <c r="AH37" s="175">
        <f t="array" ref="AH37">IF(AND($N37&lt;&gt;"",AH$8&lt;&gt;""),COUNTIFS($K$9:$K$59,$N37,$L$9:$L$59,AH$8),0)</f>
        <v>0</v>
      </c>
      <c r="AI37" s="175">
        <f t="array" ref="AI37">IF(AND($N37&lt;&gt;"",AI$8&lt;&gt;""),COUNTIFS($K$9:$K$59,$N37,$L$9:$L$59,AI$8),0)</f>
        <v>0</v>
      </c>
      <c r="AJ37" s="175">
        <f t="array" ref="AJ37">IF(AND($N37&lt;&gt;"",AJ$8&lt;&gt;""),COUNTIFS($K$9:$K$59,$N37,$L$9:$L$59,AJ$8),0)</f>
        <v>0</v>
      </c>
      <c r="AK37" s="175">
        <f t="array" ref="AK37">IF(AND($N37&lt;&gt;"",AK$8&lt;&gt;""),COUNTIFS($K$9:$K$59,$N37,$L$9:$L$59,AK$8),0)</f>
        <v>0</v>
      </c>
      <c r="AL37" s="175">
        <f t="array" ref="AL37">IF(AND($N37&lt;&gt;"",AL$8&lt;&gt;""),COUNTIFS($K$9:$K$59,$N37,$L$9:$L$59,AL$8),0)</f>
        <v>0</v>
      </c>
      <c r="AM37" s="175">
        <f t="array" ref="AM37">IF(AND($N37&lt;&gt;"",AM$8&lt;&gt;""),COUNTIFS($K$9:$K$59,$N37,$L$9:$L$59,AM$8),0)</f>
        <v>0</v>
      </c>
      <c r="AN37" s="175">
        <f t="array" ref="AN37">IF(AND($N37&lt;&gt;"",AN$8&lt;&gt;""),COUNTIFS($K$9:$K$59,$N37,$L$9:$L$59,AN$8),0)</f>
        <v>0</v>
      </c>
      <c r="AO37" s="175">
        <f t="array" ref="AO37">IF(AND($N37&lt;&gt;"",AO$8&lt;&gt;""),COUNTIFS($K$9:$K$59,$N37,$L$9:$L$59,AO$8),0)</f>
        <v>0</v>
      </c>
      <c r="AP37" s="175">
        <f t="array" ref="AP37">IF(AND($N37&lt;&gt;"",AP$8&lt;&gt;""),COUNTIFS($K$9:$K$59,$N37,$L$9:$L$59,AP$8),0)</f>
        <v>0</v>
      </c>
      <c r="AQ37" s="175">
        <f t="array" ref="AQ37">IF(AND($N37&lt;&gt;"",AQ$8&lt;&gt;""),COUNTIFS($K$9:$K$59,$N37,$L$9:$L$59,AQ$8),0)</f>
        <v>0</v>
      </c>
      <c r="AR37" s="175">
        <f t="array" ref="AR37">IF(AND($N37&lt;&gt;"",AR$8&lt;&gt;""),COUNTIFS($K$9:$K$59,$N37,$L$9:$L$59,AR$8),0)</f>
        <v>0</v>
      </c>
      <c r="AS37" s="175">
        <f t="array" ref="AS37">IF(AND($N37&lt;&gt;"",AS$8&lt;&gt;""),COUNTIFS($K$9:$K$59,$N37,$L$9:$L$59,AS$8),0)</f>
        <v>0</v>
      </c>
      <c r="AT37" s="175">
        <f t="array" ref="AT37">IF(AND($N37&lt;&gt;"",AT$8&lt;&gt;""),COUNTIFS($K$9:$K$59,$N37,$L$9:$L$59,AT$8),0)</f>
        <v>0</v>
      </c>
      <c r="AU37" s="175">
        <f t="array" ref="AU37">IF(AND($N37&lt;&gt;"",AU$8&lt;&gt;""),COUNTIFS($K$9:$K$59,$N37,$L$9:$L$59,AU$8),0)</f>
        <v>0</v>
      </c>
      <c r="AV37" s="175">
        <f t="array" ref="AV37">IF(AND($N37&lt;&gt;"",AV$8&lt;&gt;""),COUNTIFS($K$9:$K$59,$N37,$L$9:$L$59,AV$8),0)</f>
        <v>0</v>
      </c>
      <c r="AW37" s="175">
        <f t="array" ref="AW37">IF(AND($N37&lt;&gt;"",AW$8&lt;&gt;""),COUNTIFS($K$9:$K$59,$N37,$L$9:$L$59,AW$8),0)</f>
        <v>0</v>
      </c>
      <c r="AX37" s="175">
        <f t="array" ref="AX37">IF(AND($N37&lt;&gt;"",AX$8&lt;&gt;""),COUNTIFS($K$9:$K$59,$N37,$L$9:$L$59,AX$8),0)</f>
        <v>0</v>
      </c>
      <c r="AY37" s="175">
        <f t="array" ref="AY37">IF(AND($N37&lt;&gt;"",AY$8&lt;&gt;""),COUNTIFS($K$9:$K$59,$N37,$L$9:$L$59,AY$8),0)</f>
        <v>0</v>
      </c>
      <c r="AZ37" s="175">
        <f t="array" ref="AZ37">IF(AND($N37&lt;&gt;"",AZ$8&lt;&gt;""),COUNTIFS($K$9:$K$59,$N37,$L$9:$L$59,AZ$8),0)</f>
        <v>0</v>
      </c>
      <c r="BA37" s="175">
        <f t="array" ref="BA37">IF(AND($N37&lt;&gt;"",BA$8&lt;&gt;""),COUNTIFS($K$9:$K$59,$N37,$L$9:$L$59,BA$8),0)</f>
        <v>0</v>
      </c>
      <c r="BB37" s="175">
        <f t="array" ref="BB37">IF(AND($N37&lt;&gt;"",BB$8&lt;&gt;""),COUNTIFS($K$9:$K$59,$N37,$L$9:$L$59,BB$8),0)</f>
        <v>0</v>
      </c>
      <c r="BC37" s="175">
        <f t="array" ref="BC37">IF(AND($N37&lt;&gt;"",BC$8&lt;&gt;""),COUNTIFS($K$9:$K$59,$N37,$L$9:$L$59,BC$8),0)</f>
        <v>0</v>
      </c>
      <c r="BD37" s="175">
        <f t="array" ref="BD37">IF(AND($N37&lt;&gt;"",BD$8&lt;&gt;""),COUNTIFS($K$9:$K$59,$N37,$L$9:$L$59,BD$8),0)</f>
        <v>0</v>
      </c>
      <c r="BE37" s="175">
        <f t="array" ref="BE37">IF(AND($N37&lt;&gt;"",BE$8&lt;&gt;""),COUNTIFS($K$9:$K$59,$N37,$L$9:$L$59,BE$8),0)</f>
        <v>0</v>
      </c>
      <c r="BF37" s="175">
        <f t="array" ref="BF37">IF(AND($N37&lt;&gt;"",BF$8&lt;&gt;""),COUNTIFS($K$9:$K$59,$N37,$L$9:$L$59,BF$8),0)</f>
        <v>0</v>
      </c>
      <c r="BG37" s="175">
        <f t="array" ref="BG37">IF(AND($N37&lt;&gt;"",BG$8&lt;&gt;""),COUNTIFS($K$9:$K$59,$N37,$L$9:$L$59,BG$8),0)</f>
        <v>0</v>
      </c>
      <c r="BH37" s="175">
        <f t="array" ref="BH37">IF(AND($N37&lt;&gt;"",BH$8&lt;&gt;""),COUNTIFS($K$9:$K$59,$N37,$L$9:$L$59,BH$8),0)</f>
        <v>0</v>
      </c>
      <c r="BI37" s="175">
        <f t="array" ref="BI37">IF(AND($N37&lt;&gt;"",BI$8&lt;&gt;""),COUNTIFS($K$9:$K$59,$N37,$L$9:$L$59,BI$8),0)</f>
        <v>0</v>
      </c>
      <c r="BJ37" s="175">
        <f t="array" ref="BJ37">IF(AND($N37&lt;&gt;"",BJ$8&lt;&gt;""),COUNTIFS($K$9:$K$59,$N37,$L$9:$L$59,BJ$8),0)</f>
        <v>0</v>
      </c>
      <c r="BK37" s="175">
        <f t="array" ref="BK37">IF(AND($N37&lt;&gt;"",BK$8&lt;&gt;""),COUNTIFS($K$9:$K$59,$N37,$L$9:$L$59,BK$8),0)</f>
        <v>0</v>
      </c>
      <c r="BL37" s="175">
        <f t="array" ref="BL37">IF(AND($N37&lt;&gt;"",BL$8&lt;&gt;""),COUNTIFS($K$9:$K$59,$N37,$L$9:$L$59,BL$8),0)</f>
        <v>0</v>
      </c>
    </row>
    <row r="38" spans="2:64" s="22" customFormat="1" x14ac:dyDescent="0.2">
      <c r="B38" s="119" t="s">
        <v>123</v>
      </c>
      <c r="C38" s="260"/>
      <c r="D38" s="118"/>
      <c r="E38" s="15"/>
      <c r="F38" s="15"/>
      <c r="G38" s="15"/>
      <c r="H38" s="15" t="s">
        <v>287</v>
      </c>
      <c r="I38" s="116" t="str">
        <f t="shared" si="1"/>
        <v>-</v>
      </c>
      <c r="J38" s="120"/>
      <c r="K38" s="195" t="str">
        <f t="shared" si="2"/>
        <v/>
      </c>
      <c r="L38" s="188" t="str">
        <f t="shared" si="3"/>
        <v/>
      </c>
      <c r="N38" s="185" t="str">
        <f t="array" ref="N38">IFERROR(INDEX($K$9:$K$59,MATCH(0,COUNTIF($N$8:$N37,$K$9:$K$59),0)),"")</f>
        <v/>
      </c>
      <c r="O38" s="175">
        <f t="array" ref="O38">IF(AND($N38&lt;&gt;"",O$8&lt;&gt;""),COUNTIFS($K$9:$K$59,$N38,$L$9:$L$59,O$8),0)</f>
        <v>0</v>
      </c>
      <c r="P38" s="175">
        <f t="array" ref="P38">IF(AND($N38&lt;&gt;"",P$8&lt;&gt;""),COUNTIFS($K$9:$K$59,$N38,$L$9:$L$59,P$8),0)</f>
        <v>0</v>
      </c>
      <c r="Q38" s="175">
        <f t="array" ref="Q38">IF(AND($N38&lt;&gt;"",Q$8&lt;&gt;""),COUNTIFS($K$9:$K$59,$N38,$L$9:$L$59,Q$8),0)</f>
        <v>0</v>
      </c>
      <c r="R38" s="175">
        <f t="array" ref="R38">IF(AND($N38&lt;&gt;"",R$8&lt;&gt;""),COUNTIFS($K$9:$K$59,$N38,$L$9:$L$59,R$8),0)</f>
        <v>0</v>
      </c>
      <c r="S38" s="175">
        <f t="array" ref="S38">IF(AND($N38&lt;&gt;"",S$8&lt;&gt;""),COUNTIFS($K$9:$K$59,$N38,$L$9:$L$59,S$8),0)</f>
        <v>0</v>
      </c>
      <c r="T38" s="175">
        <f t="array" ref="T38">IF(AND($N38&lt;&gt;"",T$8&lt;&gt;""),COUNTIFS($K$9:$K$59,$N38,$L$9:$L$59,T$8),0)</f>
        <v>0</v>
      </c>
      <c r="U38" s="175">
        <f t="array" ref="U38">IF(AND($N38&lt;&gt;"",U$8&lt;&gt;""),COUNTIFS($K$9:$K$59,$N38,$L$9:$L$59,U$8),0)</f>
        <v>0</v>
      </c>
      <c r="V38" s="175">
        <f t="array" ref="V38">IF(AND($N38&lt;&gt;"",V$8&lt;&gt;""),COUNTIFS($K$9:$K$59,$N38,$L$9:$L$59,V$8),0)</f>
        <v>0</v>
      </c>
      <c r="W38" s="175">
        <f t="array" ref="W38">IF(AND($N38&lt;&gt;"",W$8&lt;&gt;""),COUNTIFS($K$9:$K$59,$N38,$L$9:$L$59,W$8),0)</f>
        <v>0</v>
      </c>
      <c r="X38" s="175">
        <f t="array" ref="X38">IF(AND($N38&lt;&gt;"",X$8&lt;&gt;""),COUNTIFS($K$9:$K$59,$N38,$L$9:$L$59,X$8),0)</f>
        <v>0</v>
      </c>
      <c r="Y38" s="175">
        <f t="array" ref="Y38">IF(AND($N38&lt;&gt;"",Y$8&lt;&gt;""),COUNTIFS($K$9:$K$59,$N38,$L$9:$L$59,Y$8),0)</f>
        <v>0</v>
      </c>
      <c r="Z38" s="175">
        <f t="array" ref="Z38">IF(AND($N38&lt;&gt;"",Z$8&lt;&gt;""),COUNTIFS($K$9:$K$59,$N38,$L$9:$L$59,Z$8),0)</f>
        <v>0</v>
      </c>
      <c r="AA38" s="175">
        <f t="array" ref="AA38">IF(AND($N38&lt;&gt;"",AA$8&lt;&gt;""),COUNTIFS($K$9:$K$59,$N38,$L$9:$L$59,AA$8),0)</f>
        <v>0</v>
      </c>
      <c r="AB38" s="175">
        <f t="array" ref="AB38">IF(AND($N38&lt;&gt;"",AB$8&lt;&gt;""),COUNTIFS($K$9:$K$59,$N38,$L$9:$L$59,AB$8),0)</f>
        <v>0</v>
      </c>
      <c r="AC38" s="175">
        <f t="array" ref="AC38">IF(AND($N38&lt;&gt;"",AC$8&lt;&gt;""),COUNTIFS($K$9:$K$59,$N38,$L$9:$L$59,AC$8),0)</f>
        <v>0</v>
      </c>
      <c r="AD38" s="175">
        <f t="array" ref="AD38">IF(AND($N38&lt;&gt;"",AD$8&lt;&gt;""),COUNTIFS($K$9:$K$59,$N38,$L$9:$L$59,AD$8),0)</f>
        <v>0</v>
      </c>
      <c r="AE38" s="175">
        <f t="array" ref="AE38">IF(AND($N38&lt;&gt;"",AE$8&lt;&gt;""),COUNTIFS($K$9:$K$59,$N38,$L$9:$L$59,AE$8),0)</f>
        <v>0</v>
      </c>
      <c r="AF38" s="175">
        <f t="array" ref="AF38">IF(AND($N38&lt;&gt;"",AF$8&lt;&gt;""),COUNTIFS($K$9:$K$59,$N38,$L$9:$L$59,AF$8),0)</f>
        <v>0</v>
      </c>
      <c r="AG38" s="175">
        <f t="array" ref="AG38">IF(AND($N38&lt;&gt;"",AG$8&lt;&gt;""),COUNTIFS($K$9:$K$59,$N38,$L$9:$L$59,AG$8),0)</f>
        <v>0</v>
      </c>
      <c r="AH38" s="175">
        <f t="array" ref="AH38">IF(AND($N38&lt;&gt;"",AH$8&lt;&gt;""),COUNTIFS($K$9:$K$59,$N38,$L$9:$L$59,AH$8),0)</f>
        <v>0</v>
      </c>
      <c r="AI38" s="175">
        <f t="array" ref="AI38">IF(AND($N38&lt;&gt;"",AI$8&lt;&gt;""),COUNTIFS($K$9:$K$59,$N38,$L$9:$L$59,AI$8),0)</f>
        <v>0</v>
      </c>
      <c r="AJ38" s="175">
        <f t="array" ref="AJ38">IF(AND($N38&lt;&gt;"",AJ$8&lt;&gt;""),COUNTIFS($K$9:$K$59,$N38,$L$9:$L$59,AJ$8),0)</f>
        <v>0</v>
      </c>
      <c r="AK38" s="175">
        <f t="array" ref="AK38">IF(AND($N38&lt;&gt;"",AK$8&lt;&gt;""),COUNTIFS($K$9:$K$59,$N38,$L$9:$L$59,AK$8),0)</f>
        <v>0</v>
      </c>
      <c r="AL38" s="175">
        <f t="array" ref="AL38">IF(AND($N38&lt;&gt;"",AL$8&lt;&gt;""),COUNTIFS($K$9:$K$59,$N38,$L$9:$L$59,AL$8),0)</f>
        <v>0</v>
      </c>
      <c r="AM38" s="175">
        <f t="array" ref="AM38">IF(AND($N38&lt;&gt;"",AM$8&lt;&gt;""),COUNTIFS($K$9:$K$59,$N38,$L$9:$L$59,AM$8),0)</f>
        <v>0</v>
      </c>
      <c r="AN38" s="175">
        <f t="array" ref="AN38">IF(AND($N38&lt;&gt;"",AN$8&lt;&gt;""),COUNTIFS($K$9:$K$59,$N38,$L$9:$L$59,AN$8),0)</f>
        <v>0</v>
      </c>
      <c r="AO38" s="175">
        <f t="array" ref="AO38">IF(AND($N38&lt;&gt;"",AO$8&lt;&gt;""),COUNTIFS($K$9:$K$59,$N38,$L$9:$L$59,AO$8),0)</f>
        <v>0</v>
      </c>
      <c r="AP38" s="175">
        <f t="array" ref="AP38">IF(AND($N38&lt;&gt;"",AP$8&lt;&gt;""),COUNTIFS($K$9:$K$59,$N38,$L$9:$L$59,AP$8),0)</f>
        <v>0</v>
      </c>
      <c r="AQ38" s="175">
        <f t="array" ref="AQ38">IF(AND($N38&lt;&gt;"",AQ$8&lt;&gt;""),COUNTIFS($K$9:$K$59,$N38,$L$9:$L$59,AQ$8),0)</f>
        <v>0</v>
      </c>
      <c r="AR38" s="175">
        <f t="array" ref="AR38">IF(AND($N38&lt;&gt;"",AR$8&lt;&gt;""),COUNTIFS($K$9:$K$59,$N38,$L$9:$L$59,AR$8),0)</f>
        <v>0</v>
      </c>
      <c r="AS38" s="175">
        <f t="array" ref="AS38">IF(AND($N38&lt;&gt;"",AS$8&lt;&gt;""),COUNTIFS($K$9:$K$59,$N38,$L$9:$L$59,AS$8),0)</f>
        <v>0</v>
      </c>
      <c r="AT38" s="175">
        <f t="array" ref="AT38">IF(AND($N38&lt;&gt;"",AT$8&lt;&gt;""),COUNTIFS($K$9:$K$59,$N38,$L$9:$L$59,AT$8),0)</f>
        <v>0</v>
      </c>
      <c r="AU38" s="175">
        <f t="array" ref="AU38">IF(AND($N38&lt;&gt;"",AU$8&lt;&gt;""),COUNTIFS($K$9:$K$59,$N38,$L$9:$L$59,AU$8),0)</f>
        <v>0</v>
      </c>
      <c r="AV38" s="175">
        <f t="array" ref="AV38">IF(AND($N38&lt;&gt;"",AV$8&lt;&gt;""),COUNTIFS($K$9:$K$59,$N38,$L$9:$L$59,AV$8),0)</f>
        <v>0</v>
      </c>
      <c r="AW38" s="175">
        <f t="array" ref="AW38">IF(AND($N38&lt;&gt;"",AW$8&lt;&gt;""),COUNTIFS($K$9:$K$59,$N38,$L$9:$L$59,AW$8),0)</f>
        <v>0</v>
      </c>
      <c r="AX38" s="175">
        <f t="array" ref="AX38">IF(AND($N38&lt;&gt;"",AX$8&lt;&gt;""),COUNTIFS($K$9:$K$59,$N38,$L$9:$L$59,AX$8),0)</f>
        <v>0</v>
      </c>
      <c r="AY38" s="175">
        <f t="array" ref="AY38">IF(AND($N38&lt;&gt;"",AY$8&lt;&gt;""),COUNTIFS($K$9:$K$59,$N38,$L$9:$L$59,AY$8),0)</f>
        <v>0</v>
      </c>
      <c r="AZ38" s="175">
        <f t="array" ref="AZ38">IF(AND($N38&lt;&gt;"",AZ$8&lt;&gt;""),COUNTIFS($K$9:$K$59,$N38,$L$9:$L$59,AZ$8),0)</f>
        <v>0</v>
      </c>
      <c r="BA38" s="175">
        <f t="array" ref="BA38">IF(AND($N38&lt;&gt;"",BA$8&lt;&gt;""),COUNTIFS($K$9:$K$59,$N38,$L$9:$L$59,BA$8),0)</f>
        <v>0</v>
      </c>
      <c r="BB38" s="175">
        <f t="array" ref="BB38">IF(AND($N38&lt;&gt;"",BB$8&lt;&gt;""),COUNTIFS($K$9:$K$59,$N38,$L$9:$L$59,BB$8),0)</f>
        <v>0</v>
      </c>
      <c r="BC38" s="175">
        <f t="array" ref="BC38">IF(AND($N38&lt;&gt;"",BC$8&lt;&gt;""),COUNTIFS($K$9:$K$59,$N38,$L$9:$L$59,BC$8),0)</f>
        <v>0</v>
      </c>
      <c r="BD38" s="175">
        <f t="array" ref="BD38">IF(AND($N38&lt;&gt;"",BD$8&lt;&gt;""),COUNTIFS($K$9:$K$59,$N38,$L$9:$L$59,BD$8),0)</f>
        <v>0</v>
      </c>
      <c r="BE38" s="175">
        <f t="array" ref="BE38">IF(AND($N38&lt;&gt;"",BE$8&lt;&gt;""),COUNTIFS($K$9:$K$59,$N38,$L$9:$L$59,BE$8),0)</f>
        <v>0</v>
      </c>
      <c r="BF38" s="175">
        <f t="array" ref="BF38">IF(AND($N38&lt;&gt;"",BF$8&lt;&gt;""),COUNTIFS($K$9:$K$59,$N38,$L$9:$L$59,BF$8),0)</f>
        <v>0</v>
      </c>
      <c r="BG38" s="175">
        <f t="array" ref="BG38">IF(AND($N38&lt;&gt;"",BG$8&lt;&gt;""),COUNTIFS($K$9:$K$59,$N38,$L$9:$L$59,BG$8),0)</f>
        <v>0</v>
      </c>
      <c r="BH38" s="175">
        <f t="array" ref="BH38">IF(AND($N38&lt;&gt;"",BH$8&lt;&gt;""),COUNTIFS($K$9:$K$59,$N38,$L$9:$L$59,BH$8),0)</f>
        <v>0</v>
      </c>
      <c r="BI38" s="175">
        <f t="array" ref="BI38">IF(AND($N38&lt;&gt;"",BI$8&lt;&gt;""),COUNTIFS($K$9:$K$59,$N38,$L$9:$L$59,BI$8),0)</f>
        <v>0</v>
      </c>
      <c r="BJ38" s="175">
        <f t="array" ref="BJ38">IF(AND($N38&lt;&gt;"",BJ$8&lt;&gt;""),COUNTIFS($K$9:$K$59,$N38,$L$9:$L$59,BJ$8),0)</f>
        <v>0</v>
      </c>
      <c r="BK38" s="175">
        <f t="array" ref="BK38">IF(AND($N38&lt;&gt;"",BK$8&lt;&gt;""),COUNTIFS($K$9:$K$59,$N38,$L$9:$L$59,BK$8),0)</f>
        <v>0</v>
      </c>
      <c r="BL38" s="175">
        <f t="array" ref="BL38">IF(AND($N38&lt;&gt;"",BL$8&lt;&gt;""),COUNTIFS($K$9:$K$59,$N38,$L$9:$L$59,BL$8),0)</f>
        <v>0</v>
      </c>
    </row>
    <row r="39" spans="2:64" s="22" customFormat="1" x14ac:dyDescent="0.2">
      <c r="B39" s="119" t="s">
        <v>124</v>
      </c>
      <c r="C39" s="260"/>
      <c r="D39" s="118"/>
      <c r="E39" s="15"/>
      <c r="F39" s="15"/>
      <c r="G39" s="15"/>
      <c r="H39" s="15" t="s">
        <v>287</v>
      </c>
      <c r="I39" s="116" t="str">
        <f t="shared" si="1"/>
        <v>-</v>
      </c>
      <c r="J39" s="120"/>
      <c r="K39" s="195" t="str">
        <f t="shared" si="2"/>
        <v/>
      </c>
      <c r="L39" s="188" t="str">
        <f t="shared" si="3"/>
        <v/>
      </c>
      <c r="N39" s="185" t="str">
        <f t="array" ref="N39">IFERROR(INDEX($K$9:$K$59,MATCH(0,COUNTIF($N$8:$N38,$K$9:$K$59),0)),"")</f>
        <v/>
      </c>
      <c r="O39" s="175">
        <f t="array" ref="O39">IF(AND($N39&lt;&gt;"",O$8&lt;&gt;""),COUNTIFS($K$9:$K$59,$N39,$L$9:$L$59,O$8),0)</f>
        <v>0</v>
      </c>
      <c r="P39" s="175">
        <f t="array" ref="P39">IF(AND($N39&lt;&gt;"",P$8&lt;&gt;""),COUNTIFS($K$9:$K$59,$N39,$L$9:$L$59,P$8),0)</f>
        <v>0</v>
      </c>
      <c r="Q39" s="175">
        <f t="array" ref="Q39">IF(AND($N39&lt;&gt;"",Q$8&lt;&gt;""),COUNTIFS($K$9:$K$59,$N39,$L$9:$L$59,Q$8),0)</f>
        <v>0</v>
      </c>
      <c r="R39" s="175">
        <f t="array" ref="R39">IF(AND($N39&lt;&gt;"",R$8&lt;&gt;""),COUNTIFS($K$9:$K$59,$N39,$L$9:$L$59,R$8),0)</f>
        <v>0</v>
      </c>
      <c r="S39" s="175">
        <f t="array" ref="S39">IF(AND($N39&lt;&gt;"",S$8&lt;&gt;""),COUNTIFS($K$9:$K$59,$N39,$L$9:$L$59,S$8),0)</f>
        <v>0</v>
      </c>
      <c r="T39" s="175">
        <f t="array" ref="T39">IF(AND($N39&lt;&gt;"",T$8&lt;&gt;""),COUNTIFS($K$9:$K$59,$N39,$L$9:$L$59,T$8),0)</f>
        <v>0</v>
      </c>
      <c r="U39" s="175">
        <f t="array" ref="U39">IF(AND($N39&lt;&gt;"",U$8&lt;&gt;""),COUNTIFS($K$9:$K$59,$N39,$L$9:$L$59,U$8),0)</f>
        <v>0</v>
      </c>
      <c r="V39" s="175">
        <f t="array" ref="V39">IF(AND($N39&lt;&gt;"",V$8&lt;&gt;""),COUNTIFS($K$9:$K$59,$N39,$L$9:$L$59,V$8),0)</f>
        <v>0</v>
      </c>
      <c r="W39" s="175">
        <f t="array" ref="W39">IF(AND($N39&lt;&gt;"",W$8&lt;&gt;""),COUNTIFS($K$9:$K$59,$N39,$L$9:$L$59,W$8),0)</f>
        <v>0</v>
      </c>
      <c r="X39" s="175">
        <f t="array" ref="X39">IF(AND($N39&lt;&gt;"",X$8&lt;&gt;""),COUNTIFS($K$9:$K$59,$N39,$L$9:$L$59,X$8),0)</f>
        <v>0</v>
      </c>
      <c r="Y39" s="175">
        <f t="array" ref="Y39">IF(AND($N39&lt;&gt;"",Y$8&lt;&gt;""),COUNTIFS($K$9:$K$59,$N39,$L$9:$L$59,Y$8),0)</f>
        <v>0</v>
      </c>
      <c r="Z39" s="175">
        <f t="array" ref="Z39">IF(AND($N39&lt;&gt;"",Z$8&lt;&gt;""),COUNTIFS($K$9:$K$59,$N39,$L$9:$L$59,Z$8),0)</f>
        <v>0</v>
      </c>
      <c r="AA39" s="175">
        <f t="array" ref="AA39">IF(AND($N39&lt;&gt;"",AA$8&lt;&gt;""),COUNTIFS($K$9:$K$59,$N39,$L$9:$L$59,AA$8),0)</f>
        <v>0</v>
      </c>
      <c r="AB39" s="175">
        <f t="array" ref="AB39">IF(AND($N39&lt;&gt;"",AB$8&lt;&gt;""),COUNTIFS($K$9:$K$59,$N39,$L$9:$L$59,AB$8),0)</f>
        <v>0</v>
      </c>
      <c r="AC39" s="175">
        <f t="array" ref="AC39">IF(AND($N39&lt;&gt;"",AC$8&lt;&gt;""),COUNTIFS($K$9:$K$59,$N39,$L$9:$L$59,AC$8),0)</f>
        <v>0</v>
      </c>
      <c r="AD39" s="175">
        <f t="array" ref="AD39">IF(AND($N39&lt;&gt;"",AD$8&lt;&gt;""),COUNTIFS($K$9:$K$59,$N39,$L$9:$L$59,AD$8),0)</f>
        <v>0</v>
      </c>
      <c r="AE39" s="175">
        <f t="array" ref="AE39">IF(AND($N39&lt;&gt;"",AE$8&lt;&gt;""),COUNTIFS($K$9:$K$59,$N39,$L$9:$L$59,AE$8),0)</f>
        <v>0</v>
      </c>
      <c r="AF39" s="175">
        <f t="array" ref="AF39">IF(AND($N39&lt;&gt;"",AF$8&lt;&gt;""),COUNTIFS($K$9:$K$59,$N39,$L$9:$L$59,AF$8),0)</f>
        <v>0</v>
      </c>
      <c r="AG39" s="175">
        <f t="array" ref="AG39">IF(AND($N39&lt;&gt;"",AG$8&lt;&gt;""),COUNTIFS($K$9:$K$59,$N39,$L$9:$L$59,AG$8),0)</f>
        <v>0</v>
      </c>
      <c r="AH39" s="175">
        <f t="array" ref="AH39">IF(AND($N39&lt;&gt;"",AH$8&lt;&gt;""),COUNTIFS($K$9:$K$59,$N39,$L$9:$L$59,AH$8),0)</f>
        <v>0</v>
      </c>
      <c r="AI39" s="175">
        <f t="array" ref="AI39">IF(AND($N39&lt;&gt;"",AI$8&lt;&gt;""),COUNTIFS($K$9:$K$59,$N39,$L$9:$L$59,AI$8),0)</f>
        <v>0</v>
      </c>
      <c r="AJ39" s="175">
        <f t="array" ref="AJ39">IF(AND($N39&lt;&gt;"",AJ$8&lt;&gt;""),COUNTIFS($K$9:$K$59,$N39,$L$9:$L$59,AJ$8),0)</f>
        <v>0</v>
      </c>
      <c r="AK39" s="175">
        <f t="array" ref="AK39">IF(AND($N39&lt;&gt;"",AK$8&lt;&gt;""),COUNTIFS($K$9:$K$59,$N39,$L$9:$L$59,AK$8),0)</f>
        <v>0</v>
      </c>
      <c r="AL39" s="175">
        <f t="array" ref="AL39">IF(AND($N39&lt;&gt;"",AL$8&lt;&gt;""),COUNTIFS($K$9:$K$59,$N39,$L$9:$L$59,AL$8),0)</f>
        <v>0</v>
      </c>
      <c r="AM39" s="175">
        <f t="array" ref="AM39">IF(AND($N39&lt;&gt;"",AM$8&lt;&gt;""),COUNTIFS($K$9:$K$59,$N39,$L$9:$L$59,AM$8),0)</f>
        <v>0</v>
      </c>
      <c r="AN39" s="175">
        <f t="array" ref="AN39">IF(AND($N39&lt;&gt;"",AN$8&lt;&gt;""),COUNTIFS($K$9:$K$59,$N39,$L$9:$L$59,AN$8),0)</f>
        <v>0</v>
      </c>
      <c r="AO39" s="175">
        <f t="array" ref="AO39">IF(AND($N39&lt;&gt;"",AO$8&lt;&gt;""),COUNTIFS($K$9:$K$59,$N39,$L$9:$L$59,AO$8),0)</f>
        <v>0</v>
      </c>
      <c r="AP39" s="175">
        <f t="array" ref="AP39">IF(AND($N39&lt;&gt;"",AP$8&lt;&gt;""),COUNTIFS($K$9:$K$59,$N39,$L$9:$L$59,AP$8),0)</f>
        <v>0</v>
      </c>
      <c r="AQ39" s="175">
        <f t="array" ref="AQ39">IF(AND($N39&lt;&gt;"",AQ$8&lt;&gt;""),COUNTIFS($K$9:$K$59,$N39,$L$9:$L$59,AQ$8),0)</f>
        <v>0</v>
      </c>
      <c r="AR39" s="175">
        <f t="array" ref="AR39">IF(AND($N39&lt;&gt;"",AR$8&lt;&gt;""),COUNTIFS($K$9:$K$59,$N39,$L$9:$L$59,AR$8),0)</f>
        <v>0</v>
      </c>
      <c r="AS39" s="175">
        <f t="array" ref="AS39">IF(AND($N39&lt;&gt;"",AS$8&lt;&gt;""),COUNTIFS($K$9:$K$59,$N39,$L$9:$L$59,AS$8),0)</f>
        <v>0</v>
      </c>
      <c r="AT39" s="175">
        <f t="array" ref="AT39">IF(AND($N39&lt;&gt;"",AT$8&lt;&gt;""),COUNTIFS($K$9:$K$59,$N39,$L$9:$L$59,AT$8),0)</f>
        <v>0</v>
      </c>
      <c r="AU39" s="175">
        <f t="array" ref="AU39">IF(AND($N39&lt;&gt;"",AU$8&lt;&gt;""),COUNTIFS($K$9:$K$59,$N39,$L$9:$L$59,AU$8),0)</f>
        <v>0</v>
      </c>
      <c r="AV39" s="175">
        <f t="array" ref="AV39">IF(AND($N39&lt;&gt;"",AV$8&lt;&gt;""),COUNTIFS($K$9:$K$59,$N39,$L$9:$L$59,AV$8),0)</f>
        <v>0</v>
      </c>
      <c r="AW39" s="175">
        <f t="array" ref="AW39">IF(AND($N39&lt;&gt;"",AW$8&lt;&gt;""),COUNTIFS($K$9:$K$59,$N39,$L$9:$L$59,AW$8),0)</f>
        <v>0</v>
      </c>
      <c r="AX39" s="175">
        <f t="array" ref="AX39">IF(AND($N39&lt;&gt;"",AX$8&lt;&gt;""),COUNTIFS($K$9:$K$59,$N39,$L$9:$L$59,AX$8),0)</f>
        <v>0</v>
      </c>
      <c r="AY39" s="175">
        <f t="array" ref="AY39">IF(AND($N39&lt;&gt;"",AY$8&lt;&gt;""),COUNTIFS($K$9:$K$59,$N39,$L$9:$L$59,AY$8),0)</f>
        <v>0</v>
      </c>
      <c r="AZ39" s="175">
        <f t="array" ref="AZ39">IF(AND($N39&lt;&gt;"",AZ$8&lt;&gt;""),COUNTIFS($K$9:$K$59,$N39,$L$9:$L$59,AZ$8),0)</f>
        <v>0</v>
      </c>
      <c r="BA39" s="175">
        <f t="array" ref="BA39">IF(AND($N39&lt;&gt;"",BA$8&lt;&gt;""),COUNTIFS($K$9:$K$59,$N39,$L$9:$L$59,BA$8),0)</f>
        <v>0</v>
      </c>
      <c r="BB39" s="175">
        <f t="array" ref="BB39">IF(AND($N39&lt;&gt;"",BB$8&lt;&gt;""),COUNTIFS($K$9:$K$59,$N39,$L$9:$L$59,BB$8),0)</f>
        <v>0</v>
      </c>
      <c r="BC39" s="175">
        <f t="array" ref="BC39">IF(AND($N39&lt;&gt;"",BC$8&lt;&gt;""),COUNTIFS($K$9:$K$59,$N39,$L$9:$L$59,BC$8),0)</f>
        <v>0</v>
      </c>
      <c r="BD39" s="175">
        <f t="array" ref="BD39">IF(AND($N39&lt;&gt;"",BD$8&lt;&gt;""),COUNTIFS($K$9:$K$59,$N39,$L$9:$L$59,BD$8),0)</f>
        <v>0</v>
      </c>
      <c r="BE39" s="175">
        <f t="array" ref="BE39">IF(AND($N39&lt;&gt;"",BE$8&lt;&gt;""),COUNTIFS($K$9:$K$59,$N39,$L$9:$L$59,BE$8),0)</f>
        <v>0</v>
      </c>
      <c r="BF39" s="175">
        <f t="array" ref="BF39">IF(AND($N39&lt;&gt;"",BF$8&lt;&gt;""),COUNTIFS($K$9:$K$59,$N39,$L$9:$L$59,BF$8),0)</f>
        <v>0</v>
      </c>
      <c r="BG39" s="175">
        <f t="array" ref="BG39">IF(AND($N39&lt;&gt;"",BG$8&lt;&gt;""),COUNTIFS($K$9:$K$59,$N39,$L$9:$L$59,BG$8),0)</f>
        <v>0</v>
      </c>
      <c r="BH39" s="175">
        <f t="array" ref="BH39">IF(AND($N39&lt;&gt;"",BH$8&lt;&gt;""),COUNTIFS($K$9:$K$59,$N39,$L$9:$L$59,BH$8),0)</f>
        <v>0</v>
      </c>
      <c r="BI39" s="175">
        <f t="array" ref="BI39">IF(AND($N39&lt;&gt;"",BI$8&lt;&gt;""),COUNTIFS($K$9:$K$59,$N39,$L$9:$L$59,BI$8),0)</f>
        <v>0</v>
      </c>
      <c r="BJ39" s="175">
        <f t="array" ref="BJ39">IF(AND($N39&lt;&gt;"",BJ$8&lt;&gt;""),COUNTIFS($K$9:$K$59,$N39,$L$9:$L$59,BJ$8),0)</f>
        <v>0</v>
      </c>
      <c r="BK39" s="175">
        <f t="array" ref="BK39">IF(AND($N39&lt;&gt;"",BK$8&lt;&gt;""),COUNTIFS($K$9:$K$59,$N39,$L$9:$L$59,BK$8),0)</f>
        <v>0</v>
      </c>
      <c r="BL39" s="175">
        <f t="array" ref="BL39">IF(AND($N39&lt;&gt;"",BL$8&lt;&gt;""),COUNTIFS($K$9:$K$59,$N39,$L$9:$L$59,BL$8),0)</f>
        <v>0</v>
      </c>
    </row>
    <row r="40" spans="2:64" s="22" customFormat="1" x14ac:dyDescent="0.2">
      <c r="B40" s="119" t="s">
        <v>125</v>
      </c>
      <c r="C40" s="260"/>
      <c r="D40" s="118"/>
      <c r="E40" s="15"/>
      <c r="F40" s="15"/>
      <c r="G40" s="15"/>
      <c r="H40" s="15" t="s">
        <v>287</v>
      </c>
      <c r="I40" s="116" t="str">
        <f t="shared" si="1"/>
        <v>-</v>
      </c>
      <c r="J40" s="120"/>
      <c r="K40" s="195" t="str">
        <f t="shared" si="2"/>
        <v/>
      </c>
      <c r="L40" s="188" t="str">
        <f t="shared" si="3"/>
        <v/>
      </c>
      <c r="N40" s="185" t="str">
        <f t="array" ref="N40">IFERROR(INDEX($K$9:$K$59,MATCH(0,COUNTIF($N$8:$N39,$K$9:$K$59),0)),"")</f>
        <v/>
      </c>
      <c r="O40" s="175">
        <f t="array" ref="O40">IF(AND($N40&lt;&gt;"",O$8&lt;&gt;""),COUNTIFS($K$9:$K$59,$N40,$L$9:$L$59,O$8),0)</f>
        <v>0</v>
      </c>
      <c r="P40" s="175">
        <f t="array" ref="P40">IF(AND($N40&lt;&gt;"",P$8&lt;&gt;""),COUNTIFS($K$9:$K$59,$N40,$L$9:$L$59,P$8),0)</f>
        <v>0</v>
      </c>
      <c r="Q40" s="175">
        <f t="array" ref="Q40">IF(AND($N40&lt;&gt;"",Q$8&lt;&gt;""),COUNTIFS($K$9:$K$59,$N40,$L$9:$L$59,Q$8),0)</f>
        <v>0</v>
      </c>
      <c r="R40" s="175">
        <f t="array" ref="R40">IF(AND($N40&lt;&gt;"",R$8&lt;&gt;""),COUNTIFS($K$9:$K$59,$N40,$L$9:$L$59,R$8),0)</f>
        <v>0</v>
      </c>
      <c r="S40" s="175">
        <f t="array" ref="S40">IF(AND($N40&lt;&gt;"",S$8&lt;&gt;""),COUNTIFS($K$9:$K$59,$N40,$L$9:$L$59,S$8),0)</f>
        <v>0</v>
      </c>
      <c r="T40" s="175">
        <f t="array" ref="T40">IF(AND($N40&lt;&gt;"",T$8&lt;&gt;""),COUNTIFS($K$9:$K$59,$N40,$L$9:$L$59,T$8),0)</f>
        <v>0</v>
      </c>
      <c r="U40" s="175">
        <f t="array" ref="U40">IF(AND($N40&lt;&gt;"",U$8&lt;&gt;""),COUNTIFS($K$9:$K$59,$N40,$L$9:$L$59,U$8),0)</f>
        <v>0</v>
      </c>
      <c r="V40" s="175">
        <f t="array" ref="V40">IF(AND($N40&lt;&gt;"",V$8&lt;&gt;""),COUNTIFS($K$9:$K$59,$N40,$L$9:$L$59,V$8),0)</f>
        <v>0</v>
      </c>
      <c r="W40" s="175">
        <f t="array" ref="W40">IF(AND($N40&lt;&gt;"",W$8&lt;&gt;""),COUNTIFS($K$9:$K$59,$N40,$L$9:$L$59,W$8),0)</f>
        <v>0</v>
      </c>
      <c r="X40" s="175">
        <f t="array" ref="X40">IF(AND($N40&lt;&gt;"",X$8&lt;&gt;""),COUNTIFS($K$9:$K$59,$N40,$L$9:$L$59,X$8),0)</f>
        <v>0</v>
      </c>
      <c r="Y40" s="175">
        <f t="array" ref="Y40">IF(AND($N40&lt;&gt;"",Y$8&lt;&gt;""),COUNTIFS($K$9:$K$59,$N40,$L$9:$L$59,Y$8),0)</f>
        <v>0</v>
      </c>
      <c r="Z40" s="175">
        <f t="array" ref="Z40">IF(AND($N40&lt;&gt;"",Z$8&lt;&gt;""),COUNTIFS($K$9:$K$59,$N40,$L$9:$L$59,Z$8),0)</f>
        <v>0</v>
      </c>
      <c r="AA40" s="175">
        <f t="array" ref="AA40">IF(AND($N40&lt;&gt;"",AA$8&lt;&gt;""),COUNTIFS($K$9:$K$59,$N40,$L$9:$L$59,AA$8),0)</f>
        <v>0</v>
      </c>
      <c r="AB40" s="175">
        <f t="array" ref="AB40">IF(AND($N40&lt;&gt;"",AB$8&lt;&gt;""),COUNTIFS($K$9:$K$59,$N40,$L$9:$L$59,AB$8),0)</f>
        <v>0</v>
      </c>
      <c r="AC40" s="175">
        <f t="array" ref="AC40">IF(AND($N40&lt;&gt;"",AC$8&lt;&gt;""),COUNTIFS($K$9:$K$59,$N40,$L$9:$L$59,AC$8),0)</f>
        <v>0</v>
      </c>
      <c r="AD40" s="175">
        <f t="array" ref="AD40">IF(AND($N40&lt;&gt;"",AD$8&lt;&gt;""),COUNTIFS($K$9:$K$59,$N40,$L$9:$L$59,AD$8),0)</f>
        <v>0</v>
      </c>
      <c r="AE40" s="175">
        <f t="array" ref="AE40">IF(AND($N40&lt;&gt;"",AE$8&lt;&gt;""),COUNTIFS($K$9:$K$59,$N40,$L$9:$L$59,AE$8),0)</f>
        <v>0</v>
      </c>
      <c r="AF40" s="175">
        <f t="array" ref="AF40">IF(AND($N40&lt;&gt;"",AF$8&lt;&gt;""),COUNTIFS($K$9:$K$59,$N40,$L$9:$L$59,AF$8),0)</f>
        <v>0</v>
      </c>
      <c r="AG40" s="175">
        <f t="array" ref="AG40">IF(AND($N40&lt;&gt;"",AG$8&lt;&gt;""),COUNTIFS($K$9:$K$59,$N40,$L$9:$L$59,AG$8),0)</f>
        <v>0</v>
      </c>
      <c r="AH40" s="175">
        <f t="array" ref="AH40">IF(AND($N40&lt;&gt;"",AH$8&lt;&gt;""),COUNTIFS($K$9:$K$59,$N40,$L$9:$L$59,AH$8),0)</f>
        <v>0</v>
      </c>
      <c r="AI40" s="175">
        <f t="array" ref="AI40">IF(AND($N40&lt;&gt;"",AI$8&lt;&gt;""),COUNTIFS($K$9:$K$59,$N40,$L$9:$L$59,AI$8),0)</f>
        <v>0</v>
      </c>
      <c r="AJ40" s="175">
        <f t="array" ref="AJ40">IF(AND($N40&lt;&gt;"",AJ$8&lt;&gt;""),COUNTIFS($K$9:$K$59,$N40,$L$9:$L$59,AJ$8),0)</f>
        <v>0</v>
      </c>
      <c r="AK40" s="175">
        <f t="array" ref="AK40">IF(AND($N40&lt;&gt;"",AK$8&lt;&gt;""),COUNTIFS($K$9:$K$59,$N40,$L$9:$L$59,AK$8),0)</f>
        <v>0</v>
      </c>
      <c r="AL40" s="175">
        <f t="array" ref="AL40">IF(AND($N40&lt;&gt;"",AL$8&lt;&gt;""),COUNTIFS($K$9:$K$59,$N40,$L$9:$L$59,AL$8),0)</f>
        <v>0</v>
      </c>
      <c r="AM40" s="175">
        <f t="array" ref="AM40">IF(AND($N40&lt;&gt;"",AM$8&lt;&gt;""),COUNTIFS($K$9:$K$59,$N40,$L$9:$L$59,AM$8),0)</f>
        <v>0</v>
      </c>
      <c r="AN40" s="175">
        <f t="array" ref="AN40">IF(AND($N40&lt;&gt;"",AN$8&lt;&gt;""),COUNTIFS($K$9:$K$59,$N40,$L$9:$L$59,AN$8),0)</f>
        <v>0</v>
      </c>
      <c r="AO40" s="175">
        <f t="array" ref="AO40">IF(AND($N40&lt;&gt;"",AO$8&lt;&gt;""),COUNTIFS($K$9:$K$59,$N40,$L$9:$L$59,AO$8),0)</f>
        <v>0</v>
      </c>
      <c r="AP40" s="175">
        <f t="array" ref="AP40">IF(AND($N40&lt;&gt;"",AP$8&lt;&gt;""),COUNTIFS($K$9:$K$59,$N40,$L$9:$L$59,AP$8),0)</f>
        <v>0</v>
      </c>
      <c r="AQ40" s="175">
        <f t="array" ref="AQ40">IF(AND($N40&lt;&gt;"",AQ$8&lt;&gt;""),COUNTIFS($K$9:$K$59,$N40,$L$9:$L$59,AQ$8),0)</f>
        <v>0</v>
      </c>
      <c r="AR40" s="175">
        <f t="array" ref="AR40">IF(AND($N40&lt;&gt;"",AR$8&lt;&gt;""),COUNTIFS($K$9:$K$59,$N40,$L$9:$L$59,AR$8),0)</f>
        <v>0</v>
      </c>
      <c r="AS40" s="175">
        <f t="array" ref="AS40">IF(AND($N40&lt;&gt;"",AS$8&lt;&gt;""),COUNTIFS($K$9:$K$59,$N40,$L$9:$L$59,AS$8),0)</f>
        <v>0</v>
      </c>
      <c r="AT40" s="175">
        <f t="array" ref="AT40">IF(AND($N40&lt;&gt;"",AT$8&lt;&gt;""),COUNTIFS($K$9:$K$59,$N40,$L$9:$L$59,AT$8),0)</f>
        <v>0</v>
      </c>
      <c r="AU40" s="175">
        <f t="array" ref="AU40">IF(AND($N40&lt;&gt;"",AU$8&lt;&gt;""),COUNTIFS($K$9:$K$59,$N40,$L$9:$L$59,AU$8),0)</f>
        <v>0</v>
      </c>
      <c r="AV40" s="175">
        <f t="array" ref="AV40">IF(AND($N40&lt;&gt;"",AV$8&lt;&gt;""),COUNTIFS($K$9:$K$59,$N40,$L$9:$L$59,AV$8),0)</f>
        <v>0</v>
      </c>
      <c r="AW40" s="175">
        <f t="array" ref="AW40">IF(AND($N40&lt;&gt;"",AW$8&lt;&gt;""),COUNTIFS($K$9:$K$59,$N40,$L$9:$L$59,AW$8),0)</f>
        <v>0</v>
      </c>
      <c r="AX40" s="175">
        <f t="array" ref="AX40">IF(AND($N40&lt;&gt;"",AX$8&lt;&gt;""),COUNTIFS($K$9:$K$59,$N40,$L$9:$L$59,AX$8),0)</f>
        <v>0</v>
      </c>
      <c r="AY40" s="175">
        <f t="array" ref="AY40">IF(AND($N40&lt;&gt;"",AY$8&lt;&gt;""),COUNTIFS($K$9:$K$59,$N40,$L$9:$L$59,AY$8),0)</f>
        <v>0</v>
      </c>
      <c r="AZ40" s="175">
        <f t="array" ref="AZ40">IF(AND($N40&lt;&gt;"",AZ$8&lt;&gt;""),COUNTIFS($K$9:$K$59,$N40,$L$9:$L$59,AZ$8),0)</f>
        <v>0</v>
      </c>
      <c r="BA40" s="175">
        <f t="array" ref="BA40">IF(AND($N40&lt;&gt;"",BA$8&lt;&gt;""),COUNTIFS($K$9:$K$59,$N40,$L$9:$L$59,BA$8),0)</f>
        <v>0</v>
      </c>
      <c r="BB40" s="175">
        <f t="array" ref="BB40">IF(AND($N40&lt;&gt;"",BB$8&lt;&gt;""),COUNTIFS($K$9:$K$59,$N40,$L$9:$L$59,BB$8),0)</f>
        <v>0</v>
      </c>
      <c r="BC40" s="175">
        <f t="array" ref="BC40">IF(AND($N40&lt;&gt;"",BC$8&lt;&gt;""),COUNTIFS($K$9:$K$59,$N40,$L$9:$L$59,BC$8),0)</f>
        <v>0</v>
      </c>
      <c r="BD40" s="175">
        <f t="array" ref="BD40">IF(AND($N40&lt;&gt;"",BD$8&lt;&gt;""),COUNTIFS($K$9:$K$59,$N40,$L$9:$L$59,BD$8),0)</f>
        <v>0</v>
      </c>
      <c r="BE40" s="175">
        <f t="array" ref="BE40">IF(AND($N40&lt;&gt;"",BE$8&lt;&gt;""),COUNTIFS($K$9:$K$59,$N40,$L$9:$L$59,BE$8),0)</f>
        <v>0</v>
      </c>
      <c r="BF40" s="175">
        <f t="array" ref="BF40">IF(AND($N40&lt;&gt;"",BF$8&lt;&gt;""),COUNTIFS($K$9:$K$59,$N40,$L$9:$L$59,BF$8),0)</f>
        <v>0</v>
      </c>
      <c r="BG40" s="175">
        <f t="array" ref="BG40">IF(AND($N40&lt;&gt;"",BG$8&lt;&gt;""),COUNTIFS($K$9:$K$59,$N40,$L$9:$L$59,BG$8),0)</f>
        <v>0</v>
      </c>
      <c r="BH40" s="175">
        <f t="array" ref="BH40">IF(AND($N40&lt;&gt;"",BH$8&lt;&gt;""),COUNTIFS($K$9:$K$59,$N40,$L$9:$L$59,BH$8),0)</f>
        <v>0</v>
      </c>
      <c r="BI40" s="175">
        <f t="array" ref="BI40">IF(AND($N40&lt;&gt;"",BI$8&lt;&gt;""),COUNTIFS($K$9:$K$59,$N40,$L$9:$L$59,BI$8),0)</f>
        <v>0</v>
      </c>
      <c r="BJ40" s="175">
        <f t="array" ref="BJ40">IF(AND($N40&lt;&gt;"",BJ$8&lt;&gt;""),COUNTIFS($K$9:$K$59,$N40,$L$9:$L$59,BJ$8),0)</f>
        <v>0</v>
      </c>
      <c r="BK40" s="175">
        <f t="array" ref="BK40">IF(AND($N40&lt;&gt;"",BK$8&lt;&gt;""),COUNTIFS($K$9:$K$59,$N40,$L$9:$L$59,BK$8),0)</f>
        <v>0</v>
      </c>
      <c r="BL40" s="175">
        <f t="array" ref="BL40">IF(AND($N40&lt;&gt;"",BL$8&lt;&gt;""),COUNTIFS($K$9:$K$59,$N40,$L$9:$L$59,BL$8),0)</f>
        <v>0</v>
      </c>
    </row>
    <row r="41" spans="2:64" s="22" customFormat="1" x14ac:dyDescent="0.2">
      <c r="B41" s="119" t="s">
        <v>126</v>
      </c>
      <c r="C41" s="260"/>
      <c r="D41" s="118"/>
      <c r="E41" s="15"/>
      <c r="F41" s="15"/>
      <c r="G41" s="15"/>
      <c r="H41" s="15" t="s">
        <v>287</v>
      </c>
      <c r="I41" s="116" t="str">
        <f t="shared" si="1"/>
        <v>-</v>
      </c>
      <c r="J41" s="120"/>
      <c r="K41" s="195" t="str">
        <f t="shared" si="2"/>
        <v/>
      </c>
      <c r="L41" s="188" t="str">
        <f t="shared" si="3"/>
        <v/>
      </c>
      <c r="N41" s="185" t="str">
        <f t="array" ref="N41">IFERROR(INDEX($K$9:$K$59,MATCH(0,COUNTIF($N$8:$N40,$K$9:$K$59),0)),"")</f>
        <v/>
      </c>
      <c r="O41" s="175">
        <f t="array" ref="O41">IF(AND($N41&lt;&gt;"",O$8&lt;&gt;""),COUNTIFS($K$9:$K$59,$N41,$L$9:$L$59,O$8),0)</f>
        <v>0</v>
      </c>
      <c r="P41" s="175">
        <f t="array" ref="P41">IF(AND($N41&lt;&gt;"",P$8&lt;&gt;""),COUNTIFS($K$9:$K$59,$N41,$L$9:$L$59,P$8),0)</f>
        <v>0</v>
      </c>
      <c r="Q41" s="175">
        <f t="array" ref="Q41">IF(AND($N41&lt;&gt;"",Q$8&lt;&gt;""),COUNTIFS($K$9:$K$59,$N41,$L$9:$L$59,Q$8),0)</f>
        <v>0</v>
      </c>
      <c r="R41" s="175">
        <f t="array" ref="R41">IF(AND($N41&lt;&gt;"",R$8&lt;&gt;""),COUNTIFS($K$9:$K$59,$N41,$L$9:$L$59,R$8),0)</f>
        <v>0</v>
      </c>
      <c r="S41" s="175">
        <f t="array" ref="S41">IF(AND($N41&lt;&gt;"",S$8&lt;&gt;""),COUNTIFS($K$9:$K$59,$N41,$L$9:$L$59,S$8),0)</f>
        <v>0</v>
      </c>
      <c r="T41" s="175">
        <f t="array" ref="T41">IF(AND($N41&lt;&gt;"",T$8&lt;&gt;""),COUNTIFS($K$9:$K$59,$N41,$L$9:$L$59,T$8),0)</f>
        <v>0</v>
      </c>
      <c r="U41" s="175">
        <f t="array" ref="U41">IF(AND($N41&lt;&gt;"",U$8&lt;&gt;""),COUNTIFS($K$9:$K$59,$N41,$L$9:$L$59,U$8),0)</f>
        <v>0</v>
      </c>
      <c r="V41" s="175">
        <f t="array" ref="V41">IF(AND($N41&lt;&gt;"",V$8&lt;&gt;""),COUNTIFS($K$9:$K$59,$N41,$L$9:$L$59,V$8),0)</f>
        <v>0</v>
      </c>
      <c r="W41" s="175">
        <f t="array" ref="W41">IF(AND($N41&lt;&gt;"",W$8&lt;&gt;""),COUNTIFS($K$9:$K$59,$N41,$L$9:$L$59,W$8),0)</f>
        <v>0</v>
      </c>
      <c r="X41" s="175">
        <f t="array" ref="X41">IF(AND($N41&lt;&gt;"",X$8&lt;&gt;""),COUNTIFS($K$9:$K$59,$N41,$L$9:$L$59,X$8),0)</f>
        <v>0</v>
      </c>
      <c r="Y41" s="175">
        <f t="array" ref="Y41">IF(AND($N41&lt;&gt;"",Y$8&lt;&gt;""),COUNTIFS($K$9:$K$59,$N41,$L$9:$L$59,Y$8),0)</f>
        <v>0</v>
      </c>
      <c r="Z41" s="175">
        <f t="array" ref="Z41">IF(AND($N41&lt;&gt;"",Z$8&lt;&gt;""),COUNTIFS($K$9:$K$59,$N41,$L$9:$L$59,Z$8),0)</f>
        <v>0</v>
      </c>
      <c r="AA41" s="175">
        <f t="array" ref="AA41">IF(AND($N41&lt;&gt;"",AA$8&lt;&gt;""),COUNTIFS($K$9:$K$59,$N41,$L$9:$L$59,AA$8),0)</f>
        <v>0</v>
      </c>
      <c r="AB41" s="175">
        <f t="array" ref="AB41">IF(AND($N41&lt;&gt;"",AB$8&lt;&gt;""),COUNTIFS($K$9:$K$59,$N41,$L$9:$L$59,AB$8),0)</f>
        <v>0</v>
      </c>
      <c r="AC41" s="175">
        <f t="array" ref="AC41">IF(AND($N41&lt;&gt;"",AC$8&lt;&gt;""),COUNTIFS($K$9:$K$59,$N41,$L$9:$L$59,AC$8),0)</f>
        <v>0</v>
      </c>
      <c r="AD41" s="175">
        <f t="array" ref="AD41">IF(AND($N41&lt;&gt;"",AD$8&lt;&gt;""),COUNTIFS($K$9:$K$59,$N41,$L$9:$L$59,AD$8),0)</f>
        <v>0</v>
      </c>
      <c r="AE41" s="175">
        <f t="array" ref="AE41">IF(AND($N41&lt;&gt;"",AE$8&lt;&gt;""),COUNTIFS($K$9:$K$59,$N41,$L$9:$L$59,AE$8),0)</f>
        <v>0</v>
      </c>
      <c r="AF41" s="175">
        <f t="array" ref="AF41">IF(AND($N41&lt;&gt;"",AF$8&lt;&gt;""),COUNTIFS($K$9:$K$59,$N41,$L$9:$L$59,AF$8),0)</f>
        <v>0</v>
      </c>
      <c r="AG41" s="175">
        <f t="array" ref="AG41">IF(AND($N41&lt;&gt;"",AG$8&lt;&gt;""),COUNTIFS($K$9:$K$59,$N41,$L$9:$L$59,AG$8),0)</f>
        <v>0</v>
      </c>
      <c r="AH41" s="175">
        <f t="array" ref="AH41">IF(AND($N41&lt;&gt;"",AH$8&lt;&gt;""),COUNTIFS($K$9:$K$59,$N41,$L$9:$L$59,AH$8),0)</f>
        <v>0</v>
      </c>
      <c r="AI41" s="175">
        <f t="array" ref="AI41">IF(AND($N41&lt;&gt;"",AI$8&lt;&gt;""),COUNTIFS($K$9:$K$59,$N41,$L$9:$L$59,AI$8),0)</f>
        <v>0</v>
      </c>
      <c r="AJ41" s="175">
        <f t="array" ref="AJ41">IF(AND($N41&lt;&gt;"",AJ$8&lt;&gt;""),COUNTIFS($K$9:$K$59,$N41,$L$9:$L$59,AJ$8),0)</f>
        <v>0</v>
      </c>
      <c r="AK41" s="175">
        <f t="array" ref="AK41">IF(AND($N41&lt;&gt;"",AK$8&lt;&gt;""),COUNTIFS($K$9:$K$59,$N41,$L$9:$L$59,AK$8),0)</f>
        <v>0</v>
      </c>
      <c r="AL41" s="175">
        <f t="array" ref="AL41">IF(AND($N41&lt;&gt;"",AL$8&lt;&gt;""),COUNTIFS($K$9:$K$59,$N41,$L$9:$L$59,AL$8),0)</f>
        <v>0</v>
      </c>
      <c r="AM41" s="175">
        <f t="array" ref="AM41">IF(AND($N41&lt;&gt;"",AM$8&lt;&gt;""),COUNTIFS($K$9:$K$59,$N41,$L$9:$L$59,AM$8),0)</f>
        <v>0</v>
      </c>
      <c r="AN41" s="175">
        <f t="array" ref="AN41">IF(AND($N41&lt;&gt;"",AN$8&lt;&gt;""),COUNTIFS($K$9:$K$59,$N41,$L$9:$L$59,AN$8),0)</f>
        <v>0</v>
      </c>
      <c r="AO41" s="175">
        <f t="array" ref="AO41">IF(AND($N41&lt;&gt;"",AO$8&lt;&gt;""),COUNTIFS($K$9:$K$59,$N41,$L$9:$L$59,AO$8),0)</f>
        <v>0</v>
      </c>
      <c r="AP41" s="175">
        <f t="array" ref="AP41">IF(AND($N41&lt;&gt;"",AP$8&lt;&gt;""),COUNTIFS($K$9:$K$59,$N41,$L$9:$L$59,AP$8),0)</f>
        <v>0</v>
      </c>
      <c r="AQ41" s="175">
        <f t="array" ref="AQ41">IF(AND($N41&lt;&gt;"",AQ$8&lt;&gt;""),COUNTIFS($K$9:$K$59,$N41,$L$9:$L$59,AQ$8),0)</f>
        <v>0</v>
      </c>
      <c r="AR41" s="175">
        <f t="array" ref="AR41">IF(AND($N41&lt;&gt;"",AR$8&lt;&gt;""),COUNTIFS($K$9:$K$59,$N41,$L$9:$L$59,AR$8),0)</f>
        <v>0</v>
      </c>
      <c r="AS41" s="175">
        <f t="array" ref="AS41">IF(AND($N41&lt;&gt;"",AS$8&lt;&gt;""),COUNTIFS($K$9:$K$59,$N41,$L$9:$L$59,AS$8),0)</f>
        <v>0</v>
      </c>
      <c r="AT41" s="175">
        <f t="array" ref="AT41">IF(AND($N41&lt;&gt;"",AT$8&lt;&gt;""),COUNTIFS($K$9:$K$59,$N41,$L$9:$L$59,AT$8),0)</f>
        <v>0</v>
      </c>
      <c r="AU41" s="175">
        <f t="array" ref="AU41">IF(AND($N41&lt;&gt;"",AU$8&lt;&gt;""),COUNTIFS($K$9:$K$59,$N41,$L$9:$L$59,AU$8),0)</f>
        <v>0</v>
      </c>
      <c r="AV41" s="175">
        <f t="array" ref="AV41">IF(AND($N41&lt;&gt;"",AV$8&lt;&gt;""),COUNTIFS($K$9:$K$59,$N41,$L$9:$L$59,AV$8),0)</f>
        <v>0</v>
      </c>
      <c r="AW41" s="175">
        <f t="array" ref="AW41">IF(AND($N41&lt;&gt;"",AW$8&lt;&gt;""),COUNTIFS($K$9:$K$59,$N41,$L$9:$L$59,AW$8),0)</f>
        <v>0</v>
      </c>
      <c r="AX41" s="175">
        <f t="array" ref="AX41">IF(AND($N41&lt;&gt;"",AX$8&lt;&gt;""),COUNTIFS($K$9:$K$59,$N41,$L$9:$L$59,AX$8),0)</f>
        <v>0</v>
      </c>
      <c r="AY41" s="175">
        <f t="array" ref="AY41">IF(AND($N41&lt;&gt;"",AY$8&lt;&gt;""),COUNTIFS($K$9:$K$59,$N41,$L$9:$L$59,AY$8),0)</f>
        <v>0</v>
      </c>
      <c r="AZ41" s="175">
        <f t="array" ref="AZ41">IF(AND($N41&lt;&gt;"",AZ$8&lt;&gt;""),COUNTIFS($K$9:$K$59,$N41,$L$9:$L$59,AZ$8),0)</f>
        <v>0</v>
      </c>
      <c r="BA41" s="175">
        <f t="array" ref="BA41">IF(AND($N41&lt;&gt;"",BA$8&lt;&gt;""),COUNTIFS($K$9:$K$59,$N41,$L$9:$L$59,BA$8),0)</f>
        <v>0</v>
      </c>
      <c r="BB41" s="175">
        <f t="array" ref="BB41">IF(AND($N41&lt;&gt;"",BB$8&lt;&gt;""),COUNTIFS($K$9:$K$59,$N41,$L$9:$L$59,BB$8),0)</f>
        <v>0</v>
      </c>
      <c r="BC41" s="175">
        <f t="array" ref="BC41">IF(AND($N41&lt;&gt;"",BC$8&lt;&gt;""),COUNTIFS($K$9:$K$59,$N41,$L$9:$L$59,BC$8),0)</f>
        <v>0</v>
      </c>
      <c r="BD41" s="175">
        <f t="array" ref="BD41">IF(AND($N41&lt;&gt;"",BD$8&lt;&gt;""),COUNTIFS($K$9:$K$59,$N41,$L$9:$L$59,BD$8),0)</f>
        <v>0</v>
      </c>
      <c r="BE41" s="175">
        <f t="array" ref="BE41">IF(AND($N41&lt;&gt;"",BE$8&lt;&gt;""),COUNTIFS($K$9:$K$59,$N41,$L$9:$L$59,BE$8),0)</f>
        <v>0</v>
      </c>
      <c r="BF41" s="175">
        <f t="array" ref="BF41">IF(AND($N41&lt;&gt;"",BF$8&lt;&gt;""),COUNTIFS($K$9:$K$59,$N41,$L$9:$L$59,BF$8),0)</f>
        <v>0</v>
      </c>
      <c r="BG41" s="175">
        <f t="array" ref="BG41">IF(AND($N41&lt;&gt;"",BG$8&lt;&gt;""),COUNTIFS($K$9:$K$59,$N41,$L$9:$L$59,BG$8),0)</f>
        <v>0</v>
      </c>
      <c r="BH41" s="175">
        <f t="array" ref="BH41">IF(AND($N41&lt;&gt;"",BH$8&lt;&gt;""),COUNTIFS($K$9:$K$59,$N41,$L$9:$L$59,BH$8),0)</f>
        <v>0</v>
      </c>
      <c r="BI41" s="175">
        <f t="array" ref="BI41">IF(AND($N41&lt;&gt;"",BI$8&lt;&gt;""),COUNTIFS($K$9:$K$59,$N41,$L$9:$L$59,BI$8),0)</f>
        <v>0</v>
      </c>
      <c r="BJ41" s="175">
        <f t="array" ref="BJ41">IF(AND($N41&lt;&gt;"",BJ$8&lt;&gt;""),COUNTIFS($K$9:$K$59,$N41,$L$9:$L$59,BJ$8),0)</f>
        <v>0</v>
      </c>
      <c r="BK41" s="175">
        <f t="array" ref="BK41">IF(AND($N41&lt;&gt;"",BK$8&lt;&gt;""),COUNTIFS($K$9:$K$59,$N41,$L$9:$L$59,BK$8),0)</f>
        <v>0</v>
      </c>
      <c r="BL41" s="175">
        <f t="array" ref="BL41">IF(AND($N41&lt;&gt;"",BL$8&lt;&gt;""),COUNTIFS($K$9:$K$59,$N41,$L$9:$L$59,BL$8),0)</f>
        <v>0</v>
      </c>
    </row>
    <row r="42" spans="2:64" s="22" customFormat="1" x14ac:dyDescent="0.2">
      <c r="B42" s="119" t="s">
        <v>127</v>
      </c>
      <c r="C42" s="260"/>
      <c r="D42" s="118"/>
      <c r="E42" s="15"/>
      <c r="F42" s="15"/>
      <c r="G42" s="15"/>
      <c r="H42" s="15" t="s">
        <v>287</v>
      </c>
      <c r="I42" s="116" t="str">
        <f t="shared" si="1"/>
        <v>-</v>
      </c>
      <c r="J42" s="120"/>
      <c r="K42" s="195" t="str">
        <f t="shared" si="2"/>
        <v/>
      </c>
      <c r="L42" s="188" t="str">
        <f t="shared" si="3"/>
        <v/>
      </c>
      <c r="N42" s="185" t="str">
        <f t="array" ref="N42">IFERROR(INDEX($K$9:$K$59,MATCH(0,COUNTIF($N$8:$N41,$K$9:$K$59),0)),"")</f>
        <v/>
      </c>
      <c r="O42" s="175">
        <f t="array" ref="O42">IF(AND($N42&lt;&gt;"",O$8&lt;&gt;""),COUNTIFS($K$9:$K$59,$N42,$L$9:$L$59,O$8),0)</f>
        <v>0</v>
      </c>
      <c r="P42" s="175">
        <f t="array" ref="P42">IF(AND($N42&lt;&gt;"",P$8&lt;&gt;""),COUNTIFS($K$9:$K$59,$N42,$L$9:$L$59,P$8),0)</f>
        <v>0</v>
      </c>
      <c r="Q42" s="175">
        <f t="array" ref="Q42">IF(AND($N42&lt;&gt;"",Q$8&lt;&gt;""),COUNTIFS($K$9:$K$59,$N42,$L$9:$L$59,Q$8),0)</f>
        <v>0</v>
      </c>
      <c r="R42" s="175">
        <f t="array" ref="R42">IF(AND($N42&lt;&gt;"",R$8&lt;&gt;""),COUNTIFS($K$9:$K$59,$N42,$L$9:$L$59,R$8),0)</f>
        <v>0</v>
      </c>
      <c r="S42" s="175">
        <f t="array" ref="S42">IF(AND($N42&lt;&gt;"",S$8&lt;&gt;""),COUNTIFS($K$9:$K$59,$N42,$L$9:$L$59,S$8),0)</f>
        <v>0</v>
      </c>
      <c r="T42" s="175">
        <f t="array" ref="T42">IF(AND($N42&lt;&gt;"",T$8&lt;&gt;""),COUNTIFS($K$9:$K$59,$N42,$L$9:$L$59,T$8),0)</f>
        <v>0</v>
      </c>
      <c r="U42" s="175">
        <f t="array" ref="U42">IF(AND($N42&lt;&gt;"",U$8&lt;&gt;""),COUNTIFS($K$9:$K$59,$N42,$L$9:$L$59,U$8),0)</f>
        <v>0</v>
      </c>
      <c r="V42" s="175">
        <f t="array" ref="V42">IF(AND($N42&lt;&gt;"",V$8&lt;&gt;""),COUNTIFS($K$9:$K$59,$N42,$L$9:$L$59,V$8),0)</f>
        <v>0</v>
      </c>
      <c r="W42" s="175">
        <f t="array" ref="W42">IF(AND($N42&lt;&gt;"",W$8&lt;&gt;""),COUNTIFS($K$9:$K$59,$N42,$L$9:$L$59,W$8),0)</f>
        <v>0</v>
      </c>
      <c r="X42" s="175">
        <f t="array" ref="X42">IF(AND($N42&lt;&gt;"",X$8&lt;&gt;""),COUNTIFS($K$9:$K$59,$N42,$L$9:$L$59,X$8),0)</f>
        <v>0</v>
      </c>
      <c r="Y42" s="175">
        <f t="array" ref="Y42">IF(AND($N42&lt;&gt;"",Y$8&lt;&gt;""),COUNTIFS($K$9:$K$59,$N42,$L$9:$L$59,Y$8),0)</f>
        <v>0</v>
      </c>
      <c r="Z42" s="175">
        <f t="array" ref="Z42">IF(AND($N42&lt;&gt;"",Z$8&lt;&gt;""),COUNTIFS($K$9:$K$59,$N42,$L$9:$L$59,Z$8),0)</f>
        <v>0</v>
      </c>
      <c r="AA42" s="175">
        <f t="array" ref="AA42">IF(AND($N42&lt;&gt;"",AA$8&lt;&gt;""),COUNTIFS($K$9:$K$59,$N42,$L$9:$L$59,AA$8),0)</f>
        <v>0</v>
      </c>
      <c r="AB42" s="175">
        <f t="array" ref="AB42">IF(AND($N42&lt;&gt;"",AB$8&lt;&gt;""),COUNTIFS($K$9:$K$59,$N42,$L$9:$L$59,AB$8),0)</f>
        <v>0</v>
      </c>
      <c r="AC42" s="175">
        <f t="array" ref="AC42">IF(AND($N42&lt;&gt;"",AC$8&lt;&gt;""),COUNTIFS($K$9:$K$59,$N42,$L$9:$L$59,AC$8),0)</f>
        <v>0</v>
      </c>
      <c r="AD42" s="175">
        <f t="array" ref="AD42">IF(AND($N42&lt;&gt;"",AD$8&lt;&gt;""),COUNTIFS($K$9:$K$59,$N42,$L$9:$L$59,AD$8),0)</f>
        <v>0</v>
      </c>
      <c r="AE42" s="175">
        <f t="array" ref="AE42">IF(AND($N42&lt;&gt;"",AE$8&lt;&gt;""),COUNTIFS($K$9:$K$59,$N42,$L$9:$L$59,AE$8),0)</f>
        <v>0</v>
      </c>
      <c r="AF42" s="175">
        <f t="array" ref="AF42">IF(AND($N42&lt;&gt;"",AF$8&lt;&gt;""),COUNTIFS($K$9:$K$59,$N42,$L$9:$L$59,AF$8),0)</f>
        <v>0</v>
      </c>
      <c r="AG42" s="175">
        <f t="array" ref="AG42">IF(AND($N42&lt;&gt;"",AG$8&lt;&gt;""),COUNTIFS($K$9:$K$59,$N42,$L$9:$L$59,AG$8),0)</f>
        <v>0</v>
      </c>
      <c r="AH42" s="175">
        <f t="array" ref="AH42">IF(AND($N42&lt;&gt;"",AH$8&lt;&gt;""),COUNTIFS($K$9:$K$59,$N42,$L$9:$L$59,AH$8),0)</f>
        <v>0</v>
      </c>
      <c r="AI42" s="175">
        <f t="array" ref="AI42">IF(AND($N42&lt;&gt;"",AI$8&lt;&gt;""),COUNTIFS($K$9:$K$59,$N42,$L$9:$L$59,AI$8),0)</f>
        <v>0</v>
      </c>
      <c r="AJ42" s="175">
        <f t="array" ref="AJ42">IF(AND($N42&lt;&gt;"",AJ$8&lt;&gt;""),COUNTIFS($K$9:$K$59,$N42,$L$9:$L$59,AJ$8),0)</f>
        <v>0</v>
      </c>
      <c r="AK42" s="175">
        <f t="array" ref="AK42">IF(AND($N42&lt;&gt;"",AK$8&lt;&gt;""),COUNTIFS($K$9:$K$59,$N42,$L$9:$L$59,AK$8),0)</f>
        <v>0</v>
      </c>
      <c r="AL42" s="175">
        <f t="array" ref="AL42">IF(AND($N42&lt;&gt;"",AL$8&lt;&gt;""),COUNTIFS($K$9:$K$59,$N42,$L$9:$L$59,AL$8),0)</f>
        <v>0</v>
      </c>
      <c r="AM42" s="175">
        <f t="array" ref="AM42">IF(AND($N42&lt;&gt;"",AM$8&lt;&gt;""),COUNTIFS($K$9:$K$59,$N42,$L$9:$L$59,AM$8),0)</f>
        <v>0</v>
      </c>
      <c r="AN42" s="175">
        <f t="array" ref="AN42">IF(AND($N42&lt;&gt;"",AN$8&lt;&gt;""),COUNTIFS($K$9:$K$59,$N42,$L$9:$L$59,AN$8),0)</f>
        <v>0</v>
      </c>
      <c r="AO42" s="175">
        <f t="array" ref="AO42">IF(AND($N42&lt;&gt;"",AO$8&lt;&gt;""),COUNTIFS($K$9:$K$59,$N42,$L$9:$L$59,AO$8),0)</f>
        <v>0</v>
      </c>
      <c r="AP42" s="175">
        <f t="array" ref="AP42">IF(AND($N42&lt;&gt;"",AP$8&lt;&gt;""),COUNTIFS($K$9:$K$59,$N42,$L$9:$L$59,AP$8),0)</f>
        <v>0</v>
      </c>
      <c r="AQ42" s="175">
        <f t="array" ref="AQ42">IF(AND($N42&lt;&gt;"",AQ$8&lt;&gt;""),COUNTIFS($K$9:$K$59,$N42,$L$9:$L$59,AQ$8),0)</f>
        <v>0</v>
      </c>
      <c r="AR42" s="175">
        <f t="array" ref="AR42">IF(AND($N42&lt;&gt;"",AR$8&lt;&gt;""),COUNTIFS($K$9:$K$59,$N42,$L$9:$L$59,AR$8),0)</f>
        <v>0</v>
      </c>
      <c r="AS42" s="175">
        <f t="array" ref="AS42">IF(AND($N42&lt;&gt;"",AS$8&lt;&gt;""),COUNTIFS($K$9:$K$59,$N42,$L$9:$L$59,AS$8),0)</f>
        <v>0</v>
      </c>
      <c r="AT42" s="175">
        <f t="array" ref="AT42">IF(AND($N42&lt;&gt;"",AT$8&lt;&gt;""),COUNTIFS($K$9:$K$59,$N42,$L$9:$L$59,AT$8),0)</f>
        <v>0</v>
      </c>
      <c r="AU42" s="175">
        <f t="array" ref="AU42">IF(AND($N42&lt;&gt;"",AU$8&lt;&gt;""),COUNTIFS($K$9:$K$59,$N42,$L$9:$L$59,AU$8),0)</f>
        <v>0</v>
      </c>
      <c r="AV42" s="175">
        <f t="array" ref="AV42">IF(AND($N42&lt;&gt;"",AV$8&lt;&gt;""),COUNTIFS($K$9:$K$59,$N42,$L$9:$L$59,AV$8),0)</f>
        <v>0</v>
      </c>
      <c r="AW42" s="175">
        <f t="array" ref="AW42">IF(AND($N42&lt;&gt;"",AW$8&lt;&gt;""),COUNTIFS($K$9:$K$59,$N42,$L$9:$L$59,AW$8),0)</f>
        <v>0</v>
      </c>
      <c r="AX42" s="175">
        <f t="array" ref="AX42">IF(AND($N42&lt;&gt;"",AX$8&lt;&gt;""),COUNTIFS($K$9:$K$59,$N42,$L$9:$L$59,AX$8),0)</f>
        <v>0</v>
      </c>
      <c r="AY42" s="175">
        <f t="array" ref="AY42">IF(AND($N42&lt;&gt;"",AY$8&lt;&gt;""),COUNTIFS($K$9:$K$59,$N42,$L$9:$L$59,AY$8),0)</f>
        <v>0</v>
      </c>
      <c r="AZ42" s="175">
        <f t="array" ref="AZ42">IF(AND($N42&lt;&gt;"",AZ$8&lt;&gt;""),COUNTIFS($K$9:$K$59,$N42,$L$9:$L$59,AZ$8),0)</f>
        <v>0</v>
      </c>
      <c r="BA42" s="175">
        <f t="array" ref="BA42">IF(AND($N42&lt;&gt;"",BA$8&lt;&gt;""),COUNTIFS($K$9:$K$59,$N42,$L$9:$L$59,BA$8),0)</f>
        <v>0</v>
      </c>
      <c r="BB42" s="175">
        <f t="array" ref="BB42">IF(AND($N42&lt;&gt;"",BB$8&lt;&gt;""),COUNTIFS($K$9:$K$59,$N42,$L$9:$L$59,BB$8),0)</f>
        <v>0</v>
      </c>
      <c r="BC42" s="175">
        <f t="array" ref="BC42">IF(AND($N42&lt;&gt;"",BC$8&lt;&gt;""),COUNTIFS($K$9:$K$59,$N42,$L$9:$L$59,BC$8),0)</f>
        <v>0</v>
      </c>
      <c r="BD42" s="175">
        <f t="array" ref="BD42">IF(AND($N42&lt;&gt;"",BD$8&lt;&gt;""),COUNTIFS($K$9:$K$59,$N42,$L$9:$L$59,BD$8),0)</f>
        <v>0</v>
      </c>
      <c r="BE42" s="175">
        <f t="array" ref="BE42">IF(AND($N42&lt;&gt;"",BE$8&lt;&gt;""),COUNTIFS($K$9:$K$59,$N42,$L$9:$L$59,BE$8),0)</f>
        <v>0</v>
      </c>
      <c r="BF42" s="175">
        <f t="array" ref="BF42">IF(AND($N42&lt;&gt;"",BF$8&lt;&gt;""),COUNTIFS($K$9:$K$59,$N42,$L$9:$L$59,BF$8),0)</f>
        <v>0</v>
      </c>
      <c r="BG42" s="175">
        <f t="array" ref="BG42">IF(AND($N42&lt;&gt;"",BG$8&lt;&gt;""),COUNTIFS($K$9:$K$59,$N42,$L$9:$L$59,BG$8),0)</f>
        <v>0</v>
      </c>
      <c r="BH42" s="175">
        <f t="array" ref="BH42">IF(AND($N42&lt;&gt;"",BH$8&lt;&gt;""),COUNTIFS($K$9:$K$59,$N42,$L$9:$L$59,BH$8),0)</f>
        <v>0</v>
      </c>
      <c r="BI42" s="175">
        <f t="array" ref="BI42">IF(AND($N42&lt;&gt;"",BI$8&lt;&gt;""),COUNTIFS($K$9:$K$59,$N42,$L$9:$L$59,BI$8),0)</f>
        <v>0</v>
      </c>
      <c r="BJ42" s="175">
        <f t="array" ref="BJ42">IF(AND($N42&lt;&gt;"",BJ$8&lt;&gt;""),COUNTIFS($K$9:$K$59,$N42,$L$9:$L$59,BJ$8),0)</f>
        <v>0</v>
      </c>
      <c r="BK42" s="175">
        <f t="array" ref="BK42">IF(AND($N42&lt;&gt;"",BK$8&lt;&gt;""),COUNTIFS($K$9:$K$59,$N42,$L$9:$L$59,BK$8),0)</f>
        <v>0</v>
      </c>
      <c r="BL42" s="175">
        <f t="array" ref="BL42">IF(AND($N42&lt;&gt;"",BL$8&lt;&gt;""),COUNTIFS($K$9:$K$59,$N42,$L$9:$L$59,BL$8),0)</f>
        <v>0</v>
      </c>
    </row>
    <row r="43" spans="2:64" s="22" customFormat="1" x14ac:dyDescent="0.2">
      <c r="B43" s="119" t="s">
        <v>128</v>
      </c>
      <c r="C43" s="260"/>
      <c r="D43" s="118"/>
      <c r="E43" s="15"/>
      <c r="F43" s="15"/>
      <c r="G43" s="15"/>
      <c r="H43" s="15" t="s">
        <v>287</v>
      </c>
      <c r="I43" s="116" t="str">
        <f t="shared" si="1"/>
        <v>-</v>
      </c>
      <c r="J43" s="120"/>
      <c r="K43" s="195" t="str">
        <f t="shared" si="2"/>
        <v/>
      </c>
      <c r="L43" s="188" t="str">
        <f t="shared" si="3"/>
        <v/>
      </c>
      <c r="N43" s="185" t="str">
        <f t="array" ref="N43">IFERROR(INDEX($K$9:$K$59,MATCH(0,COUNTIF($N$8:$N42,$K$9:$K$59),0)),"")</f>
        <v/>
      </c>
      <c r="O43" s="175">
        <f t="array" ref="O43">IF(AND($N43&lt;&gt;"",O$8&lt;&gt;""),COUNTIFS($K$9:$K$59,$N43,$L$9:$L$59,O$8),0)</f>
        <v>0</v>
      </c>
      <c r="P43" s="175">
        <f t="array" ref="P43">IF(AND($N43&lt;&gt;"",P$8&lt;&gt;""),COUNTIFS($K$9:$K$59,$N43,$L$9:$L$59,P$8),0)</f>
        <v>0</v>
      </c>
      <c r="Q43" s="175">
        <f t="array" ref="Q43">IF(AND($N43&lt;&gt;"",Q$8&lt;&gt;""),COUNTIFS($K$9:$K$59,$N43,$L$9:$L$59,Q$8),0)</f>
        <v>0</v>
      </c>
      <c r="R43" s="175">
        <f t="array" ref="R43">IF(AND($N43&lt;&gt;"",R$8&lt;&gt;""),COUNTIFS($K$9:$K$59,$N43,$L$9:$L$59,R$8),0)</f>
        <v>0</v>
      </c>
      <c r="S43" s="175">
        <f t="array" ref="S43">IF(AND($N43&lt;&gt;"",S$8&lt;&gt;""),COUNTIFS($K$9:$K$59,$N43,$L$9:$L$59,S$8),0)</f>
        <v>0</v>
      </c>
      <c r="T43" s="175">
        <f t="array" ref="T43">IF(AND($N43&lt;&gt;"",T$8&lt;&gt;""),COUNTIFS($K$9:$K$59,$N43,$L$9:$L$59,T$8),0)</f>
        <v>0</v>
      </c>
      <c r="U43" s="175">
        <f t="array" ref="U43">IF(AND($N43&lt;&gt;"",U$8&lt;&gt;""),COUNTIFS($K$9:$K$59,$N43,$L$9:$L$59,U$8),0)</f>
        <v>0</v>
      </c>
      <c r="V43" s="175">
        <f t="array" ref="V43">IF(AND($N43&lt;&gt;"",V$8&lt;&gt;""),COUNTIFS($K$9:$K$59,$N43,$L$9:$L$59,V$8),0)</f>
        <v>0</v>
      </c>
      <c r="W43" s="175">
        <f t="array" ref="W43">IF(AND($N43&lt;&gt;"",W$8&lt;&gt;""),COUNTIFS($K$9:$K$59,$N43,$L$9:$L$59,W$8),0)</f>
        <v>0</v>
      </c>
      <c r="X43" s="175">
        <f t="array" ref="X43">IF(AND($N43&lt;&gt;"",X$8&lt;&gt;""),COUNTIFS($K$9:$K$59,$N43,$L$9:$L$59,X$8),0)</f>
        <v>0</v>
      </c>
      <c r="Y43" s="175">
        <f t="array" ref="Y43">IF(AND($N43&lt;&gt;"",Y$8&lt;&gt;""),COUNTIFS($K$9:$K$59,$N43,$L$9:$L$59,Y$8),0)</f>
        <v>0</v>
      </c>
      <c r="Z43" s="175">
        <f t="array" ref="Z43">IF(AND($N43&lt;&gt;"",Z$8&lt;&gt;""),COUNTIFS($K$9:$K$59,$N43,$L$9:$L$59,Z$8),0)</f>
        <v>0</v>
      </c>
      <c r="AA43" s="175">
        <f t="array" ref="AA43">IF(AND($N43&lt;&gt;"",AA$8&lt;&gt;""),COUNTIFS($K$9:$K$59,$N43,$L$9:$L$59,AA$8),0)</f>
        <v>0</v>
      </c>
      <c r="AB43" s="175">
        <f t="array" ref="AB43">IF(AND($N43&lt;&gt;"",AB$8&lt;&gt;""),COUNTIFS($K$9:$K$59,$N43,$L$9:$L$59,AB$8),0)</f>
        <v>0</v>
      </c>
      <c r="AC43" s="175">
        <f t="array" ref="AC43">IF(AND($N43&lt;&gt;"",AC$8&lt;&gt;""),COUNTIFS($K$9:$K$59,$N43,$L$9:$L$59,AC$8),0)</f>
        <v>0</v>
      </c>
      <c r="AD43" s="175">
        <f t="array" ref="AD43">IF(AND($N43&lt;&gt;"",AD$8&lt;&gt;""),COUNTIFS($K$9:$K$59,$N43,$L$9:$L$59,AD$8),0)</f>
        <v>0</v>
      </c>
      <c r="AE43" s="175">
        <f t="array" ref="AE43">IF(AND($N43&lt;&gt;"",AE$8&lt;&gt;""),COUNTIFS($K$9:$K$59,$N43,$L$9:$L$59,AE$8),0)</f>
        <v>0</v>
      </c>
      <c r="AF43" s="175">
        <f t="array" ref="AF43">IF(AND($N43&lt;&gt;"",AF$8&lt;&gt;""),COUNTIFS($K$9:$K$59,$N43,$L$9:$L$59,AF$8),0)</f>
        <v>0</v>
      </c>
      <c r="AG43" s="175">
        <f t="array" ref="AG43">IF(AND($N43&lt;&gt;"",AG$8&lt;&gt;""),COUNTIFS($K$9:$K$59,$N43,$L$9:$L$59,AG$8),0)</f>
        <v>0</v>
      </c>
      <c r="AH43" s="175">
        <f t="array" ref="AH43">IF(AND($N43&lt;&gt;"",AH$8&lt;&gt;""),COUNTIFS($K$9:$K$59,$N43,$L$9:$L$59,AH$8),0)</f>
        <v>0</v>
      </c>
      <c r="AI43" s="175">
        <f t="array" ref="AI43">IF(AND($N43&lt;&gt;"",AI$8&lt;&gt;""),COUNTIFS($K$9:$K$59,$N43,$L$9:$L$59,AI$8),0)</f>
        <v>0</v>
      </c>
      <c r="AJ43" s="175">
        <f t="array" ref="AJ43">IF(AND($N43&lt;&gt;"",AJ$8&lt;&gt;""),COUNTIFS($K$9:$K$59,$N43,$L$9:$L$59,AJ$8),0)</f>
        <v>0</v>
      </c>
      <c r="AK43" s="175">
        <f t="array" ref="AK43">IF(AND($N43&lt;&gt;"",AK$8&lt;&gt;""),COUNTIFS($K$9:$K$59,$N43,$L$9:$L$59,AK$8),0)</f>
        <v>0</v>
      </c>
      <c r="AL43" s="175">
        <f t="array" ref="AL43">IF(AND($N43&lt;&gt;"",AL$8&lt;&gt;""),COUNTIFS($K$9:$K$59,$N43,$L$9:$L$59,AL$8),0)</f>
        <v>0</v>
      </c>
      <c r="AM43" s="175">
        <f t="array" ref="AM43">IF(AND($N43&lt;&gt;"",AM$8&lt;&gt;""),COUNTIFS($K$9:$K$59,$N43,$L$9:$L$59,AM$8),0)</f>
        <v>0</v>
      </c>
      <c r="AN43" s="175">
        <f t="array" ref="AN43">IF(AND($N43&lt;&gt;"",AN$8&lt;&gt;""),COUNTIFS($K$9:$K$59,$N43,$L$9:$L$59,AN$8),0)</f>
        <v>0</v>
      </c>
      <c r="AO43" s="175">
        <f t="array" ref="AO43">IF(AND($N43&lt;&gt;"",AO$8&lt;&gt;""),COUNTIFS($K$9:$K$59,$N43,$L$9:$L$59,AO$8),0)</f>
        <v>0</v>
      </c>
      <c r="AP43" s="175">
        <f t="array" ref="AP43">IF(AND($N43&lt;&gt;"",AP$8&lt;&gt;""),COUNTIFS($K$9:$K$59,$N43,$L$9:$L$59,AP$8),0)</f>
        <v>0</v>
      </c>
      <c r="AQ43" s="175">
        <f t="array" ref="AQ43">IF(AND($N43&lt;&gt;"",AQ$8&lt;&gt;""),COUNTIFS($K$9:$K$59,$N43,$L$9:$L$59,AQ$8),0)</f>
        <v>0</v>
      </c>
      <c r="AR43" s="175">
        <f t="array" ref="AR43">IF(AND($N43&lt;&gt;"",AR$8&lt;&gt;""),COUNTIFS($K$9:$K$59,$N43,$L$9:$L$59,AR$8),0)</f>
        <v>0</v>
      </c>
      <c r="AS43" s="175">
        <f t="array" ref="AS43">IF(AND($N43&lt;&gt;"",AS$8&lt;&gt;""),COUNTIFS($K$9:$K$59,$N43,$L$9:$L$59,AS$8),0)</f>
        <v>0</v>
      </c>
      <c r="AT43" s="175">
        <f t="array" ref="AT43">IF(AND($N43&lt;&gt;"",AT$8&lt;&gt;""),COUNTIFS($K$9:$K$59,$N43,$L$9:$L$59,AT$8),0)</f>
        <v>0</v>
      </c>
      <c r="AU43" s="175">
        <f t="array" ref="AU43">IF(AND($N43&lt;&gt;"",AU$8&lt;&gt;""),COUNTIFS($K$9:$K$59,$N43,$L$9:$L$59,AU$8),0)</f>
        <v>0</v>
      </c>
      <c r="AV43" s="175">
        <f t="array" ref="AV43">IF(AND($N43&lt;&gt;"",AV$8&lt;&gt;""),COUNTIFS($K$9:$K$59,$N43,$L$9:$L$59,AV$8),0)</f>
        <v>0</v>
      </c>
      <c r="AW43" s="175">
        <f t="array" ref="AW43">IF(AND($N43&lt;&gt;"",AW$8&lt;&gt;""),COUNTIFS($K$9:$K$59,$N43,$L$9:$L$59,AW$8),0)</f>
        <v>0</v>
      </c>
      <c r="AX43" s="175">
        <f t="array" ref="AX43">IF(AND($N43&lt;&gt;"",AX$8&lt;&gt;""),COUNTIFS($K$9:$K$59,$N43,$L$9:$L$59,AX$8),0)</f>
        <v>0</v>
      </c>
      <c r="AY43" s="175">
        <f t="array" ref="AY43">IF(AND($N43&lt;&gt;"",AY$8&lt;&gt;""),COUNTIFS($K$9:$K$59,$N43,$L$9:$L$59,AY$8),0)</f>
        <v>0</v>
      </c>
      <c r="AZ43" s="175">
        <f t="array" ref="AZ43">IF(AND($N43&lt;&gt;"",AZ$8&lt;&gt;""),COUNTIFS($K$9:$K$59,$N43,$L$9:$L$59,AZ$8),0)</f>
        <v>0</v>
      </c>
      <c r="BA43" s="175">
        <f t="array" ref="BA43">IF(AND($N43&lt;&gt;"",BA$8&lt;&gt;""),COUNTIFS($K$9:$K$59,$N43,$L$9:$L$59,BA$8),0)</f>
        <v>0</v>
      </c>
      <c r="BB43" s="175">
        <f t="array" ref="BB43">IF(AND($N43&lt;&gt;"",BB$8&lt;&gt;""),COUNTIFS($K$9:$K$59,$N43,$L$9:$L$59,BB$8),0)</f>
        <v>0</v>
      </c>
      <c r="BC43" s="175">
        <f t="array" ref="BC43">IF(AND($N43&lt;&gt;"",BC$8&lt;&gt;""),COUNTIFS($K$9:$K$59,$N43,$L$9:$L$59,BC$8),0)</f>
        <v>0</v>
      </c>
      <c r="BD43" s="175">
        <f t="array" ref="BD43">IF(AND($N43&lt;&gt;"",BD$8&lt;&gt;""),COUNTIFS($K$9:$K$59,$N43,$L$9:$L$59,BD$8),0)</f>
        <v>0</v>
      </c>
      <c r="BE43" s="175">
        <f t="array" ref="BE43">IF(AND($N43&lt;&gt;"",BE$8&lt;&gt;""),COUNTIFS($K$9:$K$59,$N43,$L$9:$L$59,BE$8),0)</f>
        <v>0</v>
      </c>
      <c r="BF43" s="175">
        <f t="array" ref="BF43">IF(AND($N43&lt;&gt;"",BF$8&lt;&gt;""),COUNTIFS($K$9:$K$59,$N43,$L$9:$L$59,BF$8),0)</f>
        <v>0</v>
      </c>
      <c r="BG43" s="175">
        <f t="array" ref="BG43">IF(AND($N43&lt;&gt;"",BG$8&lt;&gt;""),COUNTIFS($K$9:$K$59,$N43,$L$9:$L$59,BG$8),0)</f>
        <v>0</v>
      </c>
      <c r="BH43" s="175">
        <f t="array" ref="BH43">IF(AND($N43&lt;&gt;"",BH$8&lt;&gt;""),COUNTIFS($K$9:$K$59,$N43,$L$9:$L$59,BH$8),0)</f>
        <v>0</v>
      </c>
      <c r="BI43" s="175">
        <f t="array" ref="BI43">IF(AND($N43&lt;&gt;"",BI$8&lt;&gt;""),COUNTIFS($K$9:$K$59,$N43,$L$9:$L$59,BI$8),0)</f>
        <v>0</v>
      </c>
      <c r="BJ43" s="175">
        <f t="array" ref="BJ43">IF(AND($N43&lt;&gt;"",BJ$8&lt;&gt;""),COUNTIFS($K$9:$K$59,$N43,$L$9:$L$59,BJ$8),0)</f>
        <v>0</v>
      </c>
      <c r="BK43" s="175">
        <f t="array" ref="BK43">IF(AND($N43&lt;&gt;"",BK$8&lt;&gt;""),COUNTIFS($K$9:$K$59,$N43,$L$9:$L$59,BK$8),0)</f>
        <v>0</v>
      </c>
      <c r="BL43" s="175">
        <f t="array" ref="BL43">IF(AND($N43&lt;&gt;"",BL$8&lt;&gt;""),COUNTIFS($K$9:$K$59,$N43,$L$9:$L$59,BL$8),0)</f>
        <v>0</v>
      </c>
    </row>
    <row r="44" spans="2:64" s="22" customFormat="1" x14ac:dyDescent="0.2">
      <c r="B44" s="119" t="s">
        <v>129</v>
      </c>
      <c r="C44" s="260"/>
      <c r="D44" s="118"/>
      <c r="E44" s="15"/>
      <c r="F44" s="15"/>
      <c r="G44" s="15"/>
      <c r="H44" s="15" t="s">
        <v>287</v>
      </c>
      <c r="I44" s="116" t="str">
        <f t="shared" si="1"/>
        <v>-</v>
      </c>
      <c r="J44" s="120"/>
      <c r="K44" s="195" t="str">
        <f t="shared" si="2"/>
        <v/>
      </c>
      <c r="L44" s="188" t="str">
        <f t="shared" si="3"/>
        <v/>
      </c>
      <c r="N44" s="185" t="str">
        <f t="array" ref="N44">IFERROR(INDEX($K$9:$K$59,MATCH(0,COUNTIF($N$8:$N43,$K$9:$K$59),0)),"")</f>
        <v/>
      </c>
      <c r="O44" s="175">
        <f t="array" ref="O44">IF(AND($N44&lt;&gt;"",O$8&lt;&gt;""),COUNTIFS($K$9:$K$59,$N44,$L$9:$L$59,O$8),0)</f>
        <v>0</v>
      </c>
      <c r="P44" s="175">
        <f t="array" ref="P44">IF(AND($N44&lt;&gt;"",P$8&lt;&gt;""),COUNTIFS($K$9:$K$59,$N44,$L$9:$L$59,P$8),0)</f>
        <v>0</v>
      </c>
      <c r="Q44" s="175">
        <f t="array" ref="Q44">IF(AND($N44&lt;&gt;"",Q$8&lt;&gt;""),COUNTIFS($K$9:$K$59,$N44,$L$9:$L$59,Q$8),0)</f>
        <v>0</v>
      </c>
      <c r="R44" s="175">
        <f t="array" ref="R44">IF(AND($N44&lt;&gt;"",R$8&lt;&gt;""),COUNTIFS($K$9:$K$59,$N44,$L$9:$L$59,R$8),0)</f>
        <v>0</v>
      </c>
      <c r="S44" s="175">
        <f t="array" ref="S44">IF(AND($N44&lt;&gt;"",S$8&lt;&gt;""),COUNTIFS($K$9:$K$59,$N44,$L$9:$L$59,S$8),0)</f>
        <v>0</v>
      </c>
      <c r="T44" s="175">
        <f t="array" ref="T44">IF(AND($N44&lt;&gt;"",T$8&lt;&gt;""),COUNTIFS($K$9:$K$59,$N44,$L$9:$L$59,T$8),0)</f>
        <v>0</v>
      </c>
      <c r="U44" s="175">
        <f t="array" ref="U44">IF(AND($N44&lt;&gt;"",U$8&lt;&gt;""),COUNTIFS($K$9:$K$59,$N44,$L$9:$L$59,U$8),0)</f>
        <v>0</v>
      </c>
      <c r="V44" s="175">
        <f t="array" ref="V44">IF(AND($N44&lt;&gt;"",V$8&lt;&gt;""),COUNTIFS($K$9:$K$59,$N44,$L$9:$L$59,V$8),0)</f>
        <v>0</v>
      </c>
      <c r="W44" s="175">
        <f t="array" ref="W44">IF(AND($N44&lt;&gt;"",W$8&lt;&gt;""),COUNTIFS($K$9:$K$59,$N44,$L$9:$L$59,W$8),0)</f>
        <v>0</v>
      </c>
      <c r="X44" s="175">
        <f t="array" ref="X44">IF(AND($N44&lt;&gt;"",X$8&lt;&gt;""),COUNTIFS($K$9:$K$59,$N44,$L$9:$L$59,X$8),0)</f>
        <v>0</v>
      </c>
      <c r="Y44" s="175">
        <f t="array" ref="Y44">IF(AND($N44&lt;&gt;"",Y$8&lt;&gt;""),COUNTIFS($K$9:$K$59,$N44,$L$9:$L$59,Y$8),0)</f>
        <v>0</v>
      </c>
      <c r="Z44" s="175">
        <f t="array" ref="Z44">IF(AND($N44&lt;&gt;"",Z$8&lt;&gt;""),COUNTIFS($K$9:$K$59,$N44,$L$9:$L$59,Z$8),0)</f>
        <v>0</v>
      </c>
      <c r="AA44" s="175">
        <f t="array" ref="AA44">IF(AND($N44&lt;&gt;"",AA$8&lt;&gt;""),COUNTIFS($K$9:$K$59,$N44,$L$9:$L$59,AA$8),0)</f>
        <v>0</v>
      </c>
      <c r="AB44" s="175">
        <f t="array" ref="AB44">IF(AND($N44&lt;&gt;"",AB$8&lt;&gt;""),COUNTIFS($K$9:$K$59,$N44,$L$9:$L$59,AB$8),0)</f>
        <v>0</v>
      </c>
      <c r="AC44" s="175">
        <f t="array" ref="AC44">IF(AND($N44&lt;&gt;"",AC$8&lt;&gt;""),COUNTIFS($K$9:$K$59,$N44,$L$9:$L$59,AC$8),0)</f>
        <v>0</v>
      </c>
      <c r="AD44" s="175">
        <f t="array" ref="AD44">IF(AND($N44&lt;&gt;"",AD$8&lt;&gt;""),COUNTIFS($K$9:$K$59,$N44,$L$9:$L$59,AD$8),0)</f>
        <v>0</v>
      </c>
      <c r="AE44" s="175">
        <f t="array" ref="AE44">IF(AND($N44&lt;&gt;"",AE$8&lt;&gt;""),COUNTIFS($K$9:$K$59,$N44,$L$9:$L$59,AE$8),0)</f>
        <v>0</v>
      </c>
      <c r="AF44" s="175">
        <f t="array" ref="AF44">IF(AND($N44&lt;&gt;"",AF$8&lt;&gt;""),COUNTIFS($K$9:$K$59,$N44,$L$9:$L$59,AF$8),0)</f>
        <v>0</v>
      </c>
      <c r="AG44" s="175">
        <f t="array" ref="AG44">IF(AND($N44&lt;&gt;"",AG$8&lt;&gt;""),COUNTIFS($K$9:$K$59,$N44,$L$9:$L$59,AG$8),0)</f>
        <v>0</v>
      </c>
      <c r="AH44" s="175">
        <f t="array" ref="AH44">IF(AND($N44&lt;&gt;"",AH$8&lt;&gt;""),COUNTIFS($K$9:$K$59,$N44,$L$9:$L$59,AH$8),0)</f>
        <v>0</v>
      </c>
      <c r="AI44" s="175">
        <f t="array" ref="AI44">IF(AND($N44&lt;&gt;"",AI$8&lt;&gt;""),COUNTIFS($K$9:$K$59,$N44,$L$9:$L$59,AI$8),0)</f>
        <v>0</v>
      </c>
      <c r="AJ44" s="175">
        <f t="array" ref="AJ44">IF(AND($N44&lt;&gt;"",AJ$8&lt;&gt;""),COUNTIFS($K$9:$K$59,$N44,$L$9:$L$59,AJ$8),0)</f>
        <v>0</v>
      </c>
      <c r="AK44" s="175">
        <f t="array" ref="AK44">IF(AND($N44&lt;&gt;"",AK$8&lt;&gt;""),COUNTIFS($K$9:$K$59,$N44,$L$9:$L$59,AK$8),0)</f>
        <v>0</v>
      </c>
      <c r="AL44" s="175">
        <f t="array" ref="AL44">IF(AND($N44&lt;&gt;"",AL$8&lt;&gt;""),COUNTIFS($K$9:$K$59,$N44,$L$9:$L$59,AL$8),0)</f>
        <v>0</v>
      </c>
      <c r="AM44" s="175">
        <f t="array" ref="AM44">IF(AND($N44&lt;&gt;"",AM$8&lt;&gt;""),COUNTIFS($K$9:$K$59,$N44,$L$9:$L$59,AM$8),0)</f>
        <v>0</v>
      </c>
      <c r="AN44" s="175">
        <f t="array" ref="AN44">IF(AND($N44&lt;&gt;"",AN$8&lt;&gt;""),COUNTIFS($K$9:$K$59,$N44,$L$9:$L$59,AN$8),0)</f>
        <v>0</v>
      </c>
      <c r="AO44" s="175">
        <f t="array" ref="AO44">IF(AND($N44&lt;&gt;"",AO$8&lt;&gt;""),COUNTIFS($K$9:$K$59,$N44,$L$9:$L$59,AO$8),0)</f>
        <v>0</v>
      </c>
      <c r="AP44" s="175">
        <f t="array" ref="AP44">IF(AND($N44&lt;&gt;"",AP$8&lt;&gt;""),COUNTIFS($K$9:$K$59,$N44,$L$9:$L$59,AP$8),0)</f>
        <v>0</v>
      </c>
      <c r="AQ44" s="175">
        <f t="array" ref="AQ44">IF(AND($N44&lt;&gt;"",AQ$8&lt;&gt;""),COUNTIFS($K$9:$K$59,$N44,$L$9:$L$59,AQ$8),0)</f>
        <v>0</v>
      </c>
      <c r="AR44" s="175">
        <f t="array" ref="AR44">IF(AND($N44&lt;&gt;"",AR$8&lt;&gt;""),COUNTIFS($K$9:$K$59,$N44,$L$9:$L$59,AR$8),0)</f>
        <v>0</v>
      </c>
      <c r="AS44" s="175">
        <f t="array" ref="AS44">IF(AND($N44&lt;&gt;"",AS$8&lt;&gt;""),COUNTIFS($K$9:$K$59,$N44,$L$9:$L$59,AS$8),0)</f>
        <v>0</v>
      </c>
      <c r="AT44" s="175">
        <f t="array" ref="AT44">IF(AND($N44&lt;&gt;"",AT$8&lt;&gt;""),COUNTIFS($K$9:$K$59,$N44,$L$9:$L$59,AT$8),0)</f>
        <v>0</v>
      </c>
      <c r="AU44" s="175">
        <f t="array" ref="AU44">IF(AND($N44&lt;&gt;"",AU$8&lt;&gt;""),COUNTIFS($K$9:$K$59,$N44,$L$9:$L$59,AU$8),0)</f>
        <v>0</v>
      </c>
      <c r="AV44" s="175">
        <f t="array" ref="AV44">IF(AND($N44&lt;&gt;"",AV$8&lt;&gt;""),COUNTIFS($K$9:$K$59,$N44,$L$9:$L$59,AV$8),0)</f>
        <v>0</v>
      </c>
      <c r="AW44" s="175">
        <f t="array" ref="AW44">IF(AND($N44&lt;&gt;"",AW$8&lt;&gt;""),COUNTIFS($K$9:$K$59,$N44,$L$9:$L$59,AW$8),0)</f>
        <v>0</v>
      </c>
      <c r="AX44" s="175">
        <f t="array" ref="AX44">IF(AND($N44&lt;&gt;"",AX$8&lt;&gt;""),COUNTIFS($K$9:$K$59,$N44,$L$9:$L$59,AX$8),0)</f>
        <v>0</v>
      </c>
      <c r="AY44" s="175">
        <f t="array" ref="AY44">IF(AND($N44&lt;&gt;"",AY$8&lt;&gt;""),COUNTIFS($K$9:$K$59,$N44,$L$9:$L$59,AY$8),0)</f>
        <v>0</v>
      </c>
      <c r="AZ44" s="175">
        <f t="array" ref="AZ44">IF(AND($N44&lt;&gt;"",AZ$8&lt;&gt;""),COUNTIFS($K$9:$K$59,$N44,$L$9:$L$59,AZ$8),0)</f>
        <v>0</v>
      </c>
      <c r="BA44" s="175">
        <f t="array" ref="BA44">IF(AND($N44&lt;&gt;"",BA$8&lt;&gt;""),COUNTIFS($K$9:$K$59,$N44,$L$9:$L$59,BA$8),0)</f>
        <v>0</v>
      </c>
      <c r="BB44" s="175">
        <f t="array" ref="BB44">IF(AND($N44&lt;&gt;"",BB$8&lt;&gt;""),COUNTIFS($K$9:$K$59,$N44,$L$9:$L$59,BB$8),0)</f>
        <v>0</v>
      </c>
      <c r="BC44" s="175">
        <f t="array" ref="BC44">IF(AND($N44&lt;&gt;"",BC$8&lt;&gt;""),COUNTIFS($K$9:$K$59,$N44,$L$9:$L$59,BC$8),0)</f>
        <v>0</v>
      </c>
      <c r="BD44" s="175">
        <f t="array" ref="BD44">IF(AND($N44&lt;&gt;"",BD$8&lt;&gt;""),COUNTIFS($K$9:$K$59,$N44,$L$9:$L$59,BD$8),0)</f>
        <v>0</v>
      </c>
      <c r="BE44" s="175">
        <f t="array" ref="BE44">IF(AND($N44&lt;&gt;"",BE$8&lt;&gt;""),COUNTIFS($K$9:$K$59,$N44,$L$9:$L$59,BE$8),0)</f>
        <v>0</v>
      </c>
      <c r="BF44" s="175">
        <f t="array" ref="BF44">IF(AND($N44&lt;&gt;"",BF$8&lt;&gt;""),COUNTIFS($K$9:$K$59,$N44,$L$9:$L$59,BF$8),0)</f>
        <v>0</v>
      </c>
      <c r="BG44" s="175">
        <f t="array" ref="BG44">IF(AND($N44&lt;&gt;"",BG$8&lt;&gt;""),COUNTIFS($K$9:$K$59,$N44,$L$9:$L$59,BG$8),0)</f>
        <v>0</v>
      </c>
      <c r="BH44" s="175">
        <f t="array" ref="BH44">IF(AND($N44&lt;&gt;"",BH$8&lt;&gt;""),COUNTIFS($K$9:$K$59,$N44,$L$9:$L$59,BH$8),0)</f>
        <v>0</v>
      </c>
      <c r="BI44" s="175">
        <f t="array" ref="BI44">IF(AND($N44&lt;&gt;"",BI$8&lt;&gt;""),COUNTIFS($K$9:$K$59,$N44,$L$9:$L$59,BI$8),0)</f>
        <v>0</v>
      </c>
      <c r="BJ44" s="175">
        <f t="array" ref="BJ44">IF(AND($N44&lt;&gt;"",BJ$8&lt;&gt;""),COUNTIFS($K$9:$K$59,$N44,$L$9:$L$59,BJ$8),0)</f>
        <v>0</v>
      </c>
      <c r="BK44" s="175">
        <f t="array" ref="BK44">IF(AND($N44&lt;&gt;"",BK$8&lt;&gt;""),COUNTIFS($K$9:$K$59,$N44,$L$9:$L$59,BK$8),0)</f>
        <v>0</v>
      </c>
      <c r="BL44" s="175">
        <f t="array" ref="BL44">IF(AND($N44&lt;&gt;"",BL$8&lt;&gt;""),COUNTIFS($K$9:$K$59,$N44,$L$9:$L$59,BL$8),0)</f>
        <v>0</v>
      </c>
    </row>
    <row r="45" spans="2:64" s="22" customFormat="1" x14ac:dyDescent="0.2">
      <c r="B45" s="119" t="s">
        <v>130</v>
      </c>
      <c r="C45" s="260"/>
      <c r="D45" s="118"/>
      <c r="E45" s="15"/>
      <c r="F45" s="15"/>
      <c r="G45" s="15"/>
      <c r="H45" s="15" t="s">
        <v>287</v>
      </c>
      <c r="I45" s="116" t="str">
        <f t="shared" si="1"/>
        <v>-</v>
      </c>
      <c r="J45" s="120"/>
      <c r="K45" s="195" t="str">
        <f t="shared" si="2"/>
        <v/>
      </c>
      <c r="L45" s="188" t="str">
        <f t="shared" si="3"/>
        <v/>
      </c>
      <c r="N45" s="185" t="str">
        <f t="array" ref="N45">IFERROR(INDEX($K$9:$K$59,MATCH(0,COUNTIF($N$8:$N44,$K$9:$K$59),0)),"")</f>
        <v/>
      </c>
      <c r="O45" s="175">
        <f t="array" ref="O45">IF(AND($N45&lt;&gt;"",O$8&lt;&gt;""),COUNTIFS($K$9:$K$59,$N45,$L$9:$L$59,O$8),0)</f>
        <v>0</v>
      </c>
      <c r="P45" s="175">
        <f t="array" ref="P45">IF(AND($N45&lt;&gt;"",P$8&lt;&gt;""),COUNTIFS($K$9:$K$59,$N45,$L$9:$L$59,P$8),0)</f>
        <v>0</v>
      </c>
      <c r="Q45" s="175">
        <f t="array" ref="Q45">IF(AND($N45&lt;&gt;"",Q$8&lt;&gt;""),COUNTIFS($K$9:$K$59,$N45,$L$9:$L$59,Q$8),0)</f>
        <v>0</v>
      </c>
      <c r="R45" s="175">
        <f t="array" ref="R45">IF(AND($N45&lt;&gt;"",R$8&lt;&gt;""),COUNTIFS($K$9:$K$59,$N45,$L$9:$L$59,R$8),0)</f>
        <v>0</v>
      </c>
      <c r="S45" s="175">
        <f t="array" ref="S45">IF(AND($N45&lt;&gt;"",S$8&lt;&gt;""),COUNTIFS($K$9:$K$59,$N45,$L$9:$L$59,S$8),0)</f>
        <v>0</v>
      </c>
      <c r="T45" s="175">
        <f t="array" ref="T45">IF(AND($N45&lt;&gt;"",T$8&lt;&gt;""),COUNTIFS($K$9:$K$59,$N45,$L$9:$L$59,T$8),0)</f>
        <v>0</v>
      </c>
      <c r="U45" s="175">
        <f t="array" ref="U45">IF(AND($N45&lt;&gt;"",U$8&lt;&gt;""),COUNTIFS($K$9:$K$59,$N45,$L$9:$L$59,U$8),0)</f>
        <v>0</v>
      </c>
      <c r="V45" s="175">
        <f t="array" ref="V45">IF(AND($N45&lt;&gt;"",V$8&lt;&gt;""),COUNTIFS($K$9:$K$59,$N45,$L$9:$L$59,V$8),0)</f>
        <v>0</v>
      </c>
      <c r="W45" s="175">
        <f t="array" ref="W45">IF(AND($N45&lt;&gt;"",W$8&lt;&gt;""),COUNTIFS($K$9:$K$59,$N45,$L$9:$L$59,W$8),0)</f>
        <v>0</v>
      </c>
      <c r="X45" s="175">
        <f t="array" ref="X45">IF(AND($N45&lt;&gt;"",X$8&lt;&gt;""),COUNTIFS($K$9:$K$59,$N45,$L$9:$L$59,X$8),0)</f>
        <v>0</v>
      </c>
      <c r="Y45" s="175">
        <f t="array" ref="Y45">IF(AND($N45&lt;&gt;"",Y$8&lt;&gt;""),COUNTIFS($K$9:$K$59,$N45,$L$9:$L$59,Y$8),0)</f>
        <v>0</v>
      </c>
      <c r="Z45" s="175">
        <f t="array" ref="Z45">IF(AND($N45&lt;&gt;"",Z$8&lt;&gt;""),COUNTIFS($K$9:$K$59,$N45,$L$9:$L$59,Z$8),0)</f>
        <v>0</v>
      </c>
      <c r="AA45" s="175">
        <f t="array" ref="AA45">IF(AND($N45&lt;&gt;"",AA$8&lt;&gt;""),COUNTIFS($K$9:$K$59,$N45,$L$9:$L$59,AA$8),0)</f>
        <v>0</v>
      </c>
      <c r="AB45" s="175">
        <f t="array" ref="AB45">IF(AND($N45&lt;&gt;"",AB$8&lt;&gt;""),COUNTIFS($K$9:$K$59,$N45,$L$9:$L$59,AB$8),0)</f>
        <v>0</v>
      </c>
      <c r="AC45" s="175">
        <f t="array" ref="AC45">IF(AND($N45&lt;&gt;"",AC$8&lt;&gt;""),COUNTIFS($K$9:$K$59,$N45,$L$9:$L$59,AC$8),0)</f>
        <v>0</v>
      </c>
      <c r="AD45" s="175">
        <f t="array" ref="AD45">IF(AND($N45&lt;&gt;"",AD$8&lt;&gt;""),COUNTIFS($K$9:$K$59,$N45,$L$9:$L$59,AD$8),0)</f>
        <v>0</v>
      </c>
      <c r="AE45" s="175">
        <f t="array" ref="AE45">IF(AND($N45&lt;&gt;"",AE$8&lt;&gt;""),COUNTIFS($K$9:$K$59,$N45,$L$9:$L$59,AE$8),0)</f>
        <v>0</v>
      </c>
      <c r="AF45" s="175">
        <f t="array" ref="AF45">IF(AND($N45&lt;&gt;"",AF$8&lt;&gt;""),COUNTIFS($K$9:$K$59,$N45,$L$9:$L$59,AF$8),0)</f>
        <v>0</v>
      </c>
      <c r="AG45" s="175">
        <f t="array" ref="AG45">IF(AND($N45&lt;&gt;"",AG$8&lt;&gt;""),COUNTIFS($K$9:$K$59,$N45,$L$9:$L$59,AG$8),0)</f>
        <v>0</v>
      </c>
      <c r="AH45" s="175">
        <f t="array" ref="AH45">IF(AND($N45&lt;&gt;"",AH$8&lt;&gt;""),COUNTIFS($K$9:$K$59,$N45,$L$9:$L$59,AH$8),0)</f>
        <v>0</v>
      </c>
      <c r="AI45" s="175">
        <f t="array" ref="AI45">IF(AND($N45&lt;&gt;"",AI$8&lt;&gt;""),COUNTIFS($K$9:$K$59,$N45,$L$9:$L$59,AI$8),0)</f>
        <v>0</v>
      </c>
      <c r="AJ45" s="175">
        <f t="array" ref="AJ45">IF(AND($N45&lt;&gt;"",AJ$8&lt;&gt;""),COUNTIFS($K$9:$K$59,$N45,$L$9:$L$59,AJ$8),0)</f>
        <v>0</v>
      </c>
      <c r="AK45" s="175">
        <f t="array" ref="AK45">IF(AND($N45&lt;&gt;"",AK$8&lt;&gt;""),COUNTIFS($K$9:$K$59,$N45,$L$9:$L$59,AK$8),0)</f>
        <v>0</v>
      </c>
      <c r="AL45" s="175">
        <f t="array" ref="AL45">IF(AND($N45&lt;&gt;"",AL$8&lt;&gt;""),COUNTIFS($K$9:$K$59,$N45,$L$9:$L$59,AL$8),0)</f>
        <v>0</v>
      </c>
      <c r="AM45" s="175">
        <f t="array" ref="AM45">IF(AND($N45&lt;&gt;"",AM$8&lt;&gt;""),COUNTIFS($K$9:$K$59,$N45,$L$9:$L$59,AM$8),0)</f>
        <v>0</v>
      </c>
      <c r="AN45" s="175">
        <f t="array" ref="AN45">IF(AND($N45&lt;&gt;"",AN$8&lt;&gt;""),COUNTIFS($K$9:$K$59,$N45,$L$9:$L$59,AN$8),0)</f>
        <v>0</v>
      </c>
      <c r="AO45" s="175">
        <f t="array" ref="AO45">IF(AND($N45&lt;&gt;"",AO$8&lt;&gt;""),COUNTIFS($K$9:$K$59,$N45,$L$9:$L$59,AO$8),0)</f>
        <v>0</v>
      </c>
      <c r="AP45" s="175">
        <f t="array" ref="AP45">IF(AND($N45&lt;&gt;"",AP$8&lt;&gt;""),COUNTIFS($K$9:$K$59,$N45,$L$9:$L$59,AP$8),0)</f>
        <v>0</v>
      </c>
      <c r="AQ45" s="175">
        <f t="array" ref="AQ45">IF(AND($N45&lt;&gt;"",AQ$8&lt;&gt;""),COUNTIFS($K$9:$K$59,$N45,$L$9:$L$59,AQ$8),0)</f>
        <v>0</v>
      </c>
      <c r="AR45" s="175">
        <f t="array" ref="AR45">IF(AND($N45&lt;&gt;"",AR$8&lt;&gt;""),COUNTIFS($K$9:$K$59,$N45,$L$9:$L$59,AR$8),0)</f>
        <v>0</v>
      </c>
      <c r="AS45" s="175">
        <f t="array" ref="AS45">IF(AND($N45&lt;&gt;"",AS$8&lt;&gt;""),COUNTIFS($K$9:$K$59,$N45,$L$9:$L$59,AS$8),0)</f>
        <v>0</v>
      </c>
      <c r="AT45" s="175">
        <f t="array" ref="AT45">IF(AND($N45&lt;&gt;"",AT$8&lt;&gt;""),COUNTIFS($K$9:$K$59,$N45,$L$9:$L$59,AT$8),0)</f>
        <v>0</v>
      </c>
      <c r="AU45" s="175">
        <f t="array" ref="AU45">IF(AND($N45&lt;&gt;"",AU$8&lt;&gt;""),COUNTIFS($K$9:$K$59,$N45,$L$9:$L$59,AU$8),0)</f>
        <v>0</v>
      </c>
      <c r="AV45" s="175">
        <f t="array" ref="AV45">IF(AND($N45&lt;&gt;"",AV$8&lt;&gt;""),COUNTIFS($K$9:$K$59,$N45,$L$9:$L$59,AV$8),0)</f>
        <v>0</v>
      </c>
      <c r="AW45" s="175">
        <f t="array" ref="AW45">IF(AND($N45&lt;&gt;"",AW$8&lt;&gt;""),COUNTIFS($K$9:$K$59,$N45,$L$9:$L$59,AW$8),0)</f>
        <v>0</v>
      </c>
      <c r="AX45" s="175">
        <f t="array" ref="AX45">IF(AND($N45&lt;&gt;"",AX$8&lt;&gt;""),COUNTIFS($K$9:$K$59,$N45,$L$9:$L$59,AX$8),0)</f>
        <v>0</v>
      </c>
      <c r="AY45" s="175">
        <f t="array" ref="AY45">IF(AND($N45&lt;&gt;"",AY$8&lt;&gt;""),COUNTIFS($K$9:$K$59,$N45,$L$9:$L$59,AY$8),0)</f>
        <v>0</v>
      </c>
      <c r="AZ45" s="175">
        <f t="array" ref="AZ45">IF(AND($N45&lt;&gt;"",AZ$8&lt;&gt;""),COUNTIFS($K$9:$K$59,$N45,$L$9:$L$59,AZ$8),0)</f>
        <v>0</v>
      </c>
      <c r="BA45" s="175">
        <f t="array" ref="BA45">IF(AND($N45&lt;&gt;"",BA$8&lt;&gt;""),COUNTIFS($K$9:$K$59,$N45,$L$9:$L$59,BA$8),0)</f>
        <v>0</v>
      </c>
      <c r="BB45" s="175">
        <f t="array" ref="BB45">IF(AND($N45&lt;&gt;"",BB$8&lt;&gt;""),COUNTIFS($K$9:$K$59,$N45,$L$9:$L$59,BB$8),0)</f>
        <v>0</v>
      </c>
      <c r="BC45" s="175">
        <f t="array" ref="BC45">IF(AND($N45&lt;&gt;"",BC$8&lt;&gt;""),COUNTIFS($K$9:$K$59,$N45,$L$9:$L$59,BC$8),0)</f>
        <v>0</v>
      </c>
      <c r="BD45" s="175">
        <f t="array" ref="BD45">IF(AND($N45&lt;&gt;"",BD$8&lt;&gt;""),COUNTIFS($K$9:$K$59,$N45,$L$9:$L$59,BD$8),0)</f>
        <v>0</v>
      </c>
      <c r="BE45" s="175">
        <f t="array" ref="BE45">IF(AND($N45&lt;&gt;"",BE$8&lt;&gt;""),COUNTIFS($K$9:$K$59,$N45,$L$9:$L$59,BE$8),0)</f>
        <v>0</v>
      </c>
      <c r="BF45" s="175">
        <f t="array" ref="BF45">IF(AND($N45&lt;&gt;"",BF$8&lt;&gt;""),COUNTIFS($K$9:$K$59,$N45,$L$9:$L$59,BF$8),0)</f>
        <v>0</v>
      </c>
      <c r="BG45" s="175">
        <f t="array" ref="BG45">IF(AND($N45&lt;&gt;"",BG$8&lt;&gt;""),COUNTIFS($K$9:$K$59,$N45,$L$9:$L$59,BG$8),0)</f>
        <v>0</v>
      </c>
      <c r="BH45" s="175">
        <f t="array" ref="BH45">IF(AND($N45&lt;&gt;"",BH$8&lt;&gt;""),COUNTIFS($K$9:$K$59,$N45,$L$9:$L$59,BH$8),0)</f>
        <v>0</v>
      </c>
      <c r="BI45" s="175">
        <f t="array" ref="BI45">IF(AND($N45&lt;&gt;"",BI$8&lt;&gt;""),COUNTIFS($K$9:$K$59,$N45,$L$9:$L$59,BI$8),0)</f>
        <v>0</v>
      </c>
      <c r="BJ45" s="175">
        <f t="array" ref="BJ45">IF(AND($N45&lt;&gt;"",BJ$8&lt;&gt;""),COUNTIFS($K$9:$K$59,$N45,$L$9:$L$59,BJ$8),0)</f>
        <v>0</v>
      </c>
      <c r="BK45" s="175">
        <f t="array" ref="BK45">IF(AND($N45&lt;&gt;"",BK$8&lt;&gt;""),COUNTIFS($K$9:$K$59,$N45,$L$9:$L$59,BK$8),0)</f>
        <v>0</v>
      </c>
      <c r="BL45" s="175">
        <f t="array" ref="BL45">IF(AND($N45&lt;&gt;"",BL$8&lt;&gt;""),COUNTIFS($K$9:$K$59,$N45,$L$9:$L$59,BL$8),0)</f>
        <v>0</v>
      </c>
    </row>
    <row r="46" spans="2:64" s="22" customFormat="1" x14ac:dyDescent="0.2">
      <c r="B46" s="119" t="s">
        <v>131</v>
      </c>
      <c r="C46" s="260"/>
      <c r="D46" s="118"/>
      <c r="E46" s="15"/>
      <c r="F46" s="15"/>
      <c r="G46" s="15"/>
      <c r="H46" s="15" t="s">
        <v>287</v>
      </c>
      <c r="I46" s="116" t="str">
        <f t="shared" si="1"/>
        <v>-</v>
      </c>
      <c r="J46" s="120"/>
      <c r="K46" s="195" t="str">
        <f t="shared" si="2"/>
        <v/>
      </c>
      <c r="L46" s="188" t="str">
        <f t="shared" si="3"/>
        <v/>
      </c>
      <c r="N46" s="185" t="str">
        <f t="array" ref="N46">IFERROR(INDEX($K$9:$K$59,MATCH(0,COUNTIF($N$8:$N45,$K$9:$K$59),0)),"")</f>
        <v/>
      </c>
      <c r="O46" s="175">
        <f t="array" ref="O46">IF(AND($N46&lt;&gt;"",O$8&lt;&gt;""),COUNTIFS($K$9:$K$59,$N46,$L$9:$L$59,O$8),0)</f>
        <v>0</v>
      </c>
      <c r="P46" s="175">
        <f t="array" ref="P46">IF(AND($N46&lt;&gt;"",P$8&lt;&gt;""),COUNTIFS($K$9:$K$59,$N46,$L$9:$L$59,P$8),0)</f>
        <v>0</v>
      </c>
      <c r="Q46" s="175">
        <f t="array" ref="Q46">IF(AND($N46&lt;&gt;"",Q$8&lt;&gt;""),COUNTIFS($K$9:$K$59,$N46,$L$9:$L$59,Q$8),0)</f>
        <v>0</v>
      </c>
      <c r="R46" s="175">
        <f t="array" ref="R46">IF(AND($N46&lt;&gt;"",R$8&lt;&gt;""),COUNTIFS($K$9:$K$59,$N46,$L$9:$L$59,R$8),0)</f>
        <v>0</v>
      </c>
      <c r="S46" s="175">
        <f t="array" ref="S46">IF(AND($N46&lt;&gt;"",S$8&lt;&gt;""),COUNTIFS($K$9:$K$59,$N46,$L$9:$L$59,S$8),0)</f>
        <v>0</v>
      </c>
      <c r="T46" s="175">
        <f t="array" ref="T46">IF(AND($N46&lt;&gt;"",T$8&lt;&gt;""),COUNTIFS($K$9:$K$59,$N46,$L$9:$L$59,T$8),0)</f>
        <v>0</v>
      </c>
      <c r="U46" s="175">
        <f t="array" ref="U46">IF(AND($N46&lt;&gt;"",U$8&lt;&gt;""),COUNTIFS($K$9:$K$59,$N46,$L$9:$L$59,U$8),0)</f>
        <v>0</v>
      </c>
      <c r="V46" s="175">
        <f t="array" ref="V46">IF(AND($N46&lt;&gt;"",V$8&lt;&gt;""),COUNTIFS($K$9:$K$59,$N46,$L$9:$L$59,V$8),0)</f>
        <v>0</v>
      </c>
      <c r="W46" s="175">
        <f t="array" ref="W46">IF(AND($N46&lt;&gt;"",W$8&lt;&gt;""),COUNTIFS($K$9:$K$59,$N46,$L$9:$L$59,W$8),0)</f>
        <v>0</v>
      </c>
      <c r="X46" s="175">
        <f t="array" ref="X46">IF(AND($N46&lt;&gt;"",X$8&lt;&gt;""),COUNTIFS($K$9:$K$59,$N46,$L$9:$L$59,X$8),0)</f>
        <v>0</v>
      </c>
      <c r="Y46" s="175">
        <f t="array" ref="Y46">IF(AND($N46&lt;&gt;"",Y$8&lt;&gt;""),COUNTIFS($K$9:$K$59,$N46,$L$9:$L$59,Y$8),0)</f>
        <v>0</v>
      </c>
      <c r="Z46" s="175">
        <f t="array" ref="Z46">IF(AND($N46&lt;&gt;"",Z$8&lt;&gt;""),COUNTIFS($K$9:$K$59,$N46,$L$9:$L$59,Z$8),0)</f>
        <v>0</v>
      </c>
      <c r="AA46" s="175">
        <f t="array" ref="AA46">IF(AND($N46&lt;&gt;"",AA$8&lt;&gt;""),COUNTIFS($K$9:$K$59,$N46,$L$9:$L$59,AA$8),0)</f>
        <v>0</v>
      </c>
      <c r="AB46" s="175">
        <f t="array" ref="AB46">IF(AND($N46&lt;&gt;"",AB$8&lt;&gt;""),COUNTIFS($K$9:$K$59,$N46,$L$9:$L$59,AB$8),0)</f>
        <v>0</v>
      </c>
      <c r="AC46" s="175">
        <f t="array" ref="AC46">IF(AND($N46&lt;&gt;"",AC$8&lt;&gt;""),COUNTIFS($K$9:$K$59,$N46,$L$9:$L$59,AC$8),0)</f>
        <v>0</v>
      </c>
      <c r="AD46" s="175">
        <f t="array" ref="AD46">IF(AND($N46&lt;&gt;"",AD$8&lt;&gt;""),COUNTIFS($K$9:$K$59,$N46,$L$9:$L$59,AD$8),0)</f>
        <v>0</v>
      </c>
      <c r="AE46" s="175">
        <f t="array" ref="AE46">IF(AND($N46&lt;&gt;"",AE$8&lt;&gt;""),COUNTIFS($K$9:$K$59,$N46,$L$9:$L$59,AE$8),0)</f>
        <v>0</v>
      </c>
      <c r="AF46" s="175">
        <f t="array" ref="AF46">IF(AND($N46&lt;&gt;"",AF$8&lt;&gt;""),COUNTIFS($K$9:$K$59,$N46,$L$9:$L$59,AF$8),0)</f>
        <v>0</v>
      </c>
      <c r="AG46" s="175">
        <f t="array" ref="AG46">IF(AND($N46&lt;&gt;"",AG$8&lt;&gt;""),COUNTIFS($K$9:$K$59,$N46,$L$9:$L$59,AG$8),0)</f>
        <v>0</v>
      </c>
      <c r="AH46" s="175">
        <f t="array" ref="AH46">IF(AND($N46&lt;&gt;"",AH$8&lt;&gt;""),COUNTIFS($K$9:$K$59,$N46,$L$9:$L$59,AH$8),0)</f>
        <v>0</v>
      </c>
      <c r="AI46" s="175">
        <f t="array" ref="AI46">IF(AND($N46&lt;&gt;"",AI$8&lt;&gt;""),COUNTIFS($K$9:$K$59,$N46,$L$9:$L$59,AI$8),0)</f>
        <v>0</v>
      </c>
      <c r="AJ46" s="175">
        <f t="array" ref="AJ46">IF(AND($N46&lt;&gt;"",AJ$8&lt;&gt;""),COUNTIFS($K$9:$K$59,$N46,$L$9:$L$59,AJ$8),0)</f>
        <v>0</v>
      </c>
      <c r="AK46" s="175">
        <f t="array" ref="AK46">IF(AND($N46&lt;&gt;"",AK$8&lt;&gt;""),COUNTIFS($K$9:$K$59,$N46,$L$9:$L$59,AK$8),0)</f>
        <v>0</v>
      </c>
      <c r="AL46" s="175">
        <f t="array" ref="AL46">IF(AND($N46&lt;&gt;"",AL$8&lt;&gt;""),COUNTIFS($K$9:$K$59,$N46,$L$9:$L$59,AL$8),0)</f>
        <v>0</v>
      </c>
      <c r="AM46" s="175">
        <f t="array" ref="AM46">IF(AND($N46&lt;&gt;"",AM$8&lt;&gt;""),COUNTIFS($K$9:$K$59,$N46,$L$9:$L$59,AM$8),0)</f>
        <v>0</v>
      </c>
      <c r="AN46" s="175">
        <f t="array" ref="AN46">IF(AND($N46&lt;&gt;"",AN$8&lt;&gt;""),COUNTIFS($K$9:$K$59,$N46,$L$9:$L$59,AN$8),0)</f>
        <v>0</v>
      </c>
      <c r="AO46" s="175">
        <f t="array" ref="AO46">IF(AND($N46&lt;&gt;"",AO$8&lt;&gt;""),COUNTIFS($K$9:$K$59,$N46,$L$9:$L$59,AO$8),0)</f>
        <v>0</v>
      </c>
      <c r="AP46" s="175">
        <f t="array" ref="AP46">IF(AND($N46&lt;&gt;"",AP$8&lt;&gt;""),COUNTIFS($K$9:$K$59,$N46,$L$9:$L$59,AP$8),0)</f>
        <v>0</v>
      </c>
      <c r="AQ46" s="175">
        <f t="array" ref="AQ46">IF(AND($N46&lt;&gt;"",AQ$8&lt;&gt;""),COUNTIFS($K$9:$K$59,$N46,$L$9:$L$59,AQ$8),0)</f>
        <v>0</v>
      </c>
      <c r="AR46" s="175">
        <f t="array" ref="AR46">IF(AND($N46&lt;&gt;"",AR$8&lt;&gt;""),COUNTIFS($K$9:$K$59,$N46,$L$9:$L$59,AR$8),0)</f>
        <v>0</v>
      </c>
      <c r="AS46" s="175">
        <f t="array" ref="AS46">IF(AND($N46&lt;&gt;"",AS$8&lt;&gt;""),COUNTIFS($K$9:$K$59,$N46,$L$9:$L$59,AS$8),0)</f>
        <v>0</v>
      </c>
      <c r="AT46" s="175">
        <f t="array" ref="AT46">IF(AND($N46&lt;&gt;"",AT$8&lt;&gt;""),COUNTIFS($K$9:$K$59,$N46,$L$9:$L$59,AT$8),0)</f>
        <v>0</v>
      </c>
      <c r="AU46" s="175">
        <f t="array" ref="AU46">IF(AND($N46&lt;&gt;"",AU$8&lt;&gt;""),COUNTIFS($K$9:$K$59,$N46,$L$9:$L$59,AU$8),0)</f>
        <v>0</v>
      </c>
      <c r="AV46" s="175">
        <f t="array" ref="AV46">IF(AND($N46&lt;&gt;"",AV$8&lt;&gt;""),COUNTIFS($K$9:$K$59,$N46,$L$9:$L$59,AV$8),0)</f>
        <v>0</v>
      </c>
      <c r="AW46" s="175">
        <f t="array" ref="AW46">IF(AND($N46&lt;&gt;"",AW$8&lt;&gt;""),COUNTIFS($K$9:$K$59,$N46,$L$9:$L$59,AW$8),0)</f>
        <v>0</v>
      </c>
      <c r="AX46" s="175">
        <f t="array" ref="AX46">IF(AND($N46&lt;&gt;"",AX$8&lt;&gt;""),COUNTIFS($K$9:$K$59,$N46,$L$9:$L$59,AX$8),0)</f>
        <v>0</v>
      </c>
      <c r="AY46" s="175">
        <f t="array" ref="AY46">IF(AND($N46&lt;&gt;"",AY$8&lt;&gt;""),COUNTIFS($K$9:$K$59,$N46,$L$9:$L$59,AY$8),0)</f>
        <v>0</v>
      </c>
      <c r="AZ46" s="175">
        <f t="array" ref="AZ46">IF(AND($N46&lt;&gt;"",AZ$8&lt;&gt;""),COUNTIFS($K$9:$K$59,$N46,$L$9:$L$59,AZ$8),0)</f>
        <v>0</v>
      </c>
      <c r="BA46" s="175">
        <f t="array" ref="BA46">IF(AND($N46&lt;&gt;"",BA$8&lt;&gt;""),COUNTIFS($K$9:$K$59,$N46,$L$9:$L$59,BA$8),0)</f>
        <v>0</v>
      </c>
      <c r="BB46" s="175">
        <f t="array" ref="BB46">IF(AND($N46&lt;&gt;"",BB$8&lt;&gt;""),COUNTIFS($K$9:$K$59,$N46,$L$9:$L$59,BB$8),0)</f>
        <v>0</v>
      </c>
      <c r="BC46" s="175">
        <f t="array" ref="BC46">IF(AND($N46&lt;&gt;"",BC$8&lt;&gt;""),COUNTIFS($K$9:$K$59,$N46,$L$9:$L$59,BC$8),0)</f>
        <v>0</v>
      </c>
      <c r="BD46" s="175">
        <f t="array" ref="BD46">IF(AND($N46&lt;&gt;"",BD$8&lt;&gt;""),COUNTIFS($K$9:$K$59,$N46,$L$9:$L$59,BD$8),0)</f>
        <v>0</v>
      </c>
      <c r="BE46" s="175">
        <f t="array" ref="BE46">IF(AND($N46&lt;&gt;"",BE$8&lt;&gt;""),COUNTIFS($K$9:$K$59,$N46,$L$9:$L$59,BE$8),0)</f>
        <v>0</v>
      </c>
      <c r="BF46" s="175">
        <f t="array" ref="BF46">IF(AND($N46&lt;&gt;"",BF$8&lt;&gt;""),COUNTIFS($K$9:$K$59,$N46,$L$9:$L$59,BF$8),0)</f>
        <v>0</v>
      </c>
      <c r="BG46" s="175">
        <f t="array" ref="BG46">IF(AND($N46&lt;&gt;"",BG$8&lt;&gt;""),COUNTIFS($K$9:$K$59,$N46,$L$9:$L$59,BG$8),0)</f>
        <v>0</v>
      </c>
      <c r="BH46" s="175">
        <f t="array" ref="BH46">IF(AND($N46&lt;&gt;"",BH$8&lt;&gt;""),COUNTIFS($K$9:$K$59,$N46,$L$9:$L$59,BH$8),0)</f>
        <v>0</v>
      </c>
      <c r="BI46" s="175">
        <f t="array" ref="BI46">IF(AND($N46&lt;&gt;"",BI$8&lt;&gt;""),COUNTIFS($K$9:$K$59,$N46,$L$9:$L$59,BI$8),0)</f>
        <v>0</v>
      </c>
      <c r="BJ46" s="175">
        <f t="array" ref="BJ46">IF(AND($N46&lt;&gt;"",BJ$8&lt;&gt;""),COUNTIFS($K$9:$K$59,$N46,$L$9:$L$59,BJ$8),0)</f>
        <v>0</v>
      </c>
      <c r="BK46" s="175">
        <f t="array" ref="BK46">IF(AND($N46&lt;&gt;"",BK$8&lt;&gt;""),COUNTIFS($K$9:$K$59,$N46,$L$9:$L$59,BK$8),0)</f>
        <v>0</v>
      </c>
      <c r="BL46" s="175">
        <f t="array" ref="BL46">IF(AND($N46&lt;&gt;"",BL$8&lt;&gt;""),COUNTIFS($K$9:$K$59,$N46,$L$9:$L$59,BL$8),0)</f>
        <v>0</v>
      </c>
    </row>
    <row r="47" spans="2:64" s="22" customFormat="1" x14ac:dyDescent="0.2">
      <c r="B47" s="119" t="s">
        <v>132</v>
      </c>
      <c r="C47" s="260"/>
      <c r="D47" s="118"/>
      <c r="E47" s="15"/>
      <c r="F47" s="15"/>
      <c r="G47" s="15"/>
      <c r="H47" s="15" t="s">
        <v>287</v>
      </c>
      <c r="I47" s="116" t="str">
        <f t="shared" si="1"/>
        <v>-</v>
      </c>
      <c r="J47" s="120"/>
      <c r="K47" s="195" t="str">
        <f t="shared" si="2"/>
        <v/>
      </c>
      <c r="L47" s="188" t="str">
        <f t="shared" si="3"/>
        <v/>
      </c>
      <c r="N47" s="185" t="str">
        <f t="array" ref="N47">IFERROR(INDEX($K$9:$K$59,MATCH(0,COUNTIF($N$8:$N46,$K$9:$K$59),0)),"")</f>
        <v/>
      </c>
      <c r="O47" s="175">
        <f t="array" ref="O47">IF(AND($N47&lt;&gt;"",O$8&lt;&gt;""),COUNTIFS($K$9:$K$59,$N47,$L$9:$L$59,O$8),0)</f>
        <v>0</v>
      </c>
      <c r="P47" s="175">
        <f t="array" ref="P47">IF(AND($N47&lt;&gt;"",P$8&lt;&gt;""),COUNTIFS($K$9:$K$59,$N47,$L$9:$L$59,P$8),0)</f>
        <v>0</v>
      </c>
      <c r="Q47" s="175">
        <f t="array" ref="Q47">IF(AND($N47&lt;&gt;"",Q$8&lt;&gt;""),COUNTIFS($K$9:$K$59,$N47,$L$9:$L$59,Q$8),0)</f>
        <v>0</v>
      </c>
      <c r="R47" s="175">
        <f t="array" ref="R47">IF(AND($N47&lt;&gt;"",R$8&lt;&gt;""),COUNTIFS($K$9:$K$59,$N47,$L$9:$L$59,R$8),0)</f>
        <v>0</v>
      </c>
      <c r="S47" s="175">
        <f t="array" ref="S47">IF(AND($N47&lt;&gt;"",S$8&lt;&gt;""),COUNTIFS($K$9:$K$59,$N47,$L$9:$L$59,S$8),0)</f>
        <v>0</v>
      </c>
      <c r="T47" s="175">
        <f t="array" ref="T47">IF(AND($N47&lt;&gt;"",T$8&lt;&gt;""),COUNTIFS($K$9:$K$59,$N47,$L$9:$L$59,T$8),0)</f>
        <v>0</v>
      </c>
      <c r="U47" s="175">
        <f t="array" ref="U47">IF(AND($N47&lt;&gt;"",U$8&lt;&gt;""),COUNTIFS($K$9:$K$59,$N47,$L$9:$L$59,U$8),0)</f>
        <v>0</v>
      </c>
      <c r="V47" s="175">
        <f t="array" ref="V47">IF(AND($N47&lt;&gt;"",V$8&lt;&gt;""),COUNTIFS($K$9:$K$59,$N47,$L$9:$L$59,V$8),0)</f>
        <v>0</v>
      </c>
      <c r="W47" s="175">
        <f t="array" ref="W47">IF(AND($N47&lt;&gt;"",W$8&lt;&gt;""),COUNTIFS($K$9:$K$59,$N47,$L$9:$L$59,W$8),0)</f>
        <v>0</v>
      </c>
      <c r="X47" s="175">
        <f t="array" ref="X47">IF(AND($N47&lt;&gt;"",X$8&lt;&gt;""),COUNTIFS($K$9:$K$59,$N47,$L$9:$L$59,X$8),0)</f>
        <v>0</v>
      </c>
      <c r="Y47" s="175">
        <f t="array" ref="Y47">IF(AND($N47&lt;&gt;"",Y$8&lt;&gt;""),COUNTIFS($K$9:$K$59,$N47,$L$9:$L$59,Y$8),0)</f>
        <v>0</v>
      </c>
      <c r="Z47" s="175">
        <f t="array" ref="Z47">IF(AND($N47&lt;&gt;"",Z$8&lt;&gt;""),COUNTIFS($K$9:$K$59,$N47,$L$9:$L$59,Z$8),0)</f>
        <v>0</v>
      </c>
      <c r="AA47" s="175">
        <f t="array" ref="AA47">IF(AND($N47&lt;&gt;"",AA$8&lt;&gt;""),COUNTIFS($K$9:$K$59,$N47,$L$9:$L$59,AA$8),0)</f>
        <v>0</v>
      </c>
      <c r="AB47" s="175">
        <f t="array" ref="AB47">IF(AND($N47&lt;&gt;"",AB$8&lt;&gt;""),COUNTIFS($K$9:$K$59,$N47,$L$9:$L$59,AB$8),0)</f>
        <v>0</v>
      </c>
      <c r="AC47" s="175">
        <f t="array" ref="AC47">IF(AND($N47&lt;&gt;"",AC$8&lt;&gt;""),COUNTIFS($K$9:$K$59,$N47,$L$9:$L$59,AC$8),0)</f>
        <v>0</v>
      </c>
      <c r="AD47" s="175">
        <f t="array" ref="AD47">IF(AND($N47&lt;&gt;"",AD$8&lt;&gt;""),COUNTIFS($K$9:$K$59,$N47,$L$9:$L$59,AD$8),0)</f>
        <v>0</v>
      </c>
      <c r="AE47" s="175">
        <f t="array" ref="AE47">IF(AND($N47&lt;&gt;"",AE$8&lt;&gt;""),COUNTIFS($K$9:$K$59,$N47,$L$9:$L$59,AE$8),0)</f>
        <v>0</v>
      </c>
      <c r="AF47" s="175">
        <f t="array" ref="AF47">IF(AND($N47&lt;&gt;"",AF$8&lt;&gt;""),COUNTIFS($K$9:$K$59,$N47,$L$9:$L$59,AF$8),0)</f>
        <v>0</v>
      </c>
      <c r="AG47" s="175">
        <f t="array" ref="AG47">IF(AND($N47&lt;&gt;"",AG$8&lt;&gt;""),COUNTIFS($K$9:$K$59,$N47,$L$9:$L$59,AG$8),0)</f>
        <v>0</v>
      </c>
      <c r="AH47" s="175">
        <f t="array" ref="AH47">IF(AND($N47&lt;&gt;"",AH$8&lt;&gt;""),COUNTIFS($K$9:$K$59,$N47,$L$9:$L$59,AH$8),0)</f>
        <v>0</v>
      </c>
      <c r="AI47" s="175">
        <f t="array" ref="AI47">IF(AND($N47&lt;&gt;"",AI$8&lt;&gt;""),COUNTIFS($K$9:$K$59,$N47,$L$9:$L$59,AI$8),0)</f>
        <v>0</v>
      </c>
      <c r="AJ47" s="175">
        <f t="array" ref="AJ47">IF(AND($N47&lt;&gt;"",AJ$8&lt;&gt;""),COUNTIFS($K$9:$K$59,$N47,$L$9:$L$59,AJ$8),0)</f>
        <v>0</v>
      </c>
      <c r="AK47" s="175">
        <f t="array" ref="AK47">IF(AND($N47&lt;&gt;"",AK$8&lt;&gt;""),COUNTIFS($K$9:$K$59,$N47,$L$9:$L$59,AK$8),0)</f>
        <v>0</v>
      </c>
      <c r="AL47" s="175">
        <f t="array" ref="AL47">IF(AND($N47&lt;&gt;"",AL$8&lt;&gt;""),COUNTIFS($K$9:$K$59,$N47,$L$9:$L$59,AL$8),0)</f>
        <v>0</v>
      </c>
      <c r="AM47" s="175">
        <f t="array" ref="AM47">IF(AND($N47&lt;&gt;"",AM$8&lt;&gt;""),COUNTIFS($K$9:$K$59,$N47,$L$9:$L$59,AM$8),0)</f>
        <v>0</v>
      </c>
      <c r="AN47" s="175">
        <f t="array" ref="AN47">IF(AND($N47&lt;&gt;"",AN$8&lt;&gt;""),COUNTIFS($K$9:$K$59,$N47,$L$9:$L$59,AN$8),0)</f>
        <v>0</v>
      </c>
      <c r="AO47" s="175">
        <f t="array" ref="AO47">IF(AND($N47&lt;&gt;"",AO$8&lt;&gt;""),COUNTIFS($K$9:$K$59,$N47,$L$9:$L$59,AO$8),0)</f>
        <v>0</v>
      </c>
      <c r="AP47" s="175">
        <f t="array" ref="AP47">IF(AND($N47&lt;&gt;"",AP$8&lt;&gt;""),COUNTIFS($K$9:$K$59,$N47,$L$9:$L$59,AP$8),0)</f>
        <v>0</v>
      </c>
      <c r="AQ47" s="175">
        <f t="array" ref="AQ47">IF(AND($N47&lt;&gt;"",AQ$8&lt;&gt;""),COUNTIFS($K$9:$K$59,$N47,$L$9:$L$59,AQ$8),0)</f>
        <v>0</v>
      </c>
      <c r="AR47" s="175">
        <f t="array" ref="AR47">IF(AND($N47&lt;&gt;"",AR$8&lt;&gt;""),COUNTIFS($K$9:$K$59,$N47,$L$9:$L$59,AR$8),0)</f>
        <v>0</v>
      </c>
      <c r="AS47" s="175">
        <f t="array" ref="AS47">IF(AND($N47&lt;&gt;"",AS$8&lt;&gt;""),COUNTIFS($K$9:$K$59,$N47,$L$9:$L$59,AS$8),0)</f>
        <v>0</v>
      </c>
      <c r="AT47" s="175">
        <f t="array" ref="AT47">IF(AND($N47&lt;&gt;"",AT$8&lt;&gt;""),COUNTIFS($K$9:$K$59,$N47,$L$9:$L$59,AT$8),0)</f>
        <v>0</v>
      </c>
      <c r="AU47" s="175">
        <f t="array" ref="AU47">IF(AND($N47&lt;&gt;"",AU$8&lt;&gt;""),COUNTIFS($K$9:$K$59,$N47,$L$9:$L$59,AU$8),0)</f>
        <v>0</v>
      </c>
      <c r="AV47" s="175">
        <f t="array" ref="AV47">IF(AND($N47&lt;&gt;"",AV$8&lt;&gt;""),COUNTIFS($K$9:$K$59,$N47,$L$9:$L$59,AV$8),0)</f>
        <v>0</v>
      </c>
      <c r="AW47" s="175">
        <f t="array" ref="AW47">IF(AND($N47&lt;&gt;"",AW$8&lt;&gt;""),COUNTIFS($K$9:$K$59,$N47,$L$9:$L$59,AW$8),0)</f>
        <v>0</v>
      </c>
      <c r="AX47" s="175">
        <f t="array" ref="AX47">IF(AND($N47&lt;&gt;"",AX$8&lt;&gt;""),COUNTIFS($K$9:$K$59,$N47,$L$9:$L$59,AX$8),0)</f>
        <v>0</v>
      </c>
      <c r="AY47" s="175">
        <f t="array" ref="AY47">IF(AND($N47&lt;&gt;"",AY$8&lt;&gt;""),COUNTIFS($K$9:$K$59,$N47,$L$9:$L$59,AY$8),0)</f>
        <v>0</v>
      </c>
      <c r="AZ47" s="175">
        <f t="array" ref="AZ47">IF(AND($N47&lt;&gt;"",AZ$8&lt;&gt;""),COUNTIFS($K$9:$K$59,$N47,$L$9:$L$59,AZ$8),0)</f>
        <v>0</v>
      </c>
      <c r="BA47" s="175">
        <f t="array" ref="BA47">IF(AND($N47&lt;&gt;"",BA$8&lt;&gt;""),COUNTIFS($K$9:$K$59,$N47,$L$9:$L$59,BA$8),0)</f>
        <v>0</v>
      </c>
      <c r="BB47" s="175">
        <f t="array" ref="BB47">IF(AND($N47&lt;&gt;"",BB$8&lt;&gt;""),COUNTIFS($K$9:$K$59,$N47,$L$9:$L$59,BB$8),0)</f>
        <v>0</v>
      </c>
      <c r="BC47" s="175">
        <f t="array" ref="BC47">IF(AND($N47&lt;&gt;"",BC$8&lt;&gt;""),COUNTIFS($K$9:$K$59,$N47,$L$9:$L$59,BC$8),0)</f>
        <v>0</v>
      </c>
      <c r="BD47" s="175">
        <f t="array" ref="BD47">IF(AND($N47&lt;&gt;"",BD$8&lt;&gt;""),COUNTIFS($K$9:$K$59,$N47,$L$9:$L$59,BD$8),0)</f>
        <v>0</v>
      </c>
      <c r="BE47" s="175">
        <f t="array" ref="BE47">IF(AND($N47&lt;&gt;"",BE$8&lt;&gt;""),COUNTIFS($K$9:$K$59,$N47,$L$9:$L$59,BE$8),0)</f>
        <v>0</v>
      </c>
      <c r="BF47" s="175">
        <f t="array" ref="BF47">IF(AND($N47&lt;&gt;"",BF$8&lt;&gt;""),COUNTIFS($K$9:$K$59,$N47,$L$9:$L$59,BF$8),0)</f>
        <v>0</v>
      </c>
      <c r="BG47" s="175">
        <f t="array" ref="BG47">IF(AND($N47&lt;&gt;"",BG$8&lt;&gt;""),COUNTIFS($K$9:$K$59,$N47,$L$9:$L$59,BG$8),0)</f>
        <v>0</v>
      </c>
      <c r="BH47" s="175">
        <f t="array" ref="BH47">IF(AND($N47&lt;&gt;"",BH$8&lt;&gt;""),COUNTIFS($K$9:$K$59,$N47,$L$9:$L$59,BH$8),0)</f>
        <v>0</v>
      </c>
      <c r="BI47" s="175">
        <f t="array" ref="BI47">IF(AND($N47&lt;&gt;"",BI$8&lt;&gt;""),COUNTIFS($K$9:$K$59,$N47,$L$9:$L$59,BI$8),0)</f>
        <v>0</v>
      </c>
      <c r="BJ47" s="175">
        <f t="array" ref="BJ47">IF(AND($N47&lt;&gt;"",BJ$8&lt;&gt;""),COUNTIFS($K$9:$K$59,$N47,$L$9:$L$59,BJ$8),0)</f>
        <v>0</v>
      </c>
      <c r="BK47" s="175">
        <f t="array" ref="BK47">IF(AND($N47&lt;&gt;"",BK$8&lt;&gt;""),COUNTIFS($K$9:$K$59,$N47,$L$9:$L$59,BK$8),0)</f>
        <v>0</v>
      </c>
      <c r="BL47" s="175">
        <f t="array" ref="BL47">IF(AND($N47&lt;&gt;"",BL$8&lt;&gt;""),COUNTIFS($K$9:$K$59,$N47,$L$9:$L$59,BL$8),0)</f>
        <v>0</v>
      </c>
    </row>
    <row r="48" spans="2:64" s="22" customFormat="1" x14ac:dyDescent="0.2">
      <c r="B48" s="119" t="s">
        <v>133</v>
      </c>
      <c r="C48" s="260"/>
      <c r="D48" s="118"/>
      <c r="E48" s="15"/>
      <c r="F48" s="15"/>
      <c r="G48" s="15"/>
      <c r="H48" s="15" t="s">
        <v>287</v>
      </c>
      <c r="I48" s="116" t="str">
        <f t="shared" si="1"/>
        <v>-</v>
      </c>
      <c r="J48" s="120"/>
      <c r="K48" s="195" t="str">
        <f t="shared" si="2"/>
        <v/>
      </c>
      <c r="L48" s="188" t="str">
        <f t="shared" si="3"/>
        <v/>
      </c>
      <c r="N48" s="185" t="str">
        <f t="array" ref="N48">IFERROR(INDEX($K$9:$K$59,MATCH(0,COUNTIF($N$8:$N47,$K$9:$K$59),0)),"")</f>
        <v/>
      </c>
      <c r="O48" s="175">
        <f t="array" ref="O48">IF(AND($N48&lt;&gt;"",O$8&lt;&gt;""),COUNTIFS($K$9:$K$59,$N48,$L$9:$L$59,O$8),0)</f>
        <v>0</v>
      </c>
      <c r="P48" s="175">
        <f t="array" ref="P48">IF(AND($N48&lt;&gt;"",P$8&lt;&gt;""),COUNTIFS($K$9:$K$59,$N48,$L$9:$L$59,P$8),0)</f>
        <v>0</v>
      </c>
      <c r="Q48" s="175">
        <f t="array" ref="Q48">IF(AND($N48&lt;&gt;"",Q$8&lt;&gt;""),COUNTIFS($K$9:$K$59,$N48,$L$9:$L$59,Q$8),0)</f>
        <v>0</v>
      </c>
      <c r="R48" s="175">
        <f t="array" ref="R48">IF(AND($N48&lt;&gt;"",R$8&lt;&gt;""),COUNTIFS($K$9:$K$59,$N48,$L$9:$L$59,R$8),0)</f>
        <v>0</v>
      </c>
      <c r="S48" s="175">
        <f t="array" ref="S48">IF(AND($N48&lt;&gt;"",S$8&lt;&gt;""),COUNTIFS($K$9:$K$59,$N48,$L$9:$L$59,S$8),0)</f>
        <v>0</v>
      </c>
      <c r="T48" s="175">
        <f t="array" ref="T48">IF(AND($N48&lt;&gt;"",T$8&lt;&gt;""),COUNTIFS($K$9:$K$59,$N48,$L$9:$L$59,T$8),0)</f>
        <v>0</v>
      </c>
      <c r="U48" s="175">
        <f t="array" ref="U48">IF(AND($N48&lt;&gt;"",U$8&lt;&gt;""),COUNTIFS($K$9:$K$59,$N48,$L$9:$L$59,U$8),0)</f>
        <v>0</v>
      </c>
      <c r="V48" s="175">
        <f t="array" ref="V48">IF(AND($N48&lt;&gt;"",V$8&lt;&gt;""),COUNTIFS($K$9:$K$59,$N48,$L$9:$L$59,V$8),0)</f>
        <v>0</v>
      </c>
      <c r="W48" s="175">
        <f t="array" ref="W48">IF(AND($N48&lt;&gt;"",W$8&lt;&gt;""),COUNTIFS($K$9:$K$59,$N48,$L$9:$L$59,W$8),0)</f>
        <v>0</v>
      </c>
      <c r="X48" s="175">
        <f t="array" ref="X48">IF(AND($N48&lt;&gt;"",X$8&lt;&gt;""),COUNTIFS($K$9:$K$59,$N48,$L$9:$L$59,X$8),0)</f>
        <v>0</v>
      </c>
      <c r="Y48" s="175">
        <f t="array" ref="Y48">IF(AND($N48&lt;&gt;"",Y$8&lt;&gt;""),COUNTIFS($K$9:$K$59,$N48,$L$9:$L$59,Y$8),0)</f>
        <v>0</v>
      </c>
      <c r="Z48" s="175">
        <f t="array" ref="Z48">IF(AND($N48&lt;&gt;"",Z$8&lt;&gt;""),COUNTIFS($K$9:$K$59,$N48,$L$9:$L$59,Z$8),0)</f>
        <v>0</v>
      </c>
      <c r="AA48" s="175">
        <f t="array" ref="AA48">IF(AND($N48&lt;&gt;"",AA$8&lt;&gt;""),COUNTIFS($K$9:$K$59,$N48,$L$9:$L$59,AA$8),0)</f>
        <v>0</v>
      </c>
      <c r="AB48" s="175">
        <f t="array" ref="AB48">IF(AND($N48&lt;&gt;"",AB$8&lt;&gt;""),COUNTIFS($K$9:$K$59,$N48,$L$9:$L$59,AB$8),0)</f>
        <v>0</v>
      </c>
      <c r="AC48" s="175">
        <f t="array" ref="AC48">IF(AND($N48&lt;&gt;"",AC$8&lt;&gt;""),COUNTIFS($K$9:$K$59,$N48,$L$9:$L$59,AC$8),0)</f>
        <v>0</v>
      </c>
      <c r="AD48" s="175">
        <f t="array" ref="AD48">IF(AND($N48&lt;&gt;"",AD$8&lt;&gt;""),COUNTIFS($K$9:$K$59,$N48,$L$9:$L$59,AD$8),0)</f>
        <v>0</v>
      </c>
      <c r="AE48" s="175">
        <f t="array" ref="AE48">IF(AND($N48&lt;&gt;"",AE$8&lt;&gt;""),COUNTIFS($K$9:$K$59,$N48,$L$9:$L$59,AE$8),0)</f>
        <v>0</v>
      </c>
      <c r="AF48" s="175">
        <f t="array" ref="AF48">IF(AND($N48&lt;&gt;"",AF$8&lt;&gt;""),COUNTIFS($K$9:$K$59,$N48,$L$9:$L$59,AF$8),0)</f>
        <v>0</v>
      </c>
      <c r="AG48" s="175">
        <f t="array" ref="AG48">IF(AND($N48&lt;&gt;"",AG$8&lt;&gt;""),COUNTIFS($K$9:$K$59,$N48,$L$9:$L$59,AG$8),0)</f>
        <v>0</v>
      </c>
      <c r="AH48" s="175">
        <f t="array" ref="AH48">IF(AND($N48&lt;&gt;"",AH$8&lt;&gt;""),COUNTIFS($K$9:$K$59,$N48,$L$9:$L$59,AH$8),0)</f>
        <v>0</v>
      </c>
      <c r="AI48" s="175">
        <f t="array" ref="AI48">IF(AND($N48&lt;&gt;"",AI$8&lt;&gt;""),COUNTIFS($K$9:$K$59,$N48,$L$9:$L$59,AI$8),0)</f>
        <v>0</v>
      </c>
      <c r="AJ48" s="175">
        <f t="array" ref="AJ48">IF(AND($N48&lt;&gt;"",AJ$8&lt;&gt;""),COUNTIFS($K$9:$K$59,$N48,$L$9:$L$59,AJ$8),0)</f>
        <v>0</v>
      </c>
      <c r="AK48" s="175">
        <f t="array" ref="AK48">IF(AND($N48&lt;&gt;"",AK$8&lt;&gt;""),COUNTIFS($K$9:$K$59,$N48,$L$9:$L$59,AK$8),0)</f>
        <v>0</v>
      </c>
      <c r="AL48" s="175">
        <f t="array" ref="AL48">IF(AND($N48&lt;&gt;"",AL$8&lt;&gt;""),COUNTIFS($K$9:$K$59,$N48,$L$9:$L$59,AL$8),0)</f>
        <v>0</v>
      </c>
      <c r="AM48" s="175">
        <f t="array" ref="AM48">IF(AND($N48&lt;&gt;"",AM$8&lt;&gt;""),COUNTIFS($K$9:$K$59,$N48,$L$9:$L$59,AM$8),0)</f>
        <v>0</v>
      </c>
      <c r="AN48" s="175">
        <f t="array" ref="AN48">IF(AND($N48&lt;&gt;"",AN$8&lt;&gt;""),COUNTIFS($K$9:$K$59,$N48,$L$9:$L$59,AN$8),0)</f>
        <v>0</v>
      </c>
      <c r="AO48" s="175">
        <f t="array" ref="AO48">IF(AND($N48&lt;&gt;"",AO$8&lt;&gt;""),COUNTIFS($K$9:$K$59,$N48,$L$9:$L$59,AO$8),0)</f>
        <v>0</v>
      </c>
      <c r="AP48" s="175">
        <f t="array" ref="AP48">IF(AND($N48&lt;&gt;"",AP$8&lt;&gt;""),COUNTIFS($K$9:$K$59,$N48,$L$9:$L$59,AP$8),0)</f>
        <v>0</v>
      </c>
      <c r="AQ48" s="175">
        <f t="array" ref="AQ48">IF(AND($N48&lt;&gt;"",AQ$8&lt;&gt;""),COUNTIFS($K$9:$K$59,$N48,$L$9:$L$59,AQ$8),0)</f>
        <v>0</v>
      </c>
      <c r="AR48" s="175">
        <f t="array" ref="AR48">IF(AND($N48&lt;&gt;"",AR$8&lt;&gt;""),COUNTIFS($K$9:$K$59,$N48,$L$9:$L$59,AR$8),0)</f>
        <v>0</v>
      </c>
      <c r="AS48" s="175">
        <f t="array" ref="AS48">IF(AND($N48&lt;&gt;"",AS$8&lt;&gt;""),COUNTIFS($K$9:$K$59,$N48,$L$9:$L$59,AS$8),0)</f>
        <v>0</v>
      </c>
      <c r="AT48" s="175">
        <f t="array" ref="AT48">IF(AND($N48&lt;&gt;"",AT$8&lt;&gt;""),COUNTIFS($K$9:$K$59,$N48,$L$9:$L$59,AT$8),0)</f>
        <v>0</v>
      </c>
      <c r="AU48" s="175">
        <f t="array" ref="AU48">IF(AND($N48&lt;&gt;"",AU$8&lt;&gt;""),COUNTIFS($K$9:$K$59,$N48,$L$9:$L$59,AU$8),0)</f>
        <v>0</v>
      </c>
      <c r="AV48" s="175">
        <f t="array" ref="AV48">IF(AND($N48&lt;&gt;"",AV$8&lt;&gt;""),COUNTIFS($K$9:$K$59,$N48,$L$9:$L$59,AV$8),0)</f>
        <v>0</v>
      </c>
      <c r="AW48" s="175">
        <f t="array" ref="AW48">IF(AND($N48&lt;&gt;"",AW$8&lt;&gt;""),COUNTIFS($K$9:$K$59,$N48,$L$9:$L$59,AW$8),0)</f>
        <v>0</v>
      </c>
      <c r="AX48" s="175">
        <f t="array" ref="AX48">IF(AND($N48&lt;&gt;"",AX$8&lt;&gt;""),COUNTIFS($K$9:$K$59,$N48,$L$9:$L$59,AX$8),0)</f>
        <v>0</v>
      </c>
      <c r="AY48" s="175">
        <f t="array" ref="AY48">IF(AND($N48&lt;&gt;"",AY$8&lt;&gt;""),COUNTIFS($K$9:$K$59,$N48,$L$9:$L$59,AY$8),0)</f>
        <v>0</v>
      </c>
      <c r="AZ48" s="175">
        <f t="array" ref="AZ48">IF(AND($N48&lt;&gt;"",AZ$8&lt;&gt;""),COUNTIFS($K$9:$K$59,$N48,$L$9:$L$59,AZ$8),0)</f>
        <v>0</v>
      </c>
      <c r="BA48" s="175">
        <f t="array" ref="BA48">IF(AND($N48&lt;&gt;"",BA$8&lt;&gt;""),COUNTIFS($K$9:$K$59,$N48,$L$9:$L$59,BA$8),0)</f>
        <v>0</v>
      </c>
      <c r="BB48" s="175">
        <f t="array" ref="BB48">IF(AND($N48&lt;&gt;"",BB$8&lt;&gt;""),COUNTIFS($K$9:$K$59,$N48,$L$9:$L$59,BB$8),0)</f>
        <v>0</v>
      </c>
      <c r="BC48" s="175">
        <f t="array" ref="BC48">IF(AND($N48&lt;&gt;"",BC$8&lt;&gt;""),COUNTIFS($K$9:$K$59,$N48,$L$9:$L$59,BC$8),0)</f>
        <v>0</v>
      </c>
      <c r="BD48" s="175">
        <f t="array" ref="BD48">IF(AND($N48&lt;&gt;"",BD$8&lt;&gt;""),COUNTIFS($K$9:$K$59,$N48,$L$9:$L$59,BD$8),0)</f>
        <v>0</v>
      </c>
      <c r="BE48" s="175">
        <f t="array" ref="BE48">IF(AND($N48&lt;&gt;"",BE$8&lt;&gt;""),COUNTIFS($K$9:$K$59,$N48,$L$9:$L$59,BE$8),0)</f>
        <v>0</v>
      </c>
      <c r="BF48" s="175">
        <f t="array" ref="BF48">IF(AND($N48&lt;&gt;"",BF$8&lt;&gt;""),COUNTIFS($K$9:$K$59,$N48,$L$9:$L$59,BF$8),0)</f>
        <v>0</v>
      </c>
      <c r="BG48" s="175">
        <f t="array" ref="BG48">IF(AND($N48&lt;&gt;"",BG$8&lt;&gt;""),COUNTIFS($K$9:$K$59,$N48,$L$9:$L$59,BG$8),0)</f>
        <v>0</v>
      </c>
      <c r="BH48" s="175">
        <f t="array" ref="BH48">IF(AND($N48&lt;&gt;"",BH$8&lt;&gt;""),COUNTIFS($K$9:$K$59,$N48,$L$9:$L$59,BH$8),0)</f>
        <v>0</v>
      </c>
      <c r="BI48" s="175">
        <f t="array" ref="BI48">IF(AND($N48&lt;&gt;"",BI$8&lt;&gt;""),COUNTIFS($K$9:$K$59,$N48,$L$9:$L$59,BI$8),0)</f>
        <v>0</v>
      </c>
      <c r="BJ48" s="175">
        <f t="array" ref="BJ48">IF(AND($N48&lt;&gt;"",BJ$8&lt;&gt;""),COUNTIFS($K$9:$K$59,$N48,$L$9:$L$59,BJ$8),0)</f>
        <v>0</v>
      </c>
      <c r="BK48" s="175">
        <f t="array" ref="BK48">IF(AND($N48&lt;&gt;"",BK$8&lt;&gt;""),COUNTIFS($K$9:$K$59,$N48,$L$9:$L$59,BK$8),0)</f>
        <v>0</v>
      </c>
      <c r="BL48" s="175">
        <f t="array" ref="BL48">IF(AND($N48&lt;&gt;"",BL$8&lt;&gt;""),COUNTIFS($K$9:$K$59,$N48,$L$9:$L$59,BL$8),0)</f>
        <v>0</v>
      </c>
    </row>
    <row r="49" spans="2:64" s="22" customFormat="1" x14ac:dyDescent="0.2">
      <c r="B49" s="119" t="s">
        <v>134</v>
      </c>
      <c r="C49" s="260"/>
      <c r="D49" s="118"/>
      <c r="E49" s="15"/>
      <c r="F49" s="15"/>
      <c r="G49" s="15"/>
      <c r="H49" s="15" t="s">
        <v>287</v>
      </c>
      <c r="I49" s="116" t="str">
        <f t="shared" si="1"/>
        <v>-</v>
      </c>
      <c r="J49" s="120"/>
      <c r="K49" s="195" t="str">
        <f t="shared" si="2"/>
        <v/>
      </c>
      <c r="L49" s="188" t="str">
        <f t="shared" si="3"/>
        <v/>
      </c>
      <c r="N49" s="185" t="str">
        <f t="array" ref="N49">IFERROR(INDEX($K$9:$K$59,MATCH(0,COUNTIF($N$8:$N48,$K$9:$K$59),0)),"")</f>
        <v/>
      </c>
      <c r="O49" s="175">
        <f t="array" ref="O49">IF(AND($N49&lt;&gt;"",O$8&lt;&gt;""),COUNTIFS($K$9:$K$59,$N49,$L$9:$L$59,O$8),0)</f>
        <v>0</v>
      </c>
      <c r="P49" s="175">
        <f t="array" ref="P49">IF(AND($N49&lt;&gt;"",P$8&lt;&gt;""),COUNTIFS($K$9:$K$59,$N49,$L$9:$L$59,P$8),0)</f>
        <v>0</v>
      </c>
      <c r="Q49" s="175">
        <f t="array" ref="Q49">IF(AND($N49&lt;&gt;"",Q$8&lt;&gt;""),COUNTIFS($K$9:$K$59,$N49,$L$9:$L$59,Q$8),0)</f>
        <v>0</v>
      </c>
      <c r="R49" s="175">
        <f t="array" ref="R49">IF(AND($N49&lt;&gt;"",R$8&lt;&gt;""),COUNTIFS($K$9:$K$59,$N49,$L$9:$L$59,R$8),0)</f>
        <v>0</v>
      </c>
      <c r="S49" s="175">
        <f t="array" ref="S49">IF(AND($N49&lt;&gt;"",S$8&lt;&gt;""),COUNTIFS($K$9:$K$59,$N49,$L$9:$L$59,S$8),0)</f>
        <v>0</v>
      </c>
      <c r="T49" s="175">
        <f t="array" ref="T49">IF(AND($N49&lt;&gt;"",T$8&lt;&gt;""),COUNTIFS($K$9:$K$59,$N49,$L$9:$L$59,T$8),0)</f>
        <v>0</v>
      </c>
      <c r="U49" s="175">
        <f t="array" ref="U49">IF(AND($N49&lt;&gt;"",U$8&lt;&gt;""),COUNTIFS($K$9:$K$59,$N49,$L$9:$L$59,U$8),0)</f>
        <v>0</v>
      </c>
      <c r="V49" s="175">
        <f t="array" ref="V49">IF(AND($N49&lt;&gt;"",V$8&lt;&gt;""),COUNTIFS($K$9:$K$59,$N49,$L$9:$L$59,V$8),0)</f>
        <v>0</v>
      </c>
      <c r="W49" s="175">
        <f t="array" ref="W49">IF(AND($N49&lt;&gt;"",W$8&lt;&gt;""),COUNTIFS($K$9:$K$59,$N49,$L$9:$L$59,W$8),0)</f>
        <v>0</v>
      </c>
      <c r="X49" s="175">
        <f t="array" ref="X49">IF(AND($N49&lt;&gt;"",X$8&lt;&gt;""),COUNTIFS($K$9:$K$59,$N49,$L$9:$L$59,X$8),0)</f>
        <v>0</v>
      </c>
      <c r="Y49" s="175">
        <f t="array" ref="Y49">IF(AND($N49&lt;&gt;"",Y$8&lt;&gt;""),COUNTIFS($K$9:$K$59,$N49,$L$9:$L$59,Y$8),0)</f>
        <v>0</v>
      </c>
      <c r="Z49" s="175">
        <f t="array" ref="Z49">IF(AND($N49&lt;&gt;"",Z$8&lt;&gt;""),COUNTIFS($K$9:$K$59,$N49,$L$9:$L$59,Z$8),0)</f>
        <v>0</v>
      </c>
      <c r="AA49" s="175">
        <f t="array" ref="AA49">IF(AND($N49&lt;&gt;"",AA$8&lt;&gt;""),COUNTIFS($K$9:$K$59,$N49,$L$9:$L$59,AA$8),0)</f>
        <v>0</v>
      </c>
      <c r="AB49" s="175">
        <f t="array" ref="AB49">IF(AND($N49&lt;&gt;"",AB$8&lt;&gt;""),COUNTIFS($K$9:$K$59,$N49,$L$9:$L$59,AB$8),0)</f>
        <v>0</v>
      </c>
      <c r="AC49" s="175">
        <f t="array" ref="AC49">IF(AND($N49&lt;&gt;"",AC$8&lt;&gt;""),COUNTIFS($K$9:$K$59,$N49,$L$9:$L$59,AC$8),0)</f>
        <v>0</v>
      </c>
      <c r="AD49" s="175">
        <f t="array" ref="AD49">IF(AND($N49&lt;&gt;"",AD$8&lt;&gt;""),COUNTIFS($K$9:$K$59,$N49,$L$9:$L$59,AD$8),0)</f>
        <v>0</v>
      </c>
      <c r="AE49" s="175">
        <f t="array" ref="AE49">IF(AND($N49&lt;&gt;"",AE$8&lt;&gt;""),COUNTIFS($K$9:$K$59,$N49,$L$9:$L$59,AE$8),0)</f>
        <v>0</v>
      </c>
      <c r="AF49" s="175">
        <f t="array" ref="AF49">IF(AND($N49&lt;&gt;"",AF$8&lt;&gt;""),COUNTIFS($K$9:$K$59,$N49,$L$9:$L$59,AF$8),0)</f>
        <v>0</v>
      </c>
      <c r="AG49" s="175">
        <f t="array" ref="AG49">IF(AND($N49&lt;&gt;"",AG$8&lt;&gt;""),COUNTIFS($K$9:$K$59,$N49,$L$9:$L$59,AG$8),0)</f>
        <v>0</v>
      </c>
      <c r="AH49" s="175">
        <f t="array" ref="AH49">IF(AND($N49&lt;&gt;"",AH$8&lt;&gt;""),COUNTIFS($K$9:$K$59,$N49,$L$9:$L$59,AH$8),0)</f>
        <v>0</v>
      </c>
      <c r="AI49" s="175">
        <f t="array" ref="AI49">IF(AND($N49&lt;&gt;"",AI$8&lt;&gt;""),COUNTIFS($K$9:$K$59,$N49,$L$9:$L$59,AI$8),0)</f>
        <v>0</v>
      </c>
      <c r="AJ49" s="175">
        <f t="array" ref="AJ49">IF(AND($N49&lt;&gt;"",AJ$8&lt;&gt;""),COUNTIFS($K$9:$K$59,$N49,$L$9:$L$59,AJ$8),0)</f>
        <v>0</v>
      </c>
      <c r="AK49" s="175">
        <f t="array" ref="AK49">IF(AND($N49&lt;&gt;"",AK$8&lt;&gt;""),COUNTIFS($K$9:$K$59,$N49,$L$9:$L$59,AK$8),0)</f>
        <v>0</v>
      </c>
      <c r="AL49" s="175">
        <f t="array" ref="AL49">IF(AND($N49&lt;&gt;"",AL$8&lt;&gt;""),COUNTIFS($K$9:$K$59,$N49,$L$9:$L$59,AL$8),0)</f>
        <v>0</v>
      </c>
      <c r="AM49" s="175">
        <f t="array" ref="AM49">IF(AND($N49&lt;&gt;"",AM$8&lt;&gt;""),COUNTIFS($K$9:$K$59,$N49,$L$9:$L$59,AM$8),0)</f>
        <v>0</v>
      </c>
      <c r="AN49" s="175">
        <f t="array" ref="AN49">IF(AND($N49&lt;&gt;"",AN$8&lt;&gt;""),COUNTIFS($K$9:$K$59,$N49,$L$9:$L$59,AN$8),0)</f>
        <v>0</v>
      </c>
      <c r="AO49" s="175">
        <f t="array" ref="AO49">IF(AND($N49&lt;&gt;"",AO$8&lt;&gt;""),COUNTIFS($K$9:$K$59,$N49,$L$9:$L$59,AO$8),0)</f>
        <v>0</v>
      </c>
      <c r="AP49" s="175">
        <f t="array" ref="AP49">IF(AND($N49&lt;&gt;"",AP$8&lt;&gt;""),COUNTIFS($K$9:$K$59,$N49,$L$9:$L$59,AP$8),0)</f>
        <v>0</v>
      </c>
      <c r="AQ49" s="175">
        <f t="array" ref="AQ49">IF(AND($N49&lt;&gt;"",AQ$8&lt;&gt;""),COUNTIFS($K$9:$K$59,$N49,$L$9:$L$59,AQ$8),0)</f>
        <v>0</v>
      </c>
      <c r="AR49" s="175">
        <f t="array" ref="AR49">IF(AND($N49&lt;&gt;"",AR$8&lt;&gt;""),COUNTIFS($K$9:$K$59,$N49,$L$9:$L$59,AR$8),0)</f>
        <v>0</v>
      </c>
      <c r="AS49" s="175">
        <f t="array" ref="AS49">IF(AND($N49&lt;&gt;"",AS$8&lt;&gt;""),COUNTIFS($K$9:$K$59,$N49,$L$9:$L$59,AS$8),0)</f>
        <v>0</v>
      </c>
      <c r="AT49" s="175">
        <f t="array" ref="AT49">IF(AND($N49&lt;&gt;"",AT$8&lt;&gt;""),COUNTIFS($K$9:$K$59,$N49,$L$9:$L$59,AT$8),0)</f>
        <v>0</v>
      </c>
      <c r="AU49" s="175">
        <f t="array" ref="AU49">IF(AND($N49&lt;&gt;"",AU$8&lt;&gt;""),COUNTIFS($K$9:$K$59,$N49,$L$9:$L$59,AU$8),0)</f>
        <v>0</v>
      </c>
      <c r="AV49" s="175">
        <f t="array" ref="AV49">IF(AND($N49&lt;&gt;"",AV$8&lt;&gt;""),COUNTIFS($K$9:$K$59,$N49,$L$9:$L$59,AV$8),0)</f>
        <v>0</v>
      </c>
      <c r="AW49" s="175">
        <f t="array" ref="AW49">IF(AND($N49&lt;&gt;"",AW$8&lt;&gt;""),COUNTIFS($K$9:$K$59,$N49,$L$9:$L$59,AW$8),0)</f>
        <v>0</v>
      </c>
      <c r="AX49" s="175">
        <f t="array" ref="AX49">IF(AND($N49&lt;&gt;"",AX$8&lt;&gt;""),COUNTIFS($K$9:$K$59,$N49,$L$9:$L$59,AX$8),0)</f>
        <v>0</v>
      </c>
      <c r="AY49" s="175">
        <f t="array" ref="AY49">IF(AND($N49&lt;&gt;"",AY$8&lt;&gt;""),COUNTIFS($K$9:$K$59,$N49,$L$9:$L$59,AY$8),0)</f>
        <v>0</v>
      </c>
      <c r="AZ49" s="175">
        <f t="array" ref="AZ49">IF(AND($N49&lt;&gt;"",AZ$8&lt;&gt;""),COUNTIFS($K$9:$K$59,$N49,$L$9:$L$59,AZ$8),0)</f>
        <v>0</v>
      </c>
      <c r="BA49" s="175">
        <f t="array" ref="BA49">IF(AND($N49&lt;&gt;"",BA$8&lt;&gt;""),COUNTIFS($K$9:$K$59,$N49,$L$9:$L$59,BA$8),0)</f>
        <v>0</v>
      </c>
      <c r="BB49" s="175">
        <f t="array" ref="BB49">IF(AND($N49&lt;&gt;"",BB$8&lt;&gt;""),COUNTIFS($K$9:$K$59,$N49,$L$9:$L$59,BB$8),0)</f>
        <v>0</v>
      </c>
      <c r="BC49" s="175">
        <f t="array" ref="BC49">IF(AND($N49&lt;&gt;"",BC$8&lt;&gt;""),COUNTIFS($K$9:$K$59,$N49,$L$9:$L$59,BC$8),0)</f>
        <v>0</v>
      </c>
      <c r="BD49" s="175">
        <f t="array" ref="BD49">IF(AND($N49&lt;&gt;"",BD$8&lt;&gt;""),COUNTIFS($K$9:$K$59,$N49,$L$9:$L$59,BD$8),0)</f>
        <v>0</v>
      </c>
      <c r="BE49" s="175">
        <f t="array" ref="BE49">IF(AND($N49&lt;&gt;"",BE$8&lt;&gt;""),COUNTIFS($K$9:$K$59,$N49,$L$9:$L$59,BE$8),0)</f>
        <v>0</v>
      </c>
      <c r="BF49" s="175">
        <f t="array" ref="BF49">IF(AND($N49&lt;&gt;"",BF$8&lt;&gt;""),COUNTIFS($K$9:$K$59,$N49,$L$9:$L$59,BF$8),0)</f>
        <v>0</v>
      </c>
      <c r="BG49" s="175">
        <f t="array" ref="BG49">IF(AND($N49&lt;&gt;"",BG$8&lt;&gt;""),COUNTIFS($K$9:$K$59,$N49,$L$9:$L$59,BG$8),0)</f>
        <v>0</v>
      </c>
      <c r="BH49" s="175">
        <f t="array" ref="BH49">IF(AND($N49&lt;&gt;"",BH$8&lt;&gt;""),COUNTIFS($K$9:$K$59,$N49,$L$9:$L$59,BH$8),0)</f>
        <v>0</v>
      </c>
      <c r="BI49" s="175">
        <f t="array" ref="BI49">IF(AND($N49&lt;&gt;"",BI$8&lt;&gt;""),COUNTIFS($K$9:$K$59,$N49,$L$9:$L$59,BI$8),0)</f>
        <v>0</v>
      </c>
      <c r="BJ49" s="175">
        <f t="array" ref="BJ49">IF(AND($N49&lt;&gt;"",BJ$8&lt;&gt;""),COUNTIFS($K$9:$K$59,$N49,$L$9:$L$59,BJ$8),0)</f>
        <v>0</v>
      </c>
      <c r="BK49" s="175">
        <f t="array" ref="BK49">IF(AND($N49&lt;&gt;"",BK$8&lt;&gt;""),COUNTIFS($K$9:$K$59,$N49,$L$9:$L$59,BK$8),0)</f>
        <v>0</v>
      </c>
      <c r="BL49" s="175">
        <f t="array" ref="BL49">IF(AND($N49&lt;&gt;"",BL$8&lt;&gt;""),COUNTIFS($K$9:$K$59,$N49,$L$9:$L$59,BL$8),0)</f>
        <v>0</v>
      </c>
    </row>
    <row r="50" spans="2:64" s="22" customFormat="1" x14ac:dyDescent="0.2">
      <c r="B50" s="119" t="s">
        <v>135</v>
      </c>
      <c r="C50" s="260"/>
      <c r="D50" s="118"/>
      <c r="E50" s="15"/>
      <c r="F50" s="15"/>
      <c r="G50" s="15"/>
      <c r="H50" s="15" t="s">
        <v>287</v>
      </c>
      <c r="I50" s="116" t="str">
        <f t="shared" si="1"/>
        <v>-</v>
      </c>
      <c r="J50" s="120"/>
      <c r="K50" s="195" t="str">
        <f t="shared" si="2"/>
        <v/>
      </c>
      <c r="L50" s="188" t="str">
        <f t="shared" si="3"/>
        <v/>
      </c>
      <c r="N50" s="185" t="str">
        <f t="array" ref="N50">IFERROR(INDEX($K$9:$K$59,MATCH(0,COUNTIF($N$8:$N49,$K$9:$K$59),0)),"")</f>
        <v/>
      </c>
      <c r="O50" s="175">
        <f t="array" ref="O50">IF(AND($N50&lt;&gt;"",O$8&lt;&gt;""),COUNTIFS($K$9:$K$59,$N50,$L$9:$L$59,O$8),0)</f>
        <v>0</v>
      </c>
      <c r="P50" s="175">
        <f t="array" ref="P50">IF(AND($N50&lt;&gt;"",P$8&lt;&gt;""),COUNTIFS($K$9:$K$59,$N50,$L$9:$L$59,P$8),0)</f>
        <v>0</v>
      </c>
      <c r="Q50" s="175">
        <f t="array" ref="Q50">IF(AND($N50&lt;&gt;"",Q$8&lt;&gt;""),COUNTIFS($K$9:$K$59,$N50,$L$9:$L$59,Q$8),0)</f>
        <v>0</v>
      </c>
      <c r="R50" s="175">
        <f t="array" ref="R50">IF(AND($N50&lt;&gt;"",R$8&lt;&gt;""),COUNTIFS($K$9:$K$59,$N50,$L$9:$L$59,R$8),0)</f>
        <v>0</v>
      </c>
      <c r="S50" s="175">
        <f t="array" ref="S50">IF(AND($N50&lt;&gt;"",S$8&lt;&gt;""),COUNTIFS($K$9:$K$59,$N50,$L$9:$L$59,S$8),0)</f>
        <v>0</v>
      </c>
      <c r="T50" s="175">
        <f t="array" ref="T50">IF(AND($N50&lt;&gt;"",T$8&lt;&gt;""),COUNTIFS($K$9:$K$59,$N50,$L$9:$L$59,T$8),0)</f>
        <v>0</v>
      </c>
      <c r="U50" s="175">
        <f t="array" ref="U50">IF(AND($N50&lt;&gt;"",U$8&lt;&gt;""),COUNTIFS($K$9:$K$59,$N50,$L$9:$L$59,U$8),0)</f>
        <v>0</v>
      </c>
      <c r="V50" s="175">
        <f t="array" ref="V50">IF(AND($N50&lt;&gt;"",V$8&lt;&gt;""),COUNTIFS($K$9:$K$59,$N50,$L$9:$L$59,V$8),0)</f>
        <v>0</v>
      </c>
      <c r="W50" s="175">
        <f t="array" ref="W50">IF(AND($N50&lt;&gt;"",W$8&lt;&gt;""),COUNTIFS($K$9:$K$59,$N50,$L$9:$L$59,W$8),0)</f>
        <v>0</v>
      </c>
      <c r="X50" s="175">
        <f t="array" ref="X50">IF(AND($N50&lt;&gt;"",X$8&lt;&gt;""),COUNTIFS($K$9:$K$59,$N50,$L$9:$L$59,X$8),0)</f>
        <v>0</v>
      </c>
      <c r="Y50" s="175">
        <f t="array" ref="Y50">IF(AND($N50&lt;&gt;"",Y$8&lt;&gt;""),COUNTIFS($K$9:$K$59,$N50,$L$9:$L$59,Y$8),0)</f>
        <v>0</v>
      </c>
      <c r="Z50" s="175">
        <f t="array" ref="Z50">IF(AND($N50&lt;&gt;"",Z$8&lt;&gt;""),COUNTIFS($K$9:$K$59,$N50,$L$9:$L$59,Z$8),0)</f>
        <v>0</v>
      </c>
      <c r="AA50" s="175">
        <f t="array" ref="AA50">IF(AND($N50&lt;&gt;"",AA$8&lt;&gt;""),COUNTIFS($K$9:$K$59,$N50,$L$9:$L$59,AA$8),0)</f>
        <v>0</v>
      </c>
      <c r="AB50" s="175">
        <f t="array" ref="AB50">IF(AND($N50&lt;&gt;"",AB$8&lt;&gt;""),COUNTIFS($K$9:$K$59,$N50,$L$9:$L$59,AB$8),0)</f>
        <v>0</v>
      </c>
      <c r="AC50" s="175">
        <f t="array" ref="AC50">IF(AND($N50&lt;&gt;"",AC$8&lt;&gt;""),COUNTIFS($K$9:$K$59,$N50,$L$9:$L$59,AC$8),0)</f>
        <v>0</v>
      </c>
      <c r="AD50" s="175">
        <f t="array" ref="AD50">IF(AND($N50&lt;&gt;"",AD$8&lt;&gt;""),COUNTIFS($K$9:$K$59,$N50,$L$9:$L$59,AD$8),0)</f>
        <v>0</v>
      </c>
      <c r="AE50" s="175">
        <f t="array" ref="AE50">IF(AND($N50&lt;&gt;"",AE$8&lt;&gt;""),COUNTIFS($K$9:$K$59,$N50,$L$9:$L$59,AE$8),0)</f>
        <v>0</v>
      </c>
      <c r="AF50" s="175">
        <f t="array" ref="AF50">IF(AND($N50&lt;&gt;"",AF$8&lt;&gt;""),COUNTIFS($K$9:$K$59,$N50,$L$9:$L$59,AF$8),0)</f>
        <v>0</v>
      </c>
      <c r="AG50" s="175">
        <f t="array" ref="AG50">IF(AND($N50&lt;&gt;"",AG$8&lt;&gt;""),COUNTIFS($K$9:$K$59,$N50,$L$9:$L$59,AG$8),0)</f>
        <v>0</v>
      </c>
      <c r="AH50" s="175">
        <f t="array" ref="AH50">IF(AND($N50&lt;&gt;"",AH$8&lt;&gt;""),COUNTIFS($K$9:$K$59,$N50,$L$9:$L$59,AH$8),0)</f>
        <v>0</v>
      </c>
      <c r="AI50" s="175">
        <f t="array" ref="AI50">IF(AND($N50&lt;&gt;"",AI$8&lt;&gt;""),COUNTIFS($K$9:$K$59,$N50,$L$9:$L$59,AI$8),0)</f>
        <v>0</v>
      </c>
      <c r="AJ50" s="175">
        <f t="array" ref="AJ50">IF(AND($N50&lt;&gt;"",AJ$8&lt;&gt;""),COUNTIFS($K$9:$K$59,$N50,$L$9:$L$59,AJ$8),0)</f>
        <v>0</v>
      </c>
      <c r="AK50" s="175">
        <f t="array" ref="AK50">IF(AND($N50&lt;&gt;"",AK$8&lt;&gt;""),COUNTIFS($K$9:$K$59,$N50,$L$9:$L$59,AK$8),0)</f>
        <v>0</v>
      </c>
      <c r="AL50" s="175">
        <f t="array" ref="AL50">IF(AND($N50&lt;&gt;"",AL$8&lt;&gt;""),COUNTIFS($K$9:$K$59,$N50,$L$9:$L$59,AL$8),0)</f>
        <v>0</v>
      </c>
      <c r="AM50" s="175">
        <f t="array" ref="AM50">IF(AND($N50&lt;&gt;"",AM$8&lt;&gt;""),COUNTIFS($K$9:$K$59,$N50,$L$9:$L$59,AM$8),0)</f>
        <v>0</v>
      </c>
      <c r="AN50" s="175">
        <f t="array" ref="AN50">IF(AND($N50&lt;&gt;"",AN$8&lt;&gt;""),COUNTIFS($K$9:$K$59,$N50,$L$9:$L$59,AN$8),0)</f>
        <v>0</v>
      </c>
      <c r="AO50" s="175">
        <f t="array" ref="AO50">IF(AND($N50&lt;&gt;"",AO$8&lt;&gt;""),COUNTIFS($K$9:$K$59,$N50,$L$9:$L$59,AO$8),0)</f>
        <v>0</v>
      </c>
      <c r="AP50" s="175">
        <f t="array" ref="AP50">IF(AND($N50&lt;&gt;"",AP$8&lt;&gt;""),COUNTIFS($K$9:$K$59,$N50,$L$9:$L$59,AP$8),0)</f>
        <v>0</v>
      </c>
      <c r="AQ50" s="175">
        <f t="array" ref="AQ50">IF(AND($N50&lt;&gt;"",AQ$8&lt;&gt;""),COUNTIFS($K$9:$K$59,$N50,$L$9:$L$59,AQ$8),0)</f>
        <v>0</v>
      </c>
      <c r="AR50" s="175">
        <f t="array" ref="AR50">IF(AND($N50&lt;&gt;"",AR$8&lt;&gt;""),COUNTIFS($K$9:$K$59,$N50,$L$9:$L$59,AR$8),0)</f>
        <v>0</v>
      </c>
      <c r="AS50" s="175">
        <f t="array" ref="AS50">IF(AND($N50&lt;&gt;"",AS$8&lt;&gt;""),COUNTIFS($K$9:$K$59,$N50,$L$9:$L$59,AS$8),0)</f>
        <v>0</v>
      </c>
      <c r="AT50" s="175">
        <f t="array" ref="AT50">IF(AND($N50&lt;&gt;"",AT$8&lt;&gt;""),COUNTIFS($K$9:$K$59,$N50,$L$9:$L$59,AT$8),0)</f>
        <v>0</v>
      </c>
      <c r="AU50" s="175">
        <f t="array" ref="AU50">IF(AND($N50&lt;&gt;"",AU$8&lt;&gt;""),COUNTIFS($K$9:$K$59,$N50,$L$9:$L$59,AU$8),0)</f>
        <v>0</v>
      </c>
      <c r="AV50" s="175">
        <f t="array" ref="AV50">IF(AND($N50&lt;&gt;"",AV$8&lt;&gt;""),COUNTIFS($K$9:$K$59,$N50,$L$9:$L$59,AV$8),0)</f>
        <v>0</v>
      </c>
      <c r="AW50" s="175">
        <f t="array" ref="AW50">IF(AND($N50&lt;&gt;"",AW$8&lt;&gt;""),COUNTIFS($K$9:$K$59,$N50,$L$9:$L$59,AW$8),0)</f>
        <v>0</v>
      </c>
      <c r="AX50" s="175">
        <f t="array" ref="AX50">IF(AND($N50&lt;&gt;"",AX$8&lt;&gt;""),COUNTIFS($K$9:$K$59,$N50,$L$9:$L$59,AX$8),0)</f>
        <v>0</v>
      </c>
      <c r="AY50" s="175">
        <f t="array" ref="AY50">IF(AND($N50&lt;&gt;"",AY$8&lt;&gt;""),COUNTIFS($K$9:$K$59,$N50,$L$9:$L$59,AY$8),0)</f>
        <v>0</v>
      </c>
      <c r="AZ50" s="175">
        <f t="array" ref="AZ50">IF(AND($N50&lt;&gt;"",AZ$8&lt;&gt;""),COUNTIFS($K$9:$K$59,$N50,$L$9:$L$59,AZ$8),0)</f>
        <v>0</v>
      </c>
      <c r="BA50" s="175">
        <f t="array" ref="BA50">IF(AND($N50&lt;&gt;"",BA$8&lt;&gt;""),COUNTIFS($K$9:$K$59,$N50,$L$9:$L$59,BA$8),0)</f>
        <v>0</v>
      </c>
      <c r="BB50" s="175">
        <f t="array" ref="BB50">IF(AND($N50&lt;&gt;"",BB$8&lt;&gt;""),COUNTIFS($K$9:$K$59,$N50,$L$9:$L$59,BB$8),0)</f>
        <v>0</v>
      </c>
      <c r="BC50" s="175">
        <f t="array" ref="BC50">IF(AND($N50&lt;&gt;"",BC$8&lt;&gt;""),COUNTIFS($K$9:$K$59,$N50,$L$9:$L$59,BC$8),0)</f>
        <v>0</v>
      </c>
      <c r="BD50" s="175">
        <f t="array" ref="BD50">IF(AND($N50&lt;&gt;"",BD$8&lt;&gt;""),COUNTIFS($K$9:$K$59,$N50,$L$9:$L$59,BD$8),0)</f>
        <v>0</v>
      </c>
      <c r="BE50" s="175">
        <f t="array" ref="BE50">IF(AND($N50&lt;&gt;"",BE$8&lt;&gt;""),COUNTIFS($K$9:$K$59,$N50,$L$9:$L$59,BE$8),0)</f>
        <v>0</v>
      </c>
      <c r="BF50" s="175">
        <f t="array" ref="BF50">IF(AND($N50&lt;&gt;"",BF$8&lt;&gt;""),COUNTIFS($K$9:$K$59,$N50,$L$9:$L$59,BF$8),0)</f>
        <v>0</v>
      </c>
      <c r="BG50" s="175">
        <f t="array" ref="BG50">IF(AND($N50&lt;&gt;"",BG$8&lt;&gt;""),COUNTIFS($K$9:$K$59,$N50,$L$9:$L$59,BG$8),0)</f>
        <v>0</v>
      </c>
      <c r="BH50" s="175">
        <f t="array" ref="BH50">IF(AND($N50&lt;&gt;"",BH$8&lt;&gt;""),COUNTIFS($K$9:$K$59,$N50,$L$9:$L$59,BH$8),0)</f>
        <v>0</v>
      </c>
      <c r="BI50" s="175">
        <f t="array" ref="BI50">IF(AND($N50&lt;&gt;"",BI$8&lt;&gt;""),COUNTIFS($K$9:$K$59,$N50,$L$9:$L$59,BI$8),0)</f>
        <v>0</v>
      </c>
      <c r="BJ50" s="175">
        <f t="array" ref="BJ50">IF(AND($N50&lt;&gt;"",BJ$8&lt;&gt;""),COUNTIFS($K$9:$K$59,$N50,$L$9:$L$59,BJ$8),0)</f>
        <v>0</v>
      </c>
      <c r="BK50" s="175">
        <f t="array" ref="BK50">IF(AND($N50&lt;&gt;"",BK$8&lt;&gt;""),COUNTIFS($K$9:$K$59,$N50,$L$9:$L$59,BK$8),0)</f>
        <v>0</v>
      </c>
      <c r="BL50" s="175">
        <f t="array" ref="BL50">IF(AND($N50&lt;&gt;"",BL$8&lt;&gt;""),COUNTIFS($K$9:$K$59,$N50,$L$9:$L$59,BL$8),0)</f>
        <v>0</v>
      </c>
    </row>
    <row r="51" spans="2:64" s="22" customFormat="1" x14ac:dyDescent="0.2">
      <c r="B51" s="119" t="s">
        <v>136</v>
      </c>
      <c r="C51" s="260"/>
      <c r="D51" s="118"/>
      <c r="E51" s="15"/>
      <c r="F51" s="15"/>
      <c r="G51" s="15"/>
      <c r="H51" s="15" t="s">
        <v>287</v>
      </c>
      <c r="I51" s="116" t="str">
        <f t="shared" si="1"/>
        <v>-</v>
      </c>
      <c r="J51" s="120"/>
      <c r="K51" s="195" t="str">
        <f t="shared" si="2"/>
        <v/>
      </c>
      <c r="L51" s="188" t="str">
        <f t="shared" si="3"/>
        <v/>
      </c>
      <c r="N51" s="185" t="str">
        <f t="array" ref="N51">IFERROR(INDEX($K$9:$K$59,MATCH(0,COUNTIF($N$8:$N50,$K$9:$K$59),0)),"")</f>
        <v/>
      </c>
      <c r="O51" s="175">
        <f t="array" ref="O51">IF(AND($N51&lt;&gt;"",O$8&lt;&gt;""),COUNTIFS($K$9:$K$59,$N51,$L$9:$L$59,O$8),0)</f>
        <v>0</v>
      </c>
      <c r="P51" s="175">
        <f t="array" ref="P51">IF(AND($N51&lt;&gt;"",P$8&lt;&gt;""),COUNTIFS($K$9:$K$59,$N51,$L$9:$L$59,P$8),0)</f>
        <v>0</v>
      </c>
      <c r="Q51" s="175">
        <f t="array" ref="Q51">IF(AND($N51&lt;&gt;"",Q$8&lt;&gt;""),COUNTIFS($K$9:$K$59,$N51,$L$9:$L$59,Q$8),0)</f>
        <v>0</v>
      </c>
      <c r="R51" s="175">
        <f t="array" ref="R51">IF(AND($N51&lt;&gt;"",R$8&lt;&gt;""),COUNTIFS($K$9:$K$59,$N51,$L$9:$L$59,R$8),0)</f>
        <v>0</v>
      </c>
      <c r="S51" s="175">
        <f t="array" ref="S51">IF(AND($N51&lt;&gt;"",S$8&lt;&gt;""),COUNTIFS($K$9:$K$59,$N51,$L$9:$L$59,S$8),0)</f>
        <v>0</v>
      </c>
      <c r="T51" s="175">
        <f t="array" ref="T51">IF(AND($N51&lt;&gt;"",T$8&lt;&gt;""),COUNTIFS($K$9:$K$59,$N51,$L$9:$L$59,T$8),0)</f>
        <v>0</v>
      </c>
      <c r="U51" s="175">
        <f t="array" ref="U51">IF(AND($N51&lt;&gt;"",U$8&lt;&gt;""),COUNTIFS($K$9:$K$59,$N51,$L$9:$L$59,U$8),0)</f>
        <v>0</v>
      </c>
      <c r="V51" s="175">
        <f t="array" ref="V51">IF(AND($N51&lt;&gt;"",V$8&lt;&gt;""),COUNTIFS($K$9:$K$59,$N51,$L$9:$L$59,V$8),0)</f>
        <v>0</v>
      </c>
      <c r="W51" s="175">
        <f t="array" ref="W51">IF(AND($N51&lt;&gt;"",W$8&lt;&gt;""),COUNTIFS($K$9:$K$59,$N51,$L$9:$L$59,W$8),0)</f>
        <v>0</v>
      </c>
      <c r="X51" s="175">
        <f t="array" ref="X51">IF(AND($N51&lt;&gt;"",X$8&lt;&gt;""),COUNTIFS($K$9:$K$59,$N51,$L$9:$L$59,X$8),0)</f>
        <v>0</v>
      </c>
      <c r="Y51" s="175">
        <f t="array" ref="Y51">IF(AND($N51&lt;&gt;"",Y$8&lt;&gt;""),COUNTIFS($K$9:$K$59,$N51,$L$9:$L$59,Y$8),0)</f>
        <v>0</v>
      </c>
      <c r="Z51" s="175">
        <f t="array" ref="Z51">IF(AND($N51&lt;&gt;"",Z$8&lt;&gt;""),COUNTIFS($K$9:$K$59,$N51,$L$9:$L$59,Z$8),0)</f>
        <v>0</v>
      </c>
      <c r="AA51" s="175">
        <f t="array" ref="AA51">IF(AND($N51&lt;&gt;"",AA$8&lt;&gt;""),COUNTIFS($K$9:$K$59,$N51,$L$9:$L$59,AA$8),0)</f>
        <v>0</v>
      </c>
      <c r="AB51" s="175">
        <f t="array" ref="AB51">IF(AND($N51&lt;&gt;"",AB$8&lt;&gt;""),COUNTIFS($K$9:$K$59,$N51,$L$9:$L$59,AB$8),0)</f>
        <v>0</v>
      </c>
      <c r="AC51" s="175">
        <f t="array" ref="AC51">IF(AND($N51&lt;&gt;"",AC$8&lt;&gt;""),COUNTIFS($K$9:$K$59,$N51,$L$9:$L$59,AC$8),0)</f>
        <v>0</v>
      </c>
      <c r="AD51" s="175">
        <f t="array" ref="AD51">IF(AND($N51&lt;&gt;"",AD$8&lt;&gt;""),COUNTIFS($K$9:$K$59,$N51,$L$9:$L$59,AD$8),0)</f>
        <v>0</v>
      </c>
      <c r="AE51" s="175">
        <f t="array" ref="AE51">IF(AND($N51&lt;&gt;"",AE$8&lt;&gt;""),COUNTIFS($K$9:$K$59,$N51,$L$9:$L$59,AE$8),0)</f>
        <v>0</v>
      </c>
      <c r="AF51" s="175">
        <f t="array" ref="AF51">IF(AND($N51&lt;&gt;"",AF$8&lt;&gt;""),COUNTIFS($K$9:$K$59,$N51,$L$9:$L$59,AF$8),0)</f>
        <v>0</v>
      </c>
      <c r="AG51" s="175">
        <f t="array" ref="AG51">IF(AND($N51&lt;&gt;"",AG$8&lt;&gt;""),COUNTIFS($K$9:$K$59,$N51,$L$9:$L$59,AG$8),0)</f>
        <v>0</v>
      </c>
      <c r="AH51" s="175">
        <f t="array" ref="AH51">IF(AND($N51&lt;&gt;"",AH$8&lt;&gt;""),COUNTIFS($K$9:$K$59,$N51,$L$9:$L$59,AH$8),0)</f>
        <v>0</v>
      </c>
      <c r="AI51" s="175">
        <f t="array" ref="AI51">IF(AND($N51&lt;&gt;"",AI$8&lt;&gt;""),COUNTIFS($K$9:$K$59,$N51,$L$9:$L$59,AI$8),0)</f>
        <v>0</v>
      </c>
      <c r="AJ51" s="175">
        <f t="array" ref="AJ51">IF(AND($N51&lt;&gt;"",AJ$8&lt;&gt;""),COUNTIFS($K$9:$K$59,$N51,$L$9:$L$59,AJ$8),0)</f>
        <v>0</v>
      </c>
      <c r="AK51" s="175">
        <f t="array" ref="AK51">IF(AND($N51&lt;&gt;"",AK$8&lt;&gt;""),COUNTIFS($K$9:$K$59,$N51,$L$9:$L$59,AK$8),0)</f>
        <v>0</v>
      </c>
      <c r="AL51" s="175">
        <f t="array" ref="AL51">IF(AND($N51&lt;&gt;"",AL$8&lt;&gt;""),COUNTIFS($K$9:$K$59,$N51,$L$9:$L$59,AL$8),0)</f>
        <v>0</v>
      </c>
      <c r="AM51" s="175">
        <f t="array" ref="AM51">IF(AND($N51&lt;&gt;"",AM$8&lt;&gt;""),COUNTIFS($K$9:$K$59,$N51,$L$9:$L$59,AM$8),0)</f>
        <v>0</v>
      </c>
      <c r="AN51" s="175">
        <f t="array" ref="AN51">IF(AND($N51&lt;&gt;"",AN$8&lt;&gt;""),COUNTIFS($K$9:$K$59,$N51,$L$9:$L$59,AN$8),0)</f>
        <v>0</v>
      </c>
      <c r="AO51" s="175">
        <f t="array" ref="AO51">IF(AND($N51&lt;&gt;"",AO$8&lt;&gt;""),COUNTIFS($K$9:$K$59,$N51,$L$9:$L$59,AO$8),0)</f>
        <v>0</v>
      </c>
      <c r="AP51" s="175">
        <f t="array" ref="AP51">IF(AND($N51&lt;&gt;"",AP$8&lt;&gt;""),COUNTIFS($K$9:$K$59,$N51,$L$9:$L$59,AP$8),0)</f>
        <v>0</v>
      </c>
      <c r="AQ51" s="175">
        <f t="array" ref="AQ51">IF(AND($N51&lt;&gt;"",AQ$8&lt;&gt;""),COUNTIFS($K$9:$K$59,$N51,$L$9:$L$59,AQ$8),0)</f>
        <v>0</v>
      </c>
      <c r="AR51" s="175">
        <f t="array" ref="AR51">IF(AND($N51&lt;&gt;"",AR$8&lt;&gt;""),COUNTIFS($K$9:$K$59,$N51,$L$9:$L$59,AR$8),0)</f>
        <v>0</v>
      </c>
      <c r="AS51" s="175">
        <f t="array" ref="AS51">IF(AND($N51&lt;&gt;"",AS$8&lt;&gt;""),COUNTIFS($K$9:$K$59,$N51,$L$9:$L$59,AS$8),0)</f>
        <v>0</v>
      </c>
      <c r="AT51" s="175">
        <f t="array" ref="AT51">IF(AND($N51&lt;&gt;"",AT$8&lt;&gt;""),COUNTIFS($K$9:$K$59,$N51,$L$9:$L$59,AT$8),0)</f>
        <v>0</v>
      </c>
      <c r="AU51" s="175">
        <f t="array" ref="AU51">IF(AND($N51&lt;&gt;"",AU$8&lt;&gt;""),COUNTIFS($K$9:$K$59,$N51,$L$9:$L$59,AU$8),0)</f>
        <v>0</v>
      </c>
      <c r="AV51" s="175">
        <f t="array" ref="AV51">IF(AND($N51&lt;&gt;"",AV$8&lt;&gt;""),COUNTIFS($K$9:$K$59,$N51,$L$9:$L$59,AV$8),0)</f>
        <v>0</v>
      </c>
      <c r="AW51" s="175">
        <f t="array" ref="AW51">IF(AND($N51&lt;&gt;"",AW$8&lt;&gt;""),COUNTIFS($K$9:$K$59,$N51,$L$9:$L$59,AW$8),0)</f>
        <v>0</v>
      </c>
      <c r="AX51" s="175">
        <f t="array" ref="AX51">IF(AND($N51&lt;&gt;"",AX$8&lt;&gt;""),COUNTIFS($K$9:$K$59,$N51,$L$9:$L$59,AX$8),0)</f>
        <v>0</v>
      </c>
      <c r="AY51" s="175">
        <f t="array" ref="AY51">IF(AND($N51&lt;&gt;"",AY$8&lt;&gt;""),COUNTIFS($K$9:$K$59,$N51,$L$9:$L$59,AY$8),0)</f>
        <v>0</v>
      </c>
      <c r="AZ51" s="175">
        <f t="array" ref="AZ51">IF(AND($N51&lt;&gt;"",AZ$8&lt;&gt;""),COUNTIFS($K$9:$K$59,$N51,$L$9:$L$59,AZ$8),0)</f>
        <v>0</v>
      </c>
      <c r="BA51" s="175">
        <f t="array" ref="BA51">IF(AND($N51&lt;&gt;"",BA$8&lt;&gt;""),COUNTIFS($K$9:$K$59,$N51,$L$9:$L$59,BA$8),0)</f>
        <v>0</v>
      </c>
      <c r="BB51" s="175">
        <f t="array" ref="BB51">IF(AND($N51&lt;&gt;"",BB$8&lt;&gt;""),COUNTIFS($K$9:$K$59,$N51,$L$9:$L$59,BB$8),0)</f>
        <v>0</v>
      </c>
      <c r="BC51" s="175">
        <f t="array" ref="BC51">IF(AND($N51&lt;&gt;"",BC$8&lt;&gt;""),COUNTIFS($K$9:$K$59,$N51,$L$9:$L$59,BC$8),0)</f>
        <v>0</v>
      </c>
      <c r="BD51" s="175">
        <f t="array" ref="BD51">IF(AND($N51&lt;&gt;"",BD$8&lt;&gt;""),COUNTIFS($K$9:$K$59,$N51,$L$9:$L$59,BD$8),0)</f>
        <v>0</v>
      </c>
      <c r="BE51" s="175">
        <f t="array" ref="BE51">IF(AND($N51&lt;&gt;"",BE$8&lt;&gt;""),COUNTIFS($K$9:$K$59,$N51,$L$9:$L$59,BE$8),0)</f>
        <v>0</v>
      </c>
      <c r="BF51" s="175">
        <f t="array" ref="BF51">IF(AND($N51&lt;&gt;"",BF$8&lt;&gt;""),COUNTIFS($K$9:$K$59,$N51,$L$9:$L$59,BF$8),0)</f>
        <v>0</v>
      </c>
      <c r="BG51" s="175">
        <f t="array" ref="BG51">IF(AND($N51&lt;&gt;"",BG$8&lt;&gt;""),COUNTIFS($K$9:$K$59,$N51,$L$9:$L$59,BG$8),0)</f>
        <v>0</v>
      </c>
      <c r="BH51" s="175">
        <f t="array" ref="BH51">IF(AND($N51&lt;&gt;"",BH$8&lt;&gt;""),COUNTIFS($K$9:$K$59,$N51,$L$9:$L$59,BH$8),0)</f>
        <v>0</v>
      </c>
      <c r="BI51" s="175">
        <f t="array" ref="BI51">IF(AND($N51&lt;&gt;"",BI$8&lt;&gt;""),COUNTIFS($K$9:$K$59,$N51,$L$9:$L$59,BI$8),0)</f>
        <v>0</v>
      </c>
      <c r="BJ51" s="175">
        <f t="array" ref="BJ51">IF(AND($N51&lt;&gt;"",BJ$8&lt;&gt;""),COUNTIFS($K$9:$K$59,$N51,$L$9:$L$59,BJ$8),0)</f>
        <v>0</v>
      </c>
      <c r="BK51" s="175">
        <f t="array" ref="BK51">IF(AND($N51&lt;&gt;"",BK$8&lt;&gt;""),COUNTIFS($K$9:$K$59,$N51,$L$9:$L$59,BK$8),0)</f>
        <v>0</v>
      </c>
      <c r="BL51" s="175">
        <f t="array" ref="BL51">IF(AND($N51&lt;&gt;"",BL$8&lt;&gt;""),COUNTIFS($K$9:$K$59,$N51,$L$9:$L$59,BL$8),0)</f>
        <v>0</v>
      </c>
    </row>
    <row r="52" spans="2:64" s="22" customFormat="1" x14ac:dyDescent="0.2">
      <c r="B52" s="119" t="s">
        <v>137</v>
      </c>
      <c r="C52" s="260"/>
      <c r="D52" s="118"/>
      <c r="E52" s="15"/>
      <c r="F52" s="15"/>
      <c r="G52" s="15"/>
      <c r="H52" s="15" t="s">
        <v>287</v>
      </c>
      <c r="I52" s="116" t="str">
        <f t="shared" si="1"/>
        <v>-</v>
      </c>
      <c r="J52" s="120"/>
      <c r="K52" s="195" t="str">
        <f t="shared" si="2"/>
        <v/>
      </c>
      <c r="L52" s="188" t="str">
        <f t="shared" si="3"/>
        <v/>
      </c>
      <c r="N52" s="185" t="str">
        <f t="array" ref="N52">IFERROR(INDEX($K$9:$K$59,MATCH(0,COUNTIF($N$8:$N51,$K$9:$K$59),0)),"")</f>
        <v/>
      </c>
      <c r="O52" s="175">
        <f t="array" ref="O52">IF(AND($N52&lt;&gt;"",O$8&lt;&gt;""),COUNTIFS($K$9:$K$59,$N52,$L$9:$L$59,O$8),0)</f>
        <v>0</v>
      </c>
      <c r="P52" s="175">
        <f t="array" ref="P52">IF(AND($N52&lt;&gt;"",P$8&lt;&gt;""),COUNTIFS($K$9:$K$59,$N52,$L$9:$L$59,P$8),0)</f>
        <v>0</v>
      </c>
      <c r="Q52" s="175">
        <f t="array" ref="Q52">IF(AND($N52&lt;&gt;"",Q$8&lt;&gt;""),COUNTIFS($K$9:$K$59,$N52,$L$9:$L$59,Q$8),0)</f>
        <v>0</v>
      </c>
      <c r="R52" s="175">
        <f t="array" ref="R52">IF(AND($N52&lt;&gt;"",R$8&lt;&gt;""),COUNTIFS($K$9:$K$59,$N52,$L$9:$L$59,R$8),0)</f>
        <v>0</v>
      </c>
      <c r="S52" s="175">
        <f t="array" ref="S52">IF(AND($N52&lt;&gt;"",S$8&lt;&gt;""),COUNTIFS($K$9:$K$59,$N52,$L$9:$L$59,S$8),0)</f>
        <v>0</v>
      </c>
      <c r="T52" s="175">
        <f t="array" ref="T52">IF(AND($N52&lt;&gt;"",T$8&lt;&gt;""),COUNTIFS($K$9:$K$59,$N52,$L$9:$L$59,T$8),0)</f>
        <v>0</v>
      </c>
      <c r="U52" s="175">
        <f t="array" ref="U52">IF(AND($N52&lt;&gt;"",U$8&lt;&gt;""),COUNTIFS($K$9:$K$59,$N52,$L$9:$L$59,U$8),0)</f>
        <v>0</v>
      </c>
      <c r="V52" s="175">
        <f t="array" ref="V52">IF(AND($N52&lt;&gt;"",V$8&lt;&gt;""),COUNTIFS($K$9:$K$59,$N52,$L$9:$L$59,V$8),0)</f>
        <v>0</v>
      </c>
      <c r="W52" s="175">
        <f t="array" ref="W52">IF(AND($N52&lt;&gt;"",W$8&lt;&gt;""),COUNTIFS($K$9:$K$59,$N52,$L$9:$L$59,W$8),0)</f>
        <v>0</v>
      </c>
      <c r="X52" s="175">
        <f t="array" ref="X52">IF(AND($N52&lt;&gt;"",X$8&lt;&gt;""),COUNTIFS($K$9:$K$59,$N52,$L$9:$L$59,X$8),0)</f>
        <v>0</v>
      </c>
      <c r="Y52" s="175">
        <f t="array" ref="Y52">IF(AND($N52&lt;&gt;"",Y$8&lt;&gt;""),COUNTIFS($K$9:$K$59,$N52,$L$9:$L$59,Y$8),0)</f>
        <v>0</v>
      </c>
      <c r="Z52" s="175">
        <f t="array" ref="Z52">IF(AND($N52&lt;&gt;"",Z$8&lt;&gt;""),COUNTIFS($K$9:$K$59,$N52,$L$9:$L$59,Z$8),0)</f>
        <v>0</v>
      </c>
      <c r="AA52" s="175">
        <f t="array" ref="AA52">IF(AND($N52&lt;&gt;"",AA$8&lt;&gt;""),COUNTIFS($K$9:$K$59,$N52,$L$9:$L$59,AA$8),0)</f>
        <v>0</v>
      </c>
      <c r="AB52" s="175">
        <f t="array" ref="AB52">IF(AND($N52&lt;&gt;"",AB$8&lt;&gt;""),COUNTIFS($K$9:$K$59,$N52,$L$9:$L$59,AB$8),0)</f>
        <v>0</v>
      </c>
      <c r="AC52" s="175">
        <f t="array" ref="AC52">IF(AND($N52&lt;&gt;"",AC$8&lt;&gt;""),COUNTIFS($K$9:$K$59,$N52,$L$9:$L$59,AC$8),0)</f>
        <v>0</v>
      </c>
      <c r="AD52" s="175">
        <f t="array" ref="AD52">IF(AND($N52&lt;&gt;"",AD$8&lt;&gt;""),COUNTIFS($K$9:$K$59,$N52,$L$9:$L$59,AD$8),0)</f>
        <v>0</v>
      </c>
      <c r="AE52" s="175">
        <f t="array" ref="AE52">IF(AND($N52&lt;&gt;"",AE$8&lt;&gt;""),COUNTIFS($K$9:$K$59,$N52,$L$9:$L$59,AE$8),0)</f>
        <v>0</v>
      </c>
      <c r="AF52" s="175">
        <f t="array" ref="AF52">IF(AND($N52&lt;&gt;"",AF$8&lt;&gt;""),COUNTIFS($K$9:$K$59,$N52,$L$9:$L$59,AF$8),0)</f>
        <v>0</v>
      </c>
      <c r="AG52" s="175">
        <f t="array" ref="AG52">IF(AND($N52&lt;&gt;"",AG$8&lt;&gt;""),COUNTIFS($K$9:$K$59,$N52,$L$9:$L$59,AG$8),0)</f>
        <v>0</v>
      </c>
      <c r="AH52" s="175">
        <f t="array" ref="AH52">IF(AND($N52&lt;&gt;"",AH$8&lt;&gt;""),COUNTIFS($K$9:$K$59,$N52,$L$9:$L$59,AH$8),0)</f>
        <v>0</v>
      </c>
      <c r="AI52" s="175">
        <f t="array" ref="AI52">IF(AND($N52&lt;&gt;"",AI$8&lt;&gt;""),COUNTIFS($K$9:$K$59,$N52,$L$9:$L$59,AI$8),0)</f>
        <v>0</v>
      </c>
      <c r="AJ52" s="175">
        <f t="array" ref="AJ52">IF(AND($N52&lt;&gt;"",AJ$8&lt;&gt;""),COUNTIFS($K$9:$K$59,$N52,$L$9:$L$59,AJ$8),0)</f>
        <v>0</v>
      </c>
      <c r="AK52" s="175">
        <f t="array" ref="AK52">IF(AND($N52&lt;&gt;"",AK$8&lt;&gt;""),COUNTIFS($K$9:$K$59,$N52,$L$9:$L$59,AK$8),0)</f>
        <v>0</v>
      </c>
      <c r="AL52" s="175">
        <f t="array" ref="AL52">IF(AND($N52&lt;&gt;"",AL$8&lt;&gt;""),COUNTIFS($K$9:$K$59,$N52,$L$9:$L$59,AL$8),0)</f>
        <v>0</v>
      </c>
      <c r="AM52" s="175">
        <f t="array" ref="AM52">IF(AND($N52&lt;&gt;"",AM$8&lt;&gt;""),COUNTIFS($K$9:$K$59,$N52,$L$9:$L$59,AM$8),0)</f>
        <v>0</v>
      </c>
      <c r="AN52" s="175">
        <f t="array" ref="AN52">IF(AND($N52&lt;&gt;"",AN$8&lt;&gt;""),COUNTIFS($K$9:$K$59,$N52,$L$9:$L$59,AN$8),0)</f>
        <v>0</v>
      </c>
      <c r="AO52" s="175">
        <f t="array" ref="AO52">IF(AND($N52&lt;&gt;"",AO$8&lt;&gt;""),COUNTIFS($K$9:$K$59,$N52,$L$9:$L$59,AO$8),0)</f>
        <v>0</v>
      </c>
      <c r="AP52" s="175">
        <f t="array" ref="AP52">IF(AND($N52&lt;&gt;"",AP$8&lt;&gt;""),COUNTIFS($K$9:$K$59,$N52,$L$9:$L$59,AP$8),0)</f>
        <v>0</v>
      </c>
      <c r="AQ52" s="175">
        <f t="array" ref="AQ52">IF(AND($N52&lt;&gt;"",AQ$8&lt;&gt;""),COUNTIFS($K$9:$K$59,$N52,$L$9:$L$59,AQ$8),0)</f>
        <v>0</v>
      </c>
      <c r="AR52" s="175">
        <f t="array" ref="AR52">IF(AND($N52&lt;&gt;"",AR$8&lt;&gt;""),COUNTIFS($K$9:$K$59,$N52,$L$9:$L$59,AR$8),0)</f>
        <v>0</v>
      </c>
      <c r="AS52" s="175">
        <f t="array" ref="AS52">IF(AND($N52&lt;&gt;"",AS$8&lt;&gt;""),COUNTIFS($K$9:$K$59,$N52,$L$9:$L$59,AS$8),0)</f>
        <v>0</v>
      </c>
      <c r="AT52" s="175">
        <f t="array" ref="AT52">IF(AND($N52&lt;&gt;"",AT$8&lt;&gt;""),COUNTIFS($K$9:$K$59,$N52,$L$9:$L$59,AT$8),0)</f>
        <v>0</v>
      </c>
      <c r="AU52" s="175">
        <f t="array" ref="AU52">IF(AND($N52&lt;&gt;"",AU$8&lt;&gt;""),COUNTIFS($K$9:$K$59,$N52,$L$9:$L$59,AU$8),0)</f>
        <v>0</v>
      </c>
      <c r="AV52" s="175">
        <f t="array" ref="AV52">IF(AND($N52&lt;&gt;"",AV$8&lt;&gt;""),COUNTIFS($K$9:$K$59,$N52,$L$9:$L$59,AV$8),0)</f>
        <v>0</v>
      </c>
      <c r="AW52" s="175">
        <f t="array" ref="AW52">IF(AND($N52&lt;&gt;"",AW$8&lt;&gt;""),COUNTIFS($K$9:$K$59,$N52,$L$9:$L$59,AW$8),0)</f>
        <v>0</v>
      </c>
      <c r="AX52" s="175">
        <f t="array" ref="AX52">IF(AND($N52&lt;&gt;"",AX$8&lt;&gt;""),COUNTIFS($K$9:$K$59,$N52,$L$9:$L$59,AX$8),0)</f>
        <v>0</v>
      </c>
      <c r="AY52" s="175">
        <f t="array" ref="AY52">IF(AND($N52&lt;&gt;"",AY$8&lt;&gt;""),COUNTIFS($K$9:$K$59,$N52,$L$9:$L$59,AY$8),0)</f>
        <v>0</v>
      </c>
      <c r="AZ52" s="175">
        <f t="array" ref="AZ52">IF(AND($N52&lt;&gt;"",AZ$8&lt;&gt;""),COUNTIFS($K$9:$K$59,$N52,$L$9:$L$59,AZ$8),0)</f>
        <v>0</v>
      </c>
      <c r="BA52" s="175">
        <f t="array" ref="BA52">IF(AND($N52&lt;&gt;"",BA$8&lt;&gt;""),COUNTIFS($K$9:$K$59,$N52,$L$9:$L$59,BA$8),0)</f>
        <v>0</v>
      </c>
      <c r="BB52" s="175">
        <f t="array" ref="BB52">IF(AND($N52&lt;&gt;"",BB$8&lt;&gt;""),COUNTIFS($K$9:$K$59,$N52,$L$9:$L$59,BB$8),0)</f>
        <v>0</v>
      </c>
      <c r="BC52" s="175">
        <f t="array" ref="BC52">IF(AND($N52&lt;&gt;"",BC$8&lt;&gt;""),COUNTIFS($K$9:$K$59,$N52,$L$9:$L$59,BC$8),0)</f>
        <v>0</v>
      </c>
      <c r="BD52" s="175">
        <f t="array" ref="BD52">IF(AND($N52&lt;&gt;"",BD$8&lt;&gt;""),COUNTIFS($K$9:$K$59,$N52,$L$9:$L$59,BD$8),0)</f>
        <v>0</v>
      </c>
      <c r="BE52" s="175">
        <f t="array" ref="BE52">IF(AND($N52&lt;&gt;"",BE$8&lt;&gt;""),COUNTIFS($K$9:$K$59,$N52,$L$9:$L$59,BE$8),0)</f>
        <v>0</v>
      </c>
      <c r="BF52" s="175">
        <f t="array" ref="BF52">IF(AND($N52&lt;&gt;"",BF$8&lt;&gt;""),COUNTIFS($K$9:$K$59,$N52,$L$9:$L$59,BF$8),0)</f>
        <v>0</v>
      </c>
      <c r="BG52" s="175">
        <f t="array" ref="BG52">IF(AND($N52&lt;&gt;"",BG$8&lt;&gt;""),COUNTIFS($K$9:$K$59,$N52,$L$9:$L$59,BG$8),0)</f>
        <v>0</v>
      </c>
      <c r="BH52" s="175">
        <f t="array" ref="BH52">IF(AND($N52&lt;&gt;"",BH$8&lt;&gt;""),COUNTIFS($K$9:$K$59,$N52,$L$9:$L$59,BH$8),0)</f>
        <v>0</v>
      </c>
      <c r="BI52" s="175">
        <f t="array" ref="BI52">IF(AND($N52&lt;&gt;"",BI$8&lt;&gt;""),COUNTIFS($K$9:$K$59,$N52,$L$9:$L$59,BI$8),0)</f>
        <v>0</v>
      </c>
      <c r="BJ52" s="175">
        <f t="array" ref="BJ52">IF(AND($N52&lt;&gt;"",BJ$8&lt;&gt;""),COUNTIFS($K$9:$K$59,$N52,$L$9:$L$59,BJ$8),0)</f>
        <v>0</v>
      </c>
      <c r="BK52" s="175">
        <f t="array" ref="BK52">IF(AND($N52&lt;&gt;"",BK$8&lt;&gt;""),COUNTIFS($K$9:$K$59,$N52,$L$9:$L$59,BK$8),0)</f>
        <v>0</v>
      </c>
      <c r="BL52" s="175">
        <f t="array" ref="BL52">IF(AND($N52&lt;&gt;"",BL$8&lt;&gt;""),COUNTIFS($K$9:$K$59,$N52,$L$9:$L$59,BL$8),0)</f>
        <v>0</v>
      </c>
    </row>
    <row r="53" spans="2:64" s="22" customFormat="1" x14ac:dyDescent="0.2">
      <c r="B53" s="119" t="s">
        <v>138</v>
      </c>
      <c r="C53" s="260"/>
      <c r="D53" s="118"/>
      <c r="E53" s="15"/>
      <c r="F53" s="15"/>
      <c r="G53" s="15"/>
      <c r="H53" s="15" t="s">
        <v>287</v>
      </c>
      <c r="I53" s="116" t="str">
        <f t="shared" si="1"/>
        <v>-</v>
      </c>
      <c r="J53" s="120"/>
      <c r="K53" s="195" t="str">
        <f t="shared" si="2"/>
        <v/>
      </c>
      <c r="L53" s="188" t="str">
        <f t="shared" si="3"/>
        <v/>
      </c>
      <c r="N53" s="185" t="str">
        <f t="array" ref="N53">IFERROR(INDEX($K$9:$K$59,MATCH(0,COUNTIF($N$8:$N52,$K$9:$K$59),0)),"")</f>
        <v/>
      </c>
      <c r="O53" s="175">
        <f t="array" ref="O53">IF(AND($N53&lt;&gt;"",O$8&lt;&gt;""),COUNTIFS($K$9:$K$59,$N53,$L$9:$L$59,O$8),0)</f>
        <v>0</v>
      </c>
      <c r="P53" s="175">
        <f t="array" ref="P53">IF(AND($N53&lt;&gt;"",P$8&lt;&gt;""),COUNTIFS($K$9:$K$59,$N53,$L$9:$L$59,P$8),0)</f>
        <v>0</v>
      </c>
      <c r="Q53" s="175">
        <f t="array" ref="Q53">IF(AND($N53&lt;&gt;"",Q$8&lt;&gt;""),COUNTIFS($K$9:$K$59,$N53,$L$9:$L$59,Q$8),0)</f>
        <v>0</v>
      </c>
      <c r="R53" s="175">
        <f t="array" ref="R53">IF(AND($N53&lt;&gt;"",R$8&lt;&gt;""),COUNTIFS($K$9:$K$59,$N53,$L$9:$L$59,R$8),0)</f>
        <v>0</v>
      </c>
      <c r="S53" s="175">
        <f t="array" ref="S53">IF(AND($N53&lt;&gt;"",S$8&lt;&gt;""),COUNTIFS($K$9:$K$59,$N53,$L$9:$L$59,S$8),0)</f>
        <v>0</v>
      </c>
      <c r="T53" s="175">
        <f t="array" ref="T53">IF(AND($N53&lt;&gt;"",T$8&lt;&gt;""),COUNTIFS($K$9:$K$59,$N53,$L$9:$L$59,T$8),0)</f>
        <v>0</v>
      </c>
      <c r="U53" s="175">
        <f t="array" ref="U53">IF(AND($N53&lt;&gt;"",U$8&lt;&gt;""),COUNTIFS($K$9:$K$59,$N53,$L$9:$L$59,U$8),0)</f>
        <v>0</v>
      </c>
      <c r="V53" s="175">
        <f t="array" ref="V53">IF(AND($N53&lt;&gt;"",V$8&lt;&gt;""),COUNTIFS($K$9:$K$59,$N53,$L$9:$L$59,V$8),0)</f>
        <v>0</v>
      </c>
      <c r="W53" s="175">
        <f t="array" ref="W53">IF(AND($N53&lt;&gt;"",W$8&lt;&gt;""),COUNTIFS($K$9:$K$59,$N53,$L$9:$L$59,W$8),0)</f>
        <v>0</v>
      </c>
      <c r="X53" s="175">
        <f t="array" ref="X53">IF(AND($N53&lt;&gt;"",X$8&lt;&gt;""),COUNTIFS($K$9:$K$59,$N53,$L$9:$L$59,X$8),0)</f>
        <v>0</v>
      </c>
      <c r="Y53" s="175">
        <f t="array" ref="Y53">IF(AND($N53&lt;&gt;"",Y$8&lt;&gt;""),COUNTIFS($K$9:$K$59,$N53,$L$9:$L$59,Y$8),0)</f>
        <v>0</v>
      </c>
      <c r="Z53" s="175">
        <f t="array" ref="Z53">IF(AND($N53&lt;&gt;"",Z$8&lt;&gt;""),COUNTIFS($K$9:$K$59,$N53,$L$9:$L$59,Z$8),0)</f>
        <v>0</v>
      </c>
      <c r="AA53" s="175">
        <f t="array" ref="AA53">IF(AND($N53&lt;&gt;"",AA$8&lt;&gt;""),COUNTIFS($K$9:$K$59,$N53,$L$9:$L$59,AA$8),0)</f>
        <v>0</v>
      </c>
      <c r="AB53" s="175">
        <f t="array" ref="AB53">IF(AND($N53&lt;&gt;"",AB$8&lt;&gt;""),COUNTIFS($K$9:$K$59,$N53,$L$9:$L$59,AB$8),0)</f>
        <v>0</v>
      </c>
      <c r="AC53" s="175">
        <f t="array" ref="AC53">IF(AND($N53&lt;&gt;"",AC$8&lt;&gt;""),COUNTIFS($K$9:$K$59,$N53,$L$9:$L$59,AC$8),0)</f>
        <v>0</v>
      </c>
      <c r="AD53" s="175">
        <f t="array" ref="AD53">IF(AND($N53&lt;&gt;"",AD$8&lt;&gt;""),COUNTIFS($K$9:$K$59,$N53,$L$9:$L$59,AD$8),0)</f>
        <v>0</v>
      </c>
      <c r="AE53" s="175">
        <f t="array" ref="AE53">IF(AND($N53&lt;&gt;"",AE$8&lt;&gt;""),COUNTIFS($K$9:$K$59,$N53,$L$9:$L$59,AE$8),0)</f>
        <v>0</v>
      </c>
      <c r="AF53" s="175">
        <f t="array" ref="AF53">IF(AND($N53&lt;&gt;"",AF$8&lt;&gt;""),COUNTIFS($K$9:$K$59,$N53,$L$9:$L$59,AF$8),0)</f>
        <v>0</v>
      </c>
      <c r="AG53" s="175">
        <f t="array" ref="AG53">IF(AND($N53&lt;&gt;"",AG$8&lt;&gt;""),COUNTIFS($K$9:$K$59,$N53,$L$9:$L$59,AG$8),0)</f>
        <v>0</v>
      </c>
      <c r="AH53" s="175">
        <f t="array" ref="AH53">IF(AND($N53&lt;&gt;"",AH$8&lt;&gt;""),COUNTIFS($K$9:$K$59,$N53,$L$9:$L$59,AH$8),0)</f>
        <v>0</v>
      </c>
      <c r="AI53" s="175">
        <f t="array" ref="AI53">IF(AND($N53&lt;&gt;"",AI$8&lt;&gt;""),COUNTIFS($K$9:$K$59,$N53,$L$9:$L$59,AI$8),0)</f>
        <v>0</v>
      </c>
      <c r="AJ53" s="175">
        <f t="array" ref="AJ53">IF(AND($N53&lt;&gt;"",AJ$8&lt;&gt;""),COUNTIFS($K$9:$K$59,$N53,$L$9:$L$59,AJ$8),0)</f>
        <v>0</v>
      </c>
      <c r="AK53" s="175">
        <f t="array" ref="AK53">IF(AND($N53&lt;&gt;"",AK$8&lt;&gt;""),COUNTIFS($K$9:$K$59,$N53,$L$9:$L$59,AK$8),0)</f>
        <v>0</v>
      </c>
      <c r="AL53" s="175">
        <f t="array" ref="AL53">IF(AND($N53&lt;&gt;"",AL$8&lt;&gt;""),COUNTIFS($K$9:$K$59,$N53,$L$9:$L$59,AL$8),0)</f>
        <v>0</v>
      </c>
      <c r="AM53" s="175">
        <f t="array" ref="AM53">IF(AND($N53&lt;&gt;"",AM$8&lt;&gt;""),COUNTIFS($K$9:$K$59,$N53,$L$9:$L$59,AM$8),0)</f>
        <v>0</v>
      </c>
      <c r="AN53" s="175">
        <f t="array" ref="AN53">IF(AND($N53&lt;&gt;"",AN$8&lt;&gt;""),COUNTIFS($K$9:$K$59,$N53,$L$9:$L$59,AN$8),0)</f>
        <v>0</v>
      </c>
      <c r="AO53" s="175">
        <f t="array" ref="AO53">IF(AND($N53&lt;&gt;"",AO$8&lt;&gt;""),COUNTIFS($K$9:$K$59,$N53,$L$9:$L$59,AO$8),0)</f>
        <v>0</v>
      </c>
      <c r="AP53" s="175">
        <f t="array" ref="AP53">IF(AND($N53&lt;&gt;"",AP$8&lt;&gt;""),COUNTIFS($K$9:$K$59,$N53,$L$9:$L$59,AP$8),0)</f>
        <v>0</v>
      </c>
      <c r="AQ53" s="175">
        <f t="array" ref="AQ53">IF(AND($N53&lt;&gt;"",AQ$8&lt;&gt;""),COUNTIFS($K$9:$K$59,$N53,$L$9:$L$59,AQ$8),0)</f>
        <v>0</v>
      </c>
      <c r="AR53" s="175">
        <f t="array" ref="AR53">IF(AND($N53&lt;&gt;"",AR$8&lt;&gt;""),COUNTIFS($K$9:$K$59,$N53,$L$9:$L$59,AR$8),0)</f>
        <v>0</v>
      </c>
      <c r="AS53" s="175">
        <f t="array" ref="AS53">IF(AND($N53&lt;&gt;"",AS$8&lt;&gt;""),COUNTIFS($K$9:$K$59,$N53,$L$9:$L$59,AS$8),0)</f>
        <v>0</v>
      </c>
      <c r="AT53" s="175">
        <f t="array" ref="AT53">IF(AND($N53&lt;&gt;"",AT$8&lt;&gt;""),COUNTIFS($K$9:$K$59,$N53,$L$9:$L$59,AT$8),0)</f>
        <v>0</v>
      </c>
      <c r="AU53" s="175">
        <f t="array" ref="AU53">IF(AND($N53&lt;&gt;"",AU$8&lt;&gt;""),COUNTIFS($K$9:$K$59,$N53,$L$9:$L$59,AU$8),0)</f>
        <v>0</v>
      </c>
      <c r="AV53" s="175">
        <f t="array" ref="AV53">IF(AND($N53&lt;&gt;"",AV$8&lt;&gt;""),COUNTIFS($K$9:$K$59,$N53,$L$9:$L$59,AV$8),0)</f>
        <v>0</v>
      </c>
      <c r="AW53" s="175">
        <f t="array" ref="AW53">IF(AND($N53&lt;&gt;"",AW$8&lt;&gt;""),COUNTIFS($K$9:$K$59,$N53,$L$9:$L$59,AW$8),0)</f>
        <v>0</v>
      </c>
      <c r="AX53" s="175">
        <f t="array" ref="AX53">IF(AND($N53&lt;&gt;"",AX$8&lt;&gt;""),COUNTIFS($K$9:$K$59,$N53,$L$9:$L$59,AX$8),0)</f>
        <v>0</v>
      </c>
      <c r="AY53" s="175">
        <f t="array" ref="AY53">IF(AND($N53&lt;&gt;"",AY$8&lt;&gt;""),COUNTIFS($K$9:$K$59,$N53,$L$9:$L$59,AY$8),0)</f>
        <v>0</v>
      </c>
      <c r="AZ53" s="175">
        <f t="array" ref="AZ53">IF(AND($N53&lt;&gt;"",AZ$8&lt;&gt;""),COUNTIFS($K$9:$K$59,$N53,$L$9:$L$59,AZ$8),0)</f>
        <v>0</v>
      </c>
      <c r="BA53" s="175">
        <f t="array" ref="BA53">IF(AND($N53&lt;&gt;"",BA$8&lt;&gt;""),COUNTIFS($K$9:$K$59,$N53,$L$9:$L$59,BA$8),0)</f>
        <v>0</v>
      </c>
      <c r="BB53" s="175">
        <f t="array" ref="BB53">IF(AND($N53&lt;&gt;"",BB$8&lt;&gt;""),COUNTIFS($K$9:$K$59,$N53,$L$9:$L$59,BB$8),0)</f>
        <v>0</v>
      </c>
      <c r="BC53" s="175">
        <f t="array" ref="BC53">IF(AND($N53&lt;&gt;"",BC$8&lt;&gt;""),COUNTIFS($K$9:$K$59,$N53,$L$9:$L$59,BC$8),0)</f>
        <v>0</v>
      </c>
      <c r="BD53" s="175">
        <f t="array" ref="BD53">IF(AND($N53&lt;&gt;"",BD$8&lt;&gt;""),COUNTIFS($K$9:$K$59,$N53,$L$9:$L$59,BD$8),0)</f>
        <v>0</v>
      </c>
      <c r="BE53" s="175">
        <f t="array" ref="BE53">IF(AND($N53&lt;&gt;"",BE$8&lt;&gt;""),COUNTIFS($K$9:$K$59,$N53,$L$9:$L$59,BE$8),0)</f>
        <v>0</v>
      </c>
      <c r="BF53" s="175">
        <f t="array" ref="BF53">IF(AND($N53&lt;&gt;"",BF$8&lt;&gt;""),COUNTIFS($K$9:$K$59,$N53,$L$9:$L$59,BF$8),0)</f>
        <v>0</v>
      </c>
      <c r="BG53" s="175">
        <f t="array" ref="BG53">IF(AND($N53&lt;&gt;"",BG$8&lt;&gt;""),COUNTIFS($K$9:$K$59,$N53,$L$9:$L$59,BG$8),0)</f>
        <v>0</v>
      </c>
      <c r="BH53" s="175">
        <f t="array" ref="BH53">IF(AND($N53&lt;&gt;"",BH$8&lt;&gt;""),COUNTIFS($K$9:$K$59,$N53,$L$9:$L$59,BH$8),0)</f>
        <v>0</v>
      </c>
      <c r="BI53" s="175">
        <f t="array" ref="BI53">IF(AND($N53&lt;&gt;"",BI$8&lt;&gt;""),COUNTIFS($K$9:$K$59,$N53,$L$9:$L$59,BI$8),0)</f>
        <v>0</v>
      </c>
      <c r="BJ53" s="175">
        <f t="array" ref="BJ53">IF(AND($N53&lt;&gt;"",BJ$8&lt;&gt;""),COUNTIFS($K$9:$K$59,$N53,$L$9:$L$59,BJ$8),0)</f>
        <v>0</v>
      </c>
      <c r="BK53" s="175">
        <f t="array" ref="BK53">IF(AND($N53&lt;&gt;"",BK$8&lt;&gt;""),COUNTIFS($K$9:$K$59,$N53,$L$9:$L$59,BK$8),0)</f>
        <v>0</v>
      </c>
      <c r="BL53" s="175">
        <f t="array" ref="BL53">IF(AND($N53&lt;&gt;"",BL$8&lt;&gt;""),COUNTIFS($K$9:$K$59,$N53,$L$9:$L$59,BL$8),0)</f>
        <v>0</v>
      </c>
    </row>
    <row r="54" spans="2:64" s="22" customFormat="1" x14ac:dyDescent="0.2">
      <c r="B54" s="119" t="s">
        <v>139</v>
      </c>
      <c r="C54" s="260"/>
      <c r="D54" s="118"/>
      <c r="E54" s="15"/>
      <c r="F54" s="15"/>
      <c r="G54" s="15"/>
      <c r="H54" s="15" t="s">
        <v>287</v>
      </c>
      <c r="I54" s="116" t="str">
        <f t="shared" si="1"/>
        <v>-</v>
      </c>
      <c r="J54" s="120"/>
      <c r="K54" s="195" t="str">
        <f t="shared" si="2"/>
        <v/>
      </c>
      <c r="L54" s="188" t="str">
        <f t="shared" si="3"/>
        <v/>
      </c>
      <c r="N54" s="185" t="str">
        <f t="array" ref="N54">IFERROR(INDEX($K$9:$K$59,MATCH(0,COUNTIF($N$8:$N53,$K$9:$K$59),0)),"")</f>
        <v/>
      </c>
      <c r="O54" s="175">
        <f t="array" ref="O54">IF(AND($N54&lt;&gt;"",O$8&lt;&gt;""),COUNTIFS($K$9:$K$59,$N54,$L$9:$L$59,O$8),0)</f>
        <v>0</v>
      </c>
      <c r="P54" s="175">
        <f t="array" ref="P54">IF(AND($N54&lt;&gt;"",P$8&lt;&gt;""),COUNTIFS($K$9:$K$59,$N54,$L$9:$L$59,P$8),0)</f>
        <v>0</v>
      </c>
      <c r="Q54" s="175">
        <f t="array" ref="Q54">IF(AND($N54&lt;&gt;"",Q$8&lt;&gt;""),COUNTIFS($K$9:$K$59,$N54,$L$9:$L$59,Q$8),0)</f>
        <v>0</v>
      </c>
      <c r="R54" s="175">
        <f t="array" ref="R54">IF(AND($N54&lt;&gt;"",R$8&lt;&gt;""),COUNTIFS($K$9:$K$59,$N54,$L$9:$L$59,R$8),0)</f>
        <v>0</v>
      </c>
      <c r="S54" s="175">
        <f t="array" ref="S54">IF(AND($N54&lt;&gt;"",S$8&lt;&gt;""),COUNTIFS($K$9:$K$59,$N54,$L$9:$L$59,S$8),0)</f>
        <v>0</v>
      </c>
      <c r="T54" s="175">
        <f t="array" ref="T54">IF(AND($N54&lt;&gt;"",T$8&lt;&gt;""),COUNTIFS($K$9:$K$59,$N54,$L$9:$L$59,T$8),0)</f>
        <v>0</v>
      </c>
      <c r="U54" s="175">
        <f t="array" ref="U54">IF(AND($N54&lt;&gt;"",U$8&lt;&gt;""),COUNTIFS($K$9:$K$59,$N54,$L$9:$L$59,U$8),0)</f>
        <v>0</v>
      </c>
      <c r="V54" s="175">
        <f t="array" ref="V54">IF(AND($N54&lt;&gt;"",V$8&lt;&gt;""),COUNTIFS($K$9:$K$59,$N54,$L$9:$L$59,V$8),0)</f>
        <v>0</v>
      </c>
      <c r="W54" s="175">
        <f t="array" ref="W54">IF(AND($N54&lt;&gt;"",W$8&lt;&gt;""),COUNTIFS($K$9:$K$59,$N54,$L$9:$L$59,W$8),0)</f>
        <v>0</v>
      </c>
      <c r="X54" s="175">
        <f t="array" ref="X54">IF(AND($N54&lt;&gt;"",X$8&lt;&gt;""),COUNTIFS($K$9:$K$59,$N54,$L$9:$L$59,X$8),0)</f>
        <v>0</v>
      </c>
      <c r="Y54" s="175">
        <f t="array" ref="Y54">IF(AND($N54&lt;&gt;"",Y$8&lt;&gt;""),COUNTIFS($K$9:$K$59,$N54,$L$9:$L$59,Y$8),0)</f>
        <v>0</v>
      </c>
      <c r="Z54" s="175">
        <f t="array" ref="Z54">IF(AND($N54&lt;&gt;"",Z$8&lt;&gt;""),COUNTIFS($K$9:$K$59,$N54,$L$9:$L$59,Z$8),0)</f>
        <v>0</v>
      </c>
      <c r="AA54" s="175">
        <f t="array" ref="AA54">IF(AND($N54&lt;&gt;"",AA$8&lt;&gt;""),COUNTIFS($K$9:$K$59,$N54,$L$9:$L$59,AA$8),0)</f>
        <v>0</v>
      </c>
      <c r="AB54" s="175">
        <f t="array" ref="AB54">IF(AND($N54&lt;&gt;"",AB$8&lt;&gt;""),COUNTIFS($K$9:$K$59,$N54,$L$9:$L$59,AB$8),0)</f>
        <v>0</v>
      </c>
      <c r="AC54" s="175">
        <f t="array" ref="AC54">IF(AND($N54&lt;&gt;"",AC$8&lt;&gt;""),COUNTIFS($K$9:$K$59,$N54,$L$9:$L$59,AC$8),0)</f>
        <v>0</v>
      </c>
      <c r="AD54" s="175">
        <f t="array" ref="AD54">IF(AND($N54&lt;&gt;"",AD$8&lt;&gt;""),COUNTIFS($K$9:$K$59,$N54,$L$9:$L$59,AD$8),0)</f>
        <v>0</v>
      </c>
      <c r="AE54" s="175">
        <f t="array" ref="AE54">IF(AND($N54&lt;&gt;"",AE$8&lt;&gt;""),COUNTIFS($K$9:$K$59,$N54,$L$9:$L$59,AE$8),0)</f>
        <v>0</v>
      </c>
      <c r="AF54" s="175">
        <f t="array" ref="AF54">IF(AND($N54&lt;&gt;"",AF$8&lt;&gt;""),COUNTIFS($K$9:$K$59,$N54,$L$9:$L$59,AF$8),0)</f>
        <v>0</v>
      </c>
      <c r="AG54" s="175">
        <f t="array" ref="AG54">IF(AND($N54&lt;&gt;"",AG$8&lt;&gt;""),COUNTIFS($K$9:$K$59,$N54,$L$9:$L$59,AG$8),0)</f>
        <v>0</v>
      </c>
      <c r="AH54" s="175">
        <f t="array" ref="AH54">IF(AND($N54&lt;&gt;"",AH$8&lt;&gt;""),COUNTIFS($K$9:$K$59,$N54,$L$9:$L$59,AH$8),0)</f>
        <v>0</v>
      </c>
      <c r="AI54" s="175">
        <f t="array" ref="AI54">IF(AND($N54&lt;&gt;"",AI$8&lt;&gt;""),COUNTIFS($K$9:$K$59,$N54,$L$9:$L$59,AI$8),0)</f>
        <v>0</v>
      </c>
      <c r="AJ54" s="175">
        <f t="array" ref="AJ54">IF(AND($N54&lt;&gt;"",AJ$8&lt;&gt;""),COUNTIFS($K$9:$K$59,$N54,$L$9:$L$59,AJ$8),0)</f>
        <v>0</v>
      </c>
      <c r="AK54" s="175">
        <f t="array" ref="AK54">IF(AND($N54&lt;&gt;"",AK$8&lt;&gt;""),COUNTIFS($K$9:$K$59,$N54,$L$9:$L$59,AK$8),0)</f>
        <v>0</v>
      </c>
      <c r="AL54" s="175">
        <f t="array" ref="AL54">IF(AND($N54&lt;&gt;"",AL$8&lt;&gt;""),COUNTIFS($K$9:$K$59,$N54,$L$9:$L$59,AL$8),0)</f>
        <v>0</v>
      </c>
      <c r="AM54" s="175">
        <f t="array" ref="AM54">IF(AND($N54&lt;&gt;"",AM$8&lt;&gt;""),COUNTIFS($K$9:$K$59,$N54,$L$9:$L$59,AM$8),0)</f>
        <v>0</v>
      </c>
      <c r="AN54" s="175">
        <f t="array" ref="AN54">IF(AND($N54&lt;&gt;"",AN$8&lt;&gt;""),COUNTIFS($K$9:$K$59,$N54,$L$9:$L$59,AN$8),0)</f>
        <v>0</v>
      </c>
      <c r="AO54" s="175">
        <f t="array" ref="AO54">IF(AND($N54&lt;&gt;"",AO$8&lt;&gt;""),COUNTIFS($K$9:$K$59,$N54,$L$9:$L$59,AO$8),0)</f>
        <v>0</v>
      </c>
      <c r="AP54" s="175">
        <f t="array" ref="AP54">IF(AND($N54&lt;&gt;"",AP$8&lt;&gt;""),COUNTIFS($K$9:$K$59,$N54,$L$9:$L$59,AP$8),0)</f>
        <v>0</v>
      </c>
      <c r="AQ54" s="175">
        <f t="array" ref="AQ54">IF(AND($N54&lt;&gt;"",AQ$8&lt;&gt;""),COUNTIFS($K$9:$K$59,$N54,$L$9:$L$59,AQ$8),0)</f>
        <v>0</v>
      </c>
      <c r="AR54" s="175">
        <f t="array" ref="AR54">IF(AND($N54&lt;&gt;"",AR$8&lt;&gt;""),COUNTIFS($K$9:$K$59,$N54,$L$9:$L$59,AR$8),0)</f>
        <v>0</v>
      </c>
      <c r="AS54" s="175">
        <f t="array" ref="AS54">IF(AND($N54&lt;&gt;"",AS$8&lt;&gt;""),COUNTIFS($K$9:$K$59,$N54,$L$9:$L$59,AS$8),0)</f>
        <v>0</v>
      </c>
      <c r="AT54" s="175">
        <f t="array" ref="AT54">IF(AND($N54&lt;&gt;"",AT$8&lt;&gt;""),COUNTIFS($K$9:$K$59,$N54,$L$9:$L$59,AT$8),0)</f>
        <v>0</v>
      </c>
      <c r="AU54" s="175">
        <f t="array" ref="AU54">IF(AND($N54&lt;&gt;"",AU$8&lt;&gt;""),COUNTIFS($K$9:$K$59,$N54,$L$9:$L$59,AU$8),0)</f>
        <v>0</v>
      </c>
      <c r="AV54" s="175">
        <f t="array" ref="AV54">IF(AND($N54&lt;&gt;"",AV$8&lt;&gt;""),COUNTIFS($K$9:$K$59,$N54,$L$9:$L$59,AV$8),0)</f>
        <v>0</v>
      </c>
      <c r="AW54" s="175">
        <f t="array" ref="AW54">IF(AND($N54&lt;&gt;"",AW$8&lt;&gt;""),COUNTIFS($K$9:$K$59,$N54,$L$9:$L$59,AW$8),0)</f>
        <v>0</v>
      </c>
      <c r="AX54" s="175">
        <f t="array" ref="AX54">IF(AND($N54&lt;&gt;"",AX$8&lt;&gt;""),COUNTIFS($K$9:$K$59,$N54,$L$9:$L$59,AX$8),0)</f>
        <v>0</v>
      </c>
      <c r="AY54" s="175">
        <f t="array" ref="AY54">IF(AND($N54&lt;&gt;"",AY$8&lt;&gt;""),COUNTIFS($K$9:$K$59,$N54,$L$9:$L$59,AY$8),0)</f>
        <v>0</v>
      </c>
      <c r="AZ54" s="175">
        <f t="array" ref="AZ54">IF(AND($N54&lt;&gt;"",AZ$8&lt;&gt;""),COUNTIFS($K$9:$K$59,$N54,$L$9:$L$59,AZ$8),0)</f>
        <v>0</v>
      </c>
      <c r="BA54" s="175">
        <f t="array" ref="BA54">IF(AND($N54&lt;&gt;"",BA$8&lt;&gt;""),COUNTIFS($K$9:$K$59,$N54,$L$9:$L$59,BA$8),0)</f>
        <v>0</v>
      </c>
      <c r="BB54" s="175">
        <f t="array" ref="BB54">IF(AND($N54&lt;&gt;"",BB$8&lt;&gt;""),COUNTIFS($K$9:$K$59,$N54,$L$9:$L$59,BB$8),0)</f>
        <v>0</v>
      </c>
      <c r="BC54" s="175">
        <f t="array" ref="BC54">IF(AND($N54&lt;&gt;"",BC$8&lt;&gt;""),COUNTIFS($K$9:$K$59,$N54,$L$9:$L$59,BC$8),0)</f>
        <v>0</v>
      </c>
      <c r="BD54" s="175">
        <f t="array" ref="BD54">IF(AND($N54&lt;&gt;"",BD$8&lt;&gt;""),COUNTIFS($K$9:$K$59,$N54,$L$9:$L$59,BD$8),0)</f>
        <v>0</v>
      </c>
      <c r="BE54" s="175">
        <f t="array" ref="BE54">IF(AND($N54&lt;&gt;"",BE$8&lt;&gt;""),COUNTIFS($K$9:$K$59,$N54,$L$9:$L$59,BE$8),0)</f>
        <v>0</v>
      </c>
      <c r="BF54" s="175">
        <f t="array" ref="BF54">IF(AND($N54&lt;&gt;"",BF$8&lt;&gt;""),COUNTIFS($K$9:$K$59,$N54,$L$9:$L$59,BF$8),0)</f>
        <v>0</v>
      </c>
      <c r="BG54" s="175">
        <f t="array" ref="BG54">IF(AND($N54&lt;&gt;"",BG$8&lt;&gt;""),COUNTIFS($K$9:$K$59,$N54,$L$9:$L$59,BG$8),0)</f>
        <v>0</v>
      </c>
      <c r="BH54" s="175">
        <f t="array" ref="BH54">IF(AND($N54&lt;&gt;"",BH$8&lt;&gt;""),COUNTIFS($K$9:$K$59,$N54,$L$9:$L$59,BH$8),0)</f>
        <v>0</v>
      </c>
      <c r="BI54" s="175">
        <f t="array" ref="BI54">IF(AND($N54&lt;&gt;"",BI$8&lt;&gt;""),COUNTIFS($K$9:$K$59,$N54,$L$9:$L$59,BI$8),0)</f>
        <v>0</v>
      </c>
      <c r="BJ54" s="175">
        <f t="array" ref="BJ54">IF(AND($N54&lt;&gt;"",BJ$8&lt;&gt;""),COUNTIFS($K$9:$K$59,$N54,$L$9:$L$59,BJ$8),0)</f>
        <v>0</v>
      </c>
      <c r="BK54" s="175">
        <f t="array" ref="BK54">IF(AND($N54&lt;&gt;"",BK$8&lt;&gt;""),COUNTIFS($K$9:$K$59,$N54,$L$9:$L$59,BK$8),0)</f>
        <v>0</v>
      </c>
      <c r="BL54" s="175">
        <f t="array" ref="BL54">IF(AND($N54&lt;&gt;"",BL$8&lt;&gt;""),COUNTIFS($K$9:$K$59,$N54,$L$9:$L$59,BL$8),0)</f>
        <v>0</v>
      </c>
    </row>
    <row r="55" spans="2:64" s="22" customFormat="1" x14ac:dyDescent="0.2">
      <c r="B55" s="119" t="s">
        <v>140</v>
      </c>
      <c r="C55" s="260"/>
      <c r="D55" s="118"/>
      <c r="E55" s="15"/>
      <c r="F55" s="15"/>
      <c r="G55" s="15"/>
      <c r="H55" s="15" t="s">
        <v>287</v>
      </c>
      <c r="I55" s="116" t="str">
        <f t="shared" si="1"/>
        <v>-</v>
      </c>
      <c r="J55" s="120"/>
      <c r="K55" s="195" t="str">
        <f t="shared" si="2"/>
        <v/>
      </c>
      <c r="L55" s="188" t="str">
        <f t="shared" si="3"/>
        <v/>
      </c>
      <c r="N55" s="185" t="str">
        <f t="array" ref="N55">IFERROR(INDEX($K$9:$K$59,MATCH(0,COUNTIF($N$8:$N54,$K$9:$K$59),0)),"")</f>
        <v/>
      </c>
      <c r="O55" s="175">
        <f t="array" ref="O55">IF(AND($N55&lt;&gt;"",O$8&lt;&gt;""),COUNTIFS($K$9:$K$59,$N55,$L$9:$L$59,O$8),0)</f>
        <v>0</v>
      </c>
      <c r="P55" s="175">
        <f t="array" ref="P55">IF(AND($N55&lt;&gt;"",P$8&lt;&gt;""),COUNTIFS($K$9:$K$59,$N55,$L$9:$L$59,P$8),0)</f>
        <v>0</v>
      </c>
      <c r="Q55" s="175">
        <f t="array" ref="Q55">IF(AND($N55&lt;&gt;"",Q$8&lt;&gt;""),COUNTIFS($K$9:$K$59,$N55,$L$9:$L$59,Q$8),0)</f>
        <v>0</v>
      </c>
      <c r="R55" s="175">
        <f t="array" ref="R55">IF(AND($N55&lt;&gt;"",R$8&lt;&gt;""),COUNTIFS($K$9:$K$59,$N55,$L$9:$L$59,R$8),0)</f>
        <v>0</v>
      </c>
      <c r="S55" s="175">
        <f t="array" ref="S55">IF(AND($N55&lt;&gt;"",S$8&lt;&gt;""),COUNTIFS($K$9:$K$59,$N55,$L$9:$L$59,S$8),0)</f>
        <v>0</v>
      </c>
      <c r="T55" s="175">
        <f t="array" ref="T55">IF(AND($N55&lt;&gt;"",T$8&lt;&gt;""),COUNTIFS($K$9:$K$59,$N55,$L$9:$L$59,T$8),0)</f>
        <v>0</v>
      </c>
      <c r="U55" s="175">
        <f t="array" ref="U55">IF(AND($N55&lt;&gt;"",U$8&lt;&gt;""),COUNTIFS($K$9:$K$59,$N55,$L$9:$L$59,U$8),0)</f>
        <v>0</v>
      </c>
      <c r="V55" s="175">
        <f t="array" ref="V55">IF(AND($N55&lt;&gt;"",V$8&lt;&gt;""),COUNTIFS($K$9:$K$59,$N55,$L$9:$L$59,V$8),0)</f>
        <v>0</v>
      </c>
      <c r="W55" s="175">
        <f t="array" ref="W55">IF(AND($N55&lt;&gt;"",W$8&lt;&gt;""),COUNTIFS($K$9:$K$59,$N55,$L$9:$L$59,W$8),0)</f>
        <v>0</v>
      </c>
      <c r="X55" s="175">
        <f t="array" ref="X55">IF(AND($N55&lt;&gt;"",X$8&lt;&gt;""),COUNTIFS($K$9:$K$59,$N55,$L$9:$L$59,X$8),0)</f>
        <v>0</v>
      </c>
      <c r="Y55" s="175">
        <f t="array" ref="Y55">IF(AND($N55&lt;&gt;"",Y$8&lt;&gt;""),COUNTIFS($K$9:$K$59,$N55,$L$9:$L$59,Y$8),0)</f>
        <v>0</v>
      </c>
      <c r="Z55" s="175">
        <f t="array" ref="Z55">IF(AND($N55&lt;&gt;"",Z$8&lt;&gt;""),COUNTIFS($K$9:$K$59,$N55,$L$9:$L$59,Z$8),0)</f>
        <v>0</v>
      </c>
      <c r="AA55" s="175">
        <f t="array" ref="AA55">IF(AND($N55&lt;&gt;"",AA$8&lt;&gt;""),COUNTIFS($K$9:$K$59,$N55,$L$9:$L$59,AA$8),0)</f>
        <v>0</v>
      </c>
      <c r="AB55" s="175">
        <f t="array" ref="AB55">IF(AND($N55&lt;&gt;"",AB$8&lt;&gt;""),COUNTIFS($K$9:$K$59,$N55,$L$9:$L$59,AB$8),0)</f>
        <v>0</v>
      </c>
      <c r="AC55" s="175">
        <f t="array" ref="AC55">IF(AND($N55&lt;&gt;"",AC$8&lt;&gt;""),COUNTIFS($K$9:$K$59,$N55,$L$9:$L$59,AC$8),0)</f>
        <v>0</v>
      </c>
      <c r="AD55" s="175">
        <f t="array" ref="AD55">IF(AND($N55&lt;&gt;"",AD$8&lt;&gt;""),COUNTIFS($K$9:$K$59,$N55,$L$9:$L$59,AD$8),0)</f>
        <v>0</v>
      </c>
      <c r="AE55" s="175">
        <f t="array" ref="AE55">IF(AND($N55&lt;&gt;"",AE$8&lt;&gt;""),COUNTIFS($K$9:$K$59,$N55,$L$9:$L$59,AE$8),0)</f>
        <v>0</v>
      </c>
      <c r="AF55" s="175">
        <f t="array" ref="AF55">IF(AND($N55&lt;&gt;"",AF$8&lt;&gt;""),COUNTIFS($K$9:$K$59,$N55,$L$9:$L$59,AF$8),0)</f>
        <v>0</v>
      </c>
      <c r="AG55" s="175">
        <f t="array" ref="AG55">IF(AND($N55&lt;&gt;"",AG$8&lt;&gt;""),COUNTIFS($K$9:$K$59,$N55,$L$9:$L$59,AG$8),0)</f>
        <v>0</v>
      </c>
      <c r="AH55" s="175">
        <f t="array" ref="AH55">IF(AND($N55&lt;&gt;"",AH$8&lt;&gt;""),COUNTIFS($K$9:$K$59,$N55,$L$9:$L$59,AH$8),0)</f>
        <v>0</v>
      </c>
      <c r="AI55" s="175">
        <f t="array" ref="AI55">IF(AND($N55&lt;&gt;"",AI$8&lt;&gt;""),COUNTIFS($K$9:$K$59,$N55,$L$9:$L$59,AI$8),0)</f>
        <v>0</v>
      </c>
      <c r="AJ55" s="175">
        <f t="array" ref="AJ55">IF(AND($N55&lt;&gt;"",AJ$8&lt;&gt;""),COUNTIFS($K$9:$K$59,$N55,$L$9:$L$59,AJ$8),0)</f>
        <v>0</v>
      </c>
      <c r="AK55" s="175">
        <f t="array" ref="AK55">IF(AND($N55&lt;&gt;"",AK$8&lt;&gt;""),COUNTIFS($K$9:$K$59,$N55,$L$9:$L$59,AK$8),0)</f>
        <v>0</v>
      </c>
      <c r="AL55" s="175">
        <f t="array" ref="AL55">IF(AND($N55&lt;&gt;"",AL$8&lt;&gt;""),COUNTIFS($K$9:$K$59,$N55,$L$9:$L$59,AL$8),0)</f>
        <v>0</v>
      </c>
      <c r="AM55" s="175">
        <f t="array" ref="AM55">IF(AND($N55&lt;&gt;"",AM$8&lt;&gt;""),COUNTIFS($K$9:$K$59,$N55,$L$9:$L$59,AM$8),0)</f>
        <v>0</v>
      </c>
      <c r="AN55" s="175">
        <f t="array" ref="AN55">IF(AND($N55&lt;&gt;"",AN$8&lt;&gt;""),COUNTIFS($K$9:$K$59,$N55,$L$9:$L$59,AN$8),0)</f>
        <v>0</v>
      </c>
      <c r="AO55" s="175">
        <f t="array" ref="AO55">IF(AND($N55&lt;&gt;"",AO$8&lt;&gt;""),COUNTIFS($K$9:$K$59,$N55,$L$9:$L$59,AO$8),0)</f>
        <v>0</v>
      </c>
      <c r="AP55" s="175">
        <f t="array" ref="AP55">IF(AND($N55&lt;&gt;"",AP$8&lt;&gt;""),COUNTIFS($K$9:$K$59,$N55,$L$9:$L$59,AP$8),0)</f>
        <v>0</v>
      </c>
      <c r="AQ55" s="175">
        <f t="array" ref="AQ55">IF(AND($N55&lt;&gt;"",AQ$8&lt;&gt;""),COUNTIFS($K$9:$K$59,$N55,$L$9:$L$59,AQ$8),0)</f>
        <v>0</v>
      </c>
      <c r="AR55" s="175">
        <f t="array" ref="AR55">IF(AND($N55&lt;&gt;"",AR$8&lt;&gt;""),COUNTIFS($K$9:$K$59,$N55,$L$9:$L$59,AR$8),0)</f>
        <v>0</v>
      </c>
      <c r="AS55" s="175">
        <f t="array" ref="AS55">IF(AND($N55&lt;&gt;"",AS$8&lt;&gt;""),COUNTIFS($K$9:$K$59,$N55,$L$9:$L$59,AS$8),0)</f>
        <v>0</v>
      </c>
      <c r="AT55" s="175">
        <f t="array" ref="AT55">IF(AND($N55&lt;&gt;"",AT$8&lt;&gt;""),COUNTIFS($K$9:$K$59,$N55,$L$9:$L$59,AT$8),0)</f>
        <v>0</v>
      </c>
      <c r="AU55" s="175">
        <f t="array" ref="AU55">IF(AND($N55&lt;&gt;"",AU$8&lt;&gt;""),COUNTIFS($K$9:$K$59,$N55,$L$9:$L$59,AU$8),0)</f>
        <v>0</v>
      </c>
      <c r="AV55" s="175">
        <f t="array" ref="AV55">IF(AND($N55&lt;&gt;"",AV$8&lt;&gt;""),COUNTIFS($K$9:$K$59,$N55,$L$9:$L$59,AV$8),0)</f>
        <v>0</v>
      </c>
      <c r="AW55" s="175">
        <f t="array" ref="AW55">IF(AND($N55&lt;&gt;"",AW$8&lt;&gt;""),COUNTIFS($K$9:$K$59,$N55,$L$9:$L$59,AW$8),0)</f>
        <v>0</v>
      </c>
      <c r="AX55" s="175">
        <f t="array" ref="AX55">IF(AND($N55&lt;&gt;"",AX$8&lt;&gt;""),COUNTIFS($K$9:$K$59,$N55,$L$9:$L$59,AX$8),0)</f>
        <v>0</v>
      </c>
      <c r="AY55" s="175">
        <f t="array" ref="AY55">IF(AND($N55&lt;&gt;"",AY$8&lt;&gt;""),COUNTIFS($K$9:$K$59,$N55,$L$9:$L$59,AY$8),0)</f>
        <v>0</v>
      </c>
      <c r="AZ55" s="175">
        <f t="array" ref="AZ55">IF(AND($N55&lt;&gt;"",AZ$8&lt;&gt;""),COUNTIFS($K$9:$K$59,$N55,$L$9:$L$59,AZ$8),0)</f>
        <v>0</v>
      </c>
      <c r="BA55" s="175">
        <f t="array" ref="BA55">IF(AND($N55&lt;&gt;"",BA$8&lt;&gt;""),COUNTIFS($K$9:$K$59,$N55,$L$9:$L$59,BA$8),0)</f>
        <v>0</v>
      </c>
      <c r="BB55" s="175">
        <f t="array" ref="BB55">IF(AND($N55&lt;&gt;"",BB$8&lt;&gt;""),COUNTIFS($K$9:$K$59,$N55,$L$9:$L$59,BB$8),0)</f>
        <v>0</v>
      </c>
      <c r="BC55" s="175">
        <f t="array" ref="BC55">IF(AND($N55&lt;&gt;"",BC$8&lt;&gt;""),COUNTIFS($K$9:$K$59,$N55,$L$9:$L$59,BC$8),0)</f>
        <v>0</v>
      </c>
      <c r="BD55" s="175">
        <f t="array" ref="BD55">IF(AND($N55&lt;&gt;"",BD$8&lt;&gt;""),COUNTIFS($K$9:$K$59,$N55,$L$9:$L$59,BD$8),0)</f>
        <v>0</v>
      </c>
      <c r="BE55" s="175">
        <f t="array" ref="BE55">IF(AND($N55&lt;&gt;"",BE$8&lt;&gt;""),COUNTIFS($K$9:$K$59,$N55,$L$9:$L$59,BE$8),0)</f>
        <v>0</v>
      </c>
      <c r="BF55" s="175">
        <f t="array" ref="BF55">IF(AND($N55&lt;&gt;"",BF$8&lt;&gt;""),COUNTIFS($K$9:$K$59,$N55,$L$9:$L$59,BF$8),0)</f>
        <v>0</v>
      </c>
      <c r="BG55" s="175">
        <f t="array" ref="BG55">IF(AND($N55&lt;&gt;"",BG$8&lt;&gt;""),COUNTIFS($K$9:$K$59,$N55,$L$9:$L$59,BG$8),0)</f>
        <v>0</v>
      </c>
      <c r="BH55" s="175">
        <f t="array" ref="BH55">IF(AND($N55&lt;&gt;"",BH$8&lt;&gt;""),COUNTIFS($K$9:$K$59,$N55,$L$9:$L$59,BH$8),0)</f>
        <v>0</v>
      </c>
      <c r="BI55" s="175">
        <f t="array" ref="BI55">IF(AND($N55&lt;&gt;"",BI$8&lt;&gt;""),COUNTIFS($K$9:$K$59,$N55,$L$9:$L$59,BI$8),0)</f>
        <v>0</v>
      </c>
      <c r="BJ55" s="175">
        <f t="array" ref="BJ55">IF(AND($N55&lt;&gt;"",BJ$8&lt;&gt;""),COUNTIFS($K$9:$K$59,$N55,$L$9:$L$59,BJ$8),0)</f>
        <v>0</v>
      </c>
      <c r="BK55" s="175">
        <f t="array" ref="BK55">IF(AND($N55&lt;&gt;"",BK$8&lt;&gt;""),COUNTIFS($K$9:$K$59,$N55,$L$9:$L$59,BK$8),0)</f>
        <v>0</v>
      </c>
      <c r="BL55" s="175">
        <f t="array" ref="BL55">IF(AND($N55&lt;&gt;"",BL$8&lt;&gt;""),COUNTIFS($K$9:$K$59,$N55,$L$9:$L$59,BL$8),0)</f>
        <v>0</v>
      </c>
    </row>
    <row r="56" spans="2:64" s="22" customFormat="1" x14ac:dyDescent="0.2">
      <c r="B56" s="119" t="s">
        <v>141</v>
      </c>
      <c r="C56" s="260"/>
      <c r="D56" s="118"/>
      <c r="E56" s="15"/>
      <c r="F56" s="15"/>
      <c r="G56" s="15"/>
      <c r="H56" s="15" t="s">
        <v>287</v>
      </c>
      <c r="I56" s="116" t="str">
        <f t="shared" si="1"/>
        <v>-</v>
      </c>
      <c r="J56" s="120"/>
      <c r="K56" s="195" t="str">
        <f t="shared" si="2"/>
        <v/>
      </c>
      <c r="L56" s="188" t="str">
        <f t="shared" si="3"/>
        <v/>
      </c>
      <c r="N56" s="185" t="str">
        <f t="array" ref="N56">IFERROR(INDEX($K$9:$K$59,MATCH(0,COUNTIF($N$8:$N55,$K$9:$K$59),0)),"")</f>
        <v/>
      </c>
      <c r="O56" s="175">
        <f t="array" ref="O56">IF(AND($N56&lt;&gt;"",O$8&lt;&gt;""),COUNTIFS($K$9:$K$59,$N56,$L$9:$L$59,O$8),0)</f>
        <v>0</v>
      </c>
      <c r="P56" s="175">
        <f t="array" ref="P56">IF(AND($N56&lt;&gt;"",P$8&lt;&gt;""),COUNTIFS($K$9:$K$59,$N56,$L$9:$L$59,P$8),0)</f>
        <v>0</v>
      </c>
      <c r="Q56" s="175">
        <f t="array" ref="Q56">IF(AND($N56&lt;&gt;"",Q$8&lt;&gt;""),COUNTIFS($K$9:$K$59,$N56,$L$9:$L$59,Q$8),0)</f>
        <v>0</v>
      </c>
      <c r="R56" s="175">
        <f t="array" ref="R56">IF(AND($N56&lt;&gt;"",R$8&lt;&gt;""),COUNTIFS($K$9:$K$59,$N56,$L$9:$L$59,R$8),0)</f>
        <v>0</v>
      </c>
      <c r="S56" s="175">
        <f t="array" ref="S56">IF(AND($N56&lt;&gt;"",S$8&lt;&gt;""),COUNTIFS($K$9:$K$59,$N56,$L$9:$L$59,S$8),0)</f>
        <v>0</v>
      </c>
      <c r="T56" s="175">
        <f t="array" ref="T56">IF(AND($N56&lt;&gt;"",T$8&lt;&gt;""),COUNTIFS($K$9:$K$59,$N56,$L$9:$L$59,T$8),0)</f>
        <v>0</v>
      </c>
      <c r="U56" s="175">
        <f t="array" ref="U56">IF(AND($N56&lt;&gt;"",U$8&lt;&gt;""),COUNTIFS($K$9:$K$59,$N56,$L$9:$L$59,U$8),0)</f>
        <v>0</v>
      </c>
      <c r="V56" s="175">
        <f t="array" ref="V56">IF(AND($N56&lt;&gt;"",V$8&lt;&gt;""),COUNTIFS($K$9:$K$59,$N56,$L$9:$L$59,V$8),0)</f>
        <v>0</v>
      </c>
      <c r="W56" s="175">
        <f t="array" ref="W56">IF(AND($N56&lt;&gt;"",W$8&lt;&gt;""),COUNTIFS($K$9:$K$59,$N56,$L$9:$L$59,W$8),0)</f>
        <v>0</v>
      </c>
      <c r="X56" s="175">
        <f t="array" ref="X56">IF(AND($N56&lt;&gt;"",X$8&lt;&gt;""),COUNTIFS($K$9:$K$59,$N56,$L$9:$L$59,X$8),0)</f>
        <v>0</v>
      </c>
      <c r="Y56" s="175">
        <f t="array" ref="Y56">IF(AND($N56&lt;&gt;"",Y$8&lt;&gt;""),COUNTIFS($K$9:$K$59,$N56,$L$9:$L$59,Y$8),0)</f>
        <v>0</v>
      </c>
      <c r="Z56" s="175">
        <f t="array" ref="Z56">IF(AND($N56&lt;&gt;"",Z$8&lt;&gt;""),COUNTIFS($K$9:$K$59,$N56,$L$9:$L$59,Z$8),0)</f>
        <v>0</v>
      </c>
      <c r="AA56" s="175">
        <f t="array" ref="AA56">IF(AND($N56&lt;&gt;"",AA$8&lt;&gt;""),COUNTIFS($K$9:$K$59,$N56,$L$9:$L$59,AA$8),0)</f>
        <v>0</v>
      </c>
      <c r="AB56" s="175">
        <f t="array" ref="AB56">IF(AND($N56&lt;&gt;"",AB$8&lt;&gt;""),COUNTIFS($K$9:$K$59,$N56,$L$9:$L$59,AB$8),0)</f>
        <v>0</v>
      </c>
      <c r="AC56" s="175">
        <f t="array" ref="AC56">IF(AND($N56&lt;&gt;"",AC$8&lt;&gt;""),COUNTIFS($K$9:$K$59,$N56,$L$9:$L$59,AC$8),0)</f>
        <v>0</v>
      </c>
      <c r="AD56" s="175">
        <f t="array" ref="AD56">IF(AND($N56&lt;&gt;"",AD$8&lt;&gt;""),COUNTIFS($K$9:$K$59,$N56,$L$9:$L$59,AD$8),0)</f>
        <v>0</v>
      </c>
      <c r="AE56" s="175">
        <f t="array" ref="AE56">IF(AND($N56&lt;&gt;"",AE$8&lt;&gt;""),COUNTIFS($K$9:$K$59,$N56,$L$9:$L$59,AE$8),0)</f>
        <v>0</v>
      </c>
      <c r="AF56" s="175">
        <f t="array" ref="AF56">IF(AND($N56&lt;&gt;"",AF$8&lt;&gt;""),COUNTIFS($K$9:$K$59,$N56,$L$9:$L$59,AF$8),0)</f>
        <v>0</v>
      </c>
      <c r="AG56" s="175">
        <f t="array" ref="AG56">IF(AND($N56&lt;&gt;"",AG$8&lt;&gt;""),COUNTIFS($K$9:$K$59,$N56,$L$9:$L$59,AG$8),0)</f>
        <v>0</v>
      </c>
      <c r="AH56" s="175">
        <f t="array" ref="AH56">IF(AND($N56&lt;&gt;"",AH$8&lt;&gt;""),COUNTIFS($K$9:$K$59,$N56,$L$9:$L$59,AH$8),0)</f>
        <v>0</v>
      </c>
      <c r="AI56" s="175">
        <f t="array" ref="AI56">IF(AND($N56&lt;&gt;"",AI$8&lt;&gt;""),COUNTIFS($K$9:$K$59,$N56,$L$9:$L$59,AI$8),0)</f>
        <v>0</v>
      </c>
      <c r="AJ56" s="175">
        <f t="array" ref="AJ56">IF(AND($N56&lt;&gt;"",AJ$8&lt;&gt;""),COUNTIFS($K$9:$K$59,$N56,$L$9:$L$59,AJ$8),0)</f>
        <v>0</v>
      </c>
      <c r="AK56" s="175">
        <f t="array" ref="AK56">IF(AND($N56&lt;&gt;"",AK$8&lt;&gt;""),COUNTIFS($K$9:$K$59,$N56,$L$9:$L$59,AK$8),0)</f>
        <v>0</v>
      </c>
      <c r="AL56" s="175">
        <f t="array" ref="AL56">IF(AND($N56&lt;&gt;"",AL$8&lt;&gt;""),COUNTIFS($K$9:$K$59,$N56,$L$9:$L$59,AL$8),0)</f>
        <v>0</v>
      </c>
      <c r="AM56" s="175">
        <f t="array" ref="AM56">IF(AND($N56&lt;&gt;"",AM$8&lt;&gt;""),COUNTIFS($K$9:$K$59,$N56,$L$9:$L$59,AM$8),0)</f>
        <v>0</v>
      </c>
      <c r="AN56" s="175">
        <f t="array" ref="AN56">IF(AND($N56&lt;&gt;"",AN$8&lt;&gt;""),COUNTIFS($K$9:$K$59,$N56,$L$9:$L$59,AN$8),0)</f>
        <v>0</v>
      </c>
      <c r="AO56" s="175">
        <f t="array" ref="AO56">IF(AND($N56&lt;&gt;"",AO$8&lt;&gt;""),COUNTIFS($K$9:$K$59,$N56,$L$9:$L$59,AO$8),0)</f>
        <v>0</v>
      </c>
      <c r="AP56" s="175">
        <f t="array" ref="AP56">IF(AND($N56&lt;&gt;"",AP$8&lt;&gt;""),COUNTIFS($K$9:$K$59,$N56,$L$9:$L$59,AP$8),0)</f>
        <v>0</v>
      </c>
      <c r="AQ56" s="175">
        <f t="array" ref="AQ56">IF(AND($N56&lt;&gt;"",AQ$8&lt;&gt;""),COUNTIFS($K$9:$K$59,$N56,$L$9:$L$59,AQ$8),0)</f>
        <v>0</v>
      </c>
      <c r="AR56" s="175">
        <f t="array" ref="AR56">IF(AND($N56&lt;&gt;"",AR$8&lt;&gt;""),COUNTIFS($K$9:$K$59,$N56,$L$9:$L$59,AR$8),0)</f>
        <v>0</v>
      </c>
      <c r="AS56" s="175">
        <f t="array" ref="AS56">IF(AND($N56&lt;&gt;"",AS$8&lt;&gt;""),COUNTIFS($K$9:$K$59,$N56,$L$9:$L$59,AS$8),0)</f>
        <v>0</v>
      </c>
      <c r="AT56" s="175">
        <f t="array" ref="AT56">IF(AND($N56&lt;&gt;"",AT$8&lt;&gt;""),COUNTIFS($K$9:$K$59,$N56,$L$9:$L$59,AT$8),0)</f>
        <v>0</v>
      </c>
      <c r="AU56" s="175">
        <f t="array" ref="AU56">IF(AND($N56&lt;&gt;"",AU$8&lt;&gt;""),COUNTIFS($K$9:$K$59,$N56,$L$9:$L$59,AU$8),0)</f>
        <v>0</v>
      </c>
      <c r="AV56" s="175">
        <f t="array" ref="AV56">IF(AND($N56&lt;&gt;"",AV$8&lt;&gt;""),COUNTIFS($K$9:$K$59,$N56,$L$9:$L$59,AV$8),0)</f>
        <v>0</v>
      </c>
      <c r="AW56" s="175">
        <f t="array" ref="AW56">IF(AND($N56&lt;&gt;"",AW$8&lt;&gt;""),COUNTIFS($K$9:$K$59,$N56,$L$9:$L$59,AW$8),0)</f>
        <v>0</v>
      </c>
      <c r="AX56" s="175">
        <f t="array" ref="AX56">IF(AND($N56&lt;&gt;"",AX$8&lt;&gt;""),COUNTIFS($K$9:$K$59,$N56,$L$9:$L$59,AX$8),0)</f>
        <v>0</v>
      </c>
      <c r="AY56" s="175">
        <f t="array" ref="AY56">IF(AND($N56&lt;&gt;"",AY$8&lt;&gt;""),COUNTIFS($K$9:$K$59,$N56,$L$9:$L$59,AY$8),0)</f>
        <v>0</v>
      </c>
      <c r="AZ56" s="175">
        <f t="array" ref="AZ56">IF(AND($N56&lt;&gt;"",AZ$8&lt;&gt;""),COUNTIFS($K$9:$K$59,$N56,$L$9:$L$59,AZ$8),0)</f>
        <v>0</v>
      </c>
      <c r="BA56" s="175">
        <f t="array" ref="BA56">IF(AND($N56&lt;&gt;"",BA$8&lt;&gt;""),COUNTIFS($K$9:$K$59,$N56,$L$9:$L$59,BA$8),0)</f>
        <v>0</v>
      </c>
      <c r="BB56" s="175">
        <f t="array" ref="BB56">IF(AND($N56&lt;&gt;"",BB$8&lt;&gt;""),COUNTIFS($K$9:$K$59,$N56,$L$9:$L$59,BB$8),0)</f>
        <v>0</v>
      </c>
      <c r="BC56" s="175">
        <f t="array" ref="BC56">IF(AND($N56&lt;&gt;"",BC$8&lt;&gt;""),COUNTIFS($K$9:$K$59,$N56,$L$9:$L$59,BC$8),0)</f>
        <v>0</v>
      </c>
      <c r="BD56" s="175">
        <f t="array" ref="BD56">IF(AND($N56&lt;&gt;"",BD$8&lt;&gt;""),COUNTIFS($K$9:$K$59,$N56,$L$9:$L$59,BD$8),0)</f>
        <v>0</v>
      </c>
      <c r="BE56" s="175">
        <f t="array" ref="BE56">IF(AND($N56&lt;&gt;"",BE$8&lt;&gt;""),COUNTIFS($K$9:$K$59,$N56,$L$9:$L$59,BE$8),0)</f>
        <v>0</v>
      </c>
      <c r="BF56" s="175">
        <f t="array" ref="BF56">IF(AND($N56&lt;&gt;"",BF$8&lt;&gt;""),COUNTIFS($K$9:$K$59,$N56,$L$9:$L$59,BF$8),0)</f>
        <v>0</v>
      </c>
      <c r="BG56" s="175">
        <f t="array" ref="BG56">IF(AND($N56&lt;&gt;"",BG$8&lt;&gt;""),COUNTIFS($K$9:$K$59,$N56,$L$9:$L$59,BG$8),0)</f>
        <v>0</v>
      </c>
      <c r="BH56" s="175">
        <f t="array" ref="BH56">IF(AND($N56&lt;&gt;"",BH$8&lt;&gt;""),COUNTIFS($K$9:$K$59,$N56,$L$9:$L$59,BH$8),0)</f>
        <v>0</v>
      </c>
      <c r="BI56" s="175">
        <f t="array" ref="BI56">IF(AND($N56&lt;&gt;"",BI$8&lt;&gt;""),COUNTIFS($K$9:$K$59,$N56,$L$9:$L$59,BI$8),0)</f>
        <v>0</v>
      </c>
      <c r="BJ56" s="175">
        <f t="array" ref="BJ56">IF(AND($N56&lt;&gt;"",BJ$8&lt;&gt;""),COUNTIFS($K$9:$K$59,$N56,$L$9:$L$59,BJ$8),0)</f>
        <v>0</v>
      </c>
      <c r="BK56" s="175">
        <f t="array" ref="BK56">IF(AND($N56&lt;&gt;"",BK$8&lt;&gt;""),COUNTIFS($K$9:$K$59,$N56,$L$9:$L$59,BK$8),0)</f>
        <v>0</v>
      </c>
      <c r="BL56" s="175">
        <f t="array" ref="BL56">IF(AND($N56&lt;&gt;"",BL$8&lt;&gt;""),COUNTIFS($K$9:$K$59,$N56,$L$9:$L$59,BL$8),0)</f>
        <v>0</v>
      </c>
    </row>
    <row r="57" spans="2:64" s="22" customFormat="1" x14ac:dyDescent="0.2">
      <c r="B57" s="119" t="s">
        <v>142</v>
      </c>
      <c r="C57" s="260"/>
      <c r="D57" s="118"/>
      <c r="E57" s="15"/>
      <c r="F57" s="15"/>
      <c r="G57" s="15"/>
      <c r="H57" s="15" t="s">
        <v>287</v>
      </c>
      <c r="I57" s="116" t="str">
        <f t="shared" si="1"/>
        <v>-</v>
      </c>
      <c r="J57" s="120"/>
      <c r="K57" s="195" t="str">
        <f t="shared" si="2"/>
        <v/>
      </c>
      <c r="L57" s="188" t="str">
        <f t="shared" si="3"/>
        <v/>
      </c>
      <c r="N57" s="185" t="str">
        <f t="array" ref="N57">IFERROR(INDEX($K$9:$K$59,MATCH(0,COUNTIF($N$8:$N56,$K$9:$K$59),0)),"")</f>
        <v/>
      </c>
      <c r="O57" s="175">
        <f t="array" ref="O57">IF(AND($N57&lt;&gt;"",O$8&lt;&gt;""),COUNTIFS($K$9:$K$59,$N57,$L$9:$L$59,O$8),0)</f>
        <v>0</v>
      </c>
      <c r="P57" s="175">
        <f t="array" ref="P57">IF(AND($N57&lt;&gt;"",P$8&lt;&gt;""),COUNTIFS($K$9:$K$59,$N57,$L$9:$L$59,P$8),0)</f>
        <v>0</v>
      </c>
      <c r="Q57" s="175">
        <f t="array" ref="Q57">IF(AND($N57&lt;&gt;"",Q$8&lt;&gt;""),COUNTIFS($K$9:$K$59,$N57,$L$9:$L$59,Q$8),0)</f>
        <v>0</v>
      </c>
      <c r="R57" s="175">
        <f t="array" ref="R57">IF(AND($N57&lt;&gt;"",R$8&lt;&gt;""),COUNTIFS($K$9:$K$59,$N57,$L$9:$L$59,R$8),0)</f>
        <v>0</v>
      </c>
      <c r="S57" s="175">
        <f t="array" ref="S57">IF(AND($N57&lt;&gt;"",S$8&lt;&gt;""),COUNTIFS($K$9:$K$59,$N57,$L$9:$L$59,S$8),0)</f>
        <v>0</v>
      </c>
      <c r="T57" s="175">
        <f t="array" ref="T57">IF(AND($N57&lt;&gt;"",T$8&lt;&gt;""),COUNTIFS($K$9:$K$59,$N57,$L$9:$L$59,T$8),0)</f>
        <v>0</v>
      </c>
      <c r="U57" s="175">
        <f t="array" ref="U57">IF(AND($N57&lt;&gt;"",U$8&lt;&gt;""),COUNTIFS($K$9:$K$59,$N57,$L$9:$L$59,U$8),0)</f>
        <v>0</v>
      </c>
      <c r="V57" s="175">
        <f t="array" ref="V57">IF(AND($N57&lt;&gt;"",V$8&lt;&gt;""),COUNTIFS($K$9:$K$59,$N57,$L$9:$L$59,V$8),0)</f>
        <v>0</v>
      </c>
      <c r="W57" s="175">
        <f t="array" ref="W57">IF(AND($N57&lt;&gt;"",W$8&lt;&gt;""),COUNTIFS($K$9:$K$59,$N57,$L$9:$L$59,W$8),0)</f>
        <v>0</v>
      </c>
      <c r="X57" s="175">
        <f t="array" ref="X57">IF(AND($N57&lt;&gt;"",X$8&lt;&gt;""),COUNTIFS($K$9:$K$59,$N57,$L$9:$L$59,X$8),0)</f>
        <v>0</v>
      </c>
      <c r="Y57" s="175">
        <f t="array" ref="Y57">IF(AND($N57&lt;&gt;"",Y$8&lt;&gt;""),COUNTIFS($K$9:$K$59,$N57,$L$9:$L$59,Y$8),0)</f>
        <v>0</v>
      </c>
      <c r="Z57" s="175">
        <f t="array" ref="Z57">IF(AND($N57&lt;&gt;"",Z$8&lt;&gt;""),COUNTIFS($K$9:$K$59,$N57,$L$9:$L$59,Z$8),0)</f>
        <v>0</v>
      </c>
      <c r="AA57" s="175">
        <f t="array" ref="AA57">IF(AND($N57&lt;&gt;"",AA$8&lt;&gt;""),COUNTIFS($K$9:$K$59,$N57,$L$9:$L$59,AA$8),0)</f>
        <v>0</v>
      </c>
      <c r="AB57" s="175">
        <f t="array" ref="AB57">IF(AND($N57&lt;&gt;"",AB$8&lt;&gt;""),COUNTIFS($K$9:$K$59,$N57,$L$9:$L$59,AB$8),0)</f>
        <v>0</v>
      </c>
      <c r="AC57" s="175">
        <f t="array" ref="AC57">IF(AND($N57&lt;&gt;"",AC$8&lt;&gt;""),COUNTIFS($K$9:$K$59,$N57,$L$9:$L$59,AC$8),0)</f>
        <v>0</v>
      </c>
      <c r="AD57" s="175">
        <f t="array" ref="AD57">IF(AND($N57&lt;&gt;"",AD$8&lt;&gt;""),COUNTIFS($K$9:$K$59,$N57,$L$9:$L$59,AD$8),0)</f>
        <v>0</v>
      </c>
      <c r="AE57" s="175">
        <f t="array" ref="AE57">IF(AND($N57&lt;&gt;"",AE$8&lt;&gt;""),COUNTIFS($K$9:$K$59,$N57,$L$9:$L$59,AE$8),0)</f>
        <v>0</v>
      </c>
      <c r="AF57" s="175">
        <f t="array" ref="AF57">IF(AND($N57&lt;&gt;"",AF$8&lt;&gt;""),COUNTIFS($K$9:$K$59,$N57,$L$9:$L$59,AF$8),0)</f>
        <v>0</v>
      </c>
      <c r="AG57" s="175">
        <f t="array" ref="AG57">IF(AND($N57&lt;&gt;"",AG$8&lt;&gt;""),COUNTIFS($K$9:$K$59,$N57,$L$9:$L$59,AG$8),0)</f>
        <v>0</v>
      </c>
      <c r="AH57" s="175">
        <f t="array" ref="AH57">IF(AND($N57&lt;&gt;"",AH$8&lt;&gt;""),COUNTIFS($K$9:$K$59,$N57,$L$9:$L$59,AH$8),0)</f>
        <v>0</v>
      </c>
      <c r="AI57" s="175">
        <f t="array" ref="AI57">IF(AND($N57&lt;&gt;"",AI$8&lt;&gt;""),COUNTIFS($K$9:$K$59,$N57,$L$9:$L$59,AI$8),0)</f>
        <v>0</v>
      </c>
      <c r="AJ57" s="175">
        <f t="array" ref="AJ57">IF(AND($N57&lt;&gt;"",AJ$8&lt;&gt;""),COUNTIFS($K$9:$K$59,$N57,$L$9:$L$59,AJ$8),0)</f>
        <v>0</v>
      </c>
      <c r="AK57" s="175">
        <f t="array" ref="AK57">IF(AND($N57&lt;&gt;"",AK$8&lt;&gt;""),COUNTIFS($K$9:$K$59,$N57,$L$9:$L$59,AK$8),0)</f>
        <v>0</v>
      </c>
      <c r="AL57" s="175">
        <f t="array" ref="AL57">IF(AND($N57&lt;&gt;"",AL$8&lt;&gt;""),COUNTIFS($K$9:$K$59,$N57,$L$9:$L$59,AL$8),0)</f>
        <v>0</v>
      </c>
      <c r="AM57" s="175">
        <f t="array" ref="AM57">IF(AND($N57&lt;&gt;"",AM$8&lt;&gt;""),COUNTIFS($K$9:$K$59,$N57,$L$9:$L$59,AM$8),0)</f>
        <v>0</v>
      </c>
      <c r="AN57" s="175">
        <f t="array" ref="AN57">IF(AND($N57&lt;&gt;"",AN$8&lt;&gt;""),COUNTIFS($K$9:$K$59,$N57,$L$9:$L$59,AN$8),0)</f>
        <v>0</v>
      </c>
      <c r="AO57" s="175">
        <f t="array" ref="AO57">IF(AND($N57&lt;&gt;"",AO$8&lt;&gt;""),COUNTIFS($K$9:$K$59,$N57,$L$9:$L$59,AO$8),0)</f>
        <v>0</v>
      </c>
      <c r="AP57" s="175">
        <f t="array" ref="AP57">IF(AND($N57&lt;&gt;"",AP$8&lt;&gt;""),COUNTIFS($K$9:$K$59,$N57,$L$9:$L$59,AP$8),0)</f>
        <v>0</v>
      </c>
      <c r="AQ57" s="175">
        <f t="array" ref="AQ57">IF(AND($N57&lt;&gt;"",AQ$8&lt;&gt;""),COUNTIFS($K$9:$K$59,$N57,$L$9:$L$59,AQ$8),0)</f>
        <v>0</v>
      </c>
      <c r="AR57" s="175">
        <f t="array" ref="AR57">IF(AND($N57&lt;&gt;"",AR$8&lt;&gt;""),COUNTIFS($K$9:$K$59,$N57,$L$9:$L$59,AR$8),0)</f>
        <v>0</v>
      </c>
      <c r="AS57" s="175">
        <f t="array" ref="AS57">IF(AND($N57&lt;&gt;"",AS$8&lt;&gt;""),COUNTIFS($K$9:$K$59,$N57,$L$9:$L$59,AS$8),0)</f>
        <v>0</v>
      </c>
      <c r="AT57" s="175">
        <f t="array" ref="AT57">IF(AND($N57&lt;&gt;"",AT$8&lt;&gt;""),COUNTIFS($K$9:$K$59,$N57,$L$9:$L$59,AT$8),0)</f>
        <v>0</v>
      </c>
      <c r="AU57" s="175">
        <f t="array" ref="AU57">IF(AND($N57&lt;&gt;"",AU$8&lt;&gt;""),COUNTIFS($K$9:$K$59,$N57,$L$9:$L$59,AU$8),0)</f>
        <v>0</v>
      </c>
      <c r="AV57" s="175">
        <f t="array" ref="AV57">IF(AND($N57&lt;&gt;"",AV$8&lt;&gt;""),COUNTIFS($K$9:$K$59,$N57,$L$9:$L$59,AV$8),0)</f>
        <v>0</v>
      </c>
      <c r="AW57" s="175">
        <f t="array" ref="AW57">IF(AND($N57&lt;&gt;"",AW$8&lt;&gt;""),COUNTIFS($K$9:$K$59,$N57,$L$9:$L$59,AW$8),0)</f>
        <v>0</v>
      </c>
      <c r="AX57" s="175">
        <f t="array" ref="AX57">IF(AND($N57&lt;&gt;"",AX$8&lt;&gt;""),COUNTIFS($K$9:$K$59,$N57,$L$9:$L$59,AX$8),0)</f>
        <v>0</v>
      </c>
      <c r="AY57" s="175">
        <f t="array" ref="AY57">IF(AND($N57&lt;&gt;"",AY$8&lt;&gt;""),COUNTIFS($K$9:$K$59,$N57,$L$9:$L$59,AY$8),0)</f>
        <v>0</v>
      </c>
      <c r="AZ57" s="175">
        <f t="array" ref="AZ57">IF(AND($N57&lt;&gt;"",AZ$8&lt;&gt;""),COUNTIFS($K$9:$K$59,$N57,$L$9:$L$59,AZ$8),0)</f>
        <v>0</v>
      </c>
      <c r="BA57" s="175">
        <f t="array" ref="BA57">IF(AND($N57&lt;&gt;"",BA$8&lt;&gt;""),COUNTIFS($K$9:$K$59,$N57,$L$9:$L$59,BA$8),0)</f>
        <v>0</v>
      </c>
      <c r="BB57" s="175">
        <f t="array" ref="BB57">IF(AND($N57&lt;&gt;"",BB$8&lt;&gt;""),COUNTIFS($K$9:$K$59,$N57,$L$9:$L$59,BB$8),0)</f>
        <v>0</v>
      </c>
      <c r="BC57" s="175">
        <f t="array" ref="BC57">IF(AND($N57&lt;&gt;"",BC$8&lt;&gt;""),COUNTIFS($K$9:$K$59,$N57,$L$9:$L$59,BC$8),0)</f>
        <v>0</v>
      </c>
      <c r="BD57" s="175">
        <f t="array" ref="BD57">IF(AND($N57&lt;&gt;"",BD$8&lt;&gt;""),COUNTIFS($K$9:$K$59,$N57,$L$9:$L$59,BD$8),0)</f>
        <v>0</v>
      </c>
      <c r="BE57" s="175">
        <f t="array" ref="BE57">IF(AND($N57&lt;&gt;"",BE$8&lt;&gt;""),COUNTIFS($K$9:$K$59,$N57,$L$9:$L$59,BE$8),0)</f>
        <v>0</v>
      </c>
      <c r="BF57" s="175">
        <f t="array" ref="BF57">IF(AND($N57&lt;&gt;"",BF$8&lt;&gt;""),COUNTIFS($K$9:$K$59,$N57,$L$9:$L$59,BF$8),0)</f>
        <v>0</v>
      </c>
      <c r="BG57" s="175">
        <f t="array" ref="BG57">IF(AND($N57&lt;&gt;"",BG$8&lt;&gt;""),COUNTIFS($K$9:$K$59,$N57,$L$9:$L$59,BG$8),0)</f>
        <v>0</v>
      </c>
      <c r="BH57" s="175">
        <f t="array" ref="BH57">IF(AND($N57&lt;&gt;"",BH$8&lt;&gt;""),COUNTIFS($K$9:$K$59,$N57,$L$9:$L$59,BH$8),0)</f>
        <v>0</v>
      </c>
      <c r="BI57" s="175">
        <f t="array" ref="BI57">IF(AND($N57&lt;&gt;"",BI$8&lt;&gt;""),COUNTIFS($K$9:$K$59,$N57,$L$9:$L$59,BI$8),0)</f>
        <v>0</v>
      </c>
      <c r="BJ57" s="175">
        <f t="array" ref="BJ57">IF(AND($N57&lt;&gt;"",BJ$8&lt;&gt;""),COUNTIFS($K$9:$K$59,$N57,$L$9:$L$59,BJ$8),0)</f>
        <v>0</v>
      </c>
      <c r="BK57" s="175">
        <f t="array" ref="BK57">IF(AND($N57&lt;&gt;"",BK$8&lt;&gt;""),COUNTIFS($K$9:$K$59,$N57,$L$9:$L$59,BK$8),0)</f>
        <v>0</v>
      </c>
      <c r="BL57" s="175">
        <f t="array" ref="BL57">IF(AND($N57&lt;&gt;"",BL$8&lt;&gt;""),COUNTIFS($K$9:$K$59,$N57,$L$9:$L$59,BL$8),0)</f>
        <v>0</v>
      </c>
    </row>
    <row r="58" spans="2:64" s="22" customFormat="1" ht="13.5" thickBot="1" x14ac:dyDescent="0.25">
      <c r="B58" s="121" t="s">
        <v>143</v>
      </c>
      <c r="C58" s="261"/>
      <c r="D58" s="122"/>
      <c r="E58" s="122"/>
      <c r="F58" s="16"/>
      <c r="G58" s="16"/>
      <c r="H58" s="16" t="s">
        <v>287</v>
      </c>
      <c r="I58" s="272" t="str">
        <f t="shared" si="1"/>
        <v>-</v>
      </c>
      <c r="J58" s="124"/>
      <c r="K58" s="197" t="str">
        <f t="shared" si="2"/>
        <v/>
      </c>
      <c r="L58" s="189" t="str">
        <f t="shared" si="3"/>
        <v/>
      </c>
      <c r="N58" s="185" t="str">
        <f t="array" ref="N58">IFERROR(INDEX($K$9:$K$59,MATCH(0,COUNTIF($N$8:$N57,$K$9:$K$59),0)),"")</f>
        <v/>
      </c>
      <c r="O58" s="175">
        <f t="array" ref="O58">IF(AND($N58&lt;&gt;"",O$8&lt;&gt;""),COUNTIFS($K$9:$K$59,$N58,$L$9:$L$59,O$8),0)</f>
        <v>0</v>
      </c>
      <c r="P58" s="175">
        <f t="array" ref="P58">IF(AND($N58&lt;&gt;"",P$8&lt;&gt;""),COUNTIFS($K$9:$K$59,$N58,$L$9:$L$59,P$8),0)</f>
        <v>0</v>
      </c>
      <c r="Q58" s="175">
        <f t="array" ref="Q58">IF(AND($N58&lt;&gt;"",Q$8&lt;&gt;""),COUNTIFS($K$9:$K$59,$N58,$L$9:$L$59,Q$8),0)</f>
        <v>0</v>
      </c>
      <c r="R58" s="175">
        <f t="array" ref="R58">IF(AND($N58&lt;&gt;"",R$8&lt;&gt;""),COUNTIFS($K$9:$K$59,$N58,$L$9:$L$59,R$8),0)</f>
        <v>0</v>
      </c>
      <c r="S58" s="175">
        <f t="array" ref="S58">IF(AND($N58&lt;&gt;"",S$8&lt;&gt;""),COUNTIFS($K$9:$K$59,$N58,$L$9:$L$59,S$8),0)</f>
        <v>0</v>
      </c>
      <c r="T58" s="175">
        <f t="array" ref="T58">IF(AND($N58&lt;&gt;"",T$8&lt;&gt;""),COUNTIFS($K$9:$K$59,$N58,$L$9:$L$59,T$8),0)</f>
        <v>0</v>
      </c>
      <c r="U58" s="175">
        <f t="array" ref="U58">IF(AND($N58&lt;&gt;"",U$8&lt;&gt;""),COUNTIFS($K$9:$K$59,$N58,$L$9:$L$59,U$8),0)</f>
        <v>0</v>
      </c>
      <c r="V58" s="175">
        <f t="array" ref="V58">IF(AND($N58&lt;&gt;"",V$8&lt;&gt;""),COUNTIFS($K$9:$K$59,$N58,$L$9:$L$59,V$8),0)</f>
        <v>0</v>
      </c>
      <c r="W58" s="175">
        <f t="array" ref="W58">IF(AND($N58&lt;&gt;"",W$8&lt;&gt;""),COUNTIFS($K$9:$K$59,$N58,$L$9:$L$59,W$8),0)</f>
        <v>0</v>
      </c>
      <c r="X58" s="175">
        <f t="array" ref="X58">IF(AND($N58&lt;&gt;"",X$8&lt;&gt;""),COUNTIFS($K$9:$K$59,$N58,$L$9:$L$59,X$8),0)</f>
        <v>0</v>
      </c>
      <c r="Y58" s="175">
        <f t="array" ref="Y58">IF(AND($N58&lt;&gt;"",Y$8&lt;&gt;""),COUNTIFS($K$9:$K$59,$N58,$L$9:$L$59,Y$8),0)</f>
        <v>0</v>
      </c>
      <c r="Z58" s="175">
        <f t="array" ref="Z58">IF(AND($N58&lt;&gt;"",Z$8&lt;&gt;""),COUNTIFS($K$9:$K$59,$N58,$L$9:$L$59,Z$8),0)</f>
        <v>0</v>
      </c>
      <c r="AA58" s="175">
        <f t="array" ref="AA58">IF(AND($N58&lt;&gt;"",AA$8&lt;&gt;""),COUNTIFS($K$9:$K$59,$N58,$L$9:$L$59,AA$8),0)</f>
        <v>0</v>
      </c>
      <c r="AB58" s="175">
        <f t="array" ref="AB58">IF(AND($N58&lt;&gt;"",AB$8&lt;&gt;""),COUNTIFS($K$9:$K$59,$N58,$L$9:$L$59,AB$8),0)</f>
        <v>0</v>
      </c>
      <c r="AC58" s="175">
        <f t="array" ref="AC58">IF(AND($N58&lt;&gt;"",AC$8&lt;&gt;""),COUNTIFS($K$9:$K$59,$N58,$L$9:$L$59,AC$8),0)</f>
        <v>0</v>
      </c>
      <c r="AD58" s="175">
        <f t="array" ref="AD58">IF(AND($N58&lt;&gt;"",AD$8&lt;&gt;""),COUNTIFS($K$9:$K$59,$N58,$L$9:$L$59,AD$8),0)</f>
        <v>0</v>
      </c>
      <c r="AE58" s="175">
        <f t="array" ref="AE58">IF(AND($N58&lt;&gt;"",AE$8&lt;&gt;""),COUNTIFS($K$9:$K$59,$N58,$L$9:$L$59,AE$8),0)</f>
        <v>0</v>
      </c>
      <c r="AF58" s="175">
        <f t="array" ref="AF58">IF(AND($N58&lt;&gt;"",AF$8&lt;&gt;""),COUNTIFS($K$9:$K$59,$N58,$L$9:$L$59,AF$8),0)</f>
        <v>0</v>
      </c>
      <c r="AG58" s="175">
        <f t="array" ref="AG58">IF(AND($N58&lt;&gt;"",AG$8&lt;&gt;""),COUNTIFS($K$9:$K$59,$N58,$L$9:$L$59,AG$8),0)</f>
        <v>0</v>
      </c>
      <c r="AH58" s="175">
        <f t="array" ref="AH58">IF(AND($N58&lt;&gt;"",AH$8&lt;&gt;""),COUNTIFS($K$9:$K$59,$N58,$L$9:$L$59,AH$8),0)</f>
        <v>0</v>
      </c>
      <c r="AI58" s="175">
        <f t="array" ref="AI58">IF(AND($N58&lt;&gt;"",AI$8&lt;&gt;""),COUNTIFS($K$9:$K$59,$N58,$L$9:$L$59,AI$8),0)</f>
        <v>0</v>
      </c>
      <c r="AJ58" s="175">
        <f t="array" ref="AJ58">IF(AND($N58&lt;&gt;"",AJ$8&lt;&gt;""),COUNTIFS($K$9:$K$59,$N58,$L$9:$L$59,AJ$8),0)</f>
        <v>0</v>
      </c>
      <c r="AK58" s="175">
        <f t="array" ref="AK58">IF(AND($N58&lt;&gt;"",AK$8&lt;&gt;""),COUNTIFS($K$9:$K$59,$N58,$L$9:$L$59,AK$8),0)</f>
        <v>0</v>
      </c>
      <c r="AL58" s="175">
        <f t="array" ref="AL58">IF(AND($N58&lt;&gt;"",AL$8&lt;&gt;""),COUNTIFS($K$9:$K$59,$N58,$L$9:$L$59,AL$8),0)</f>
        <v>0</v>
      </c>
      <c r="AM58" s="175">
        <f t="array" ref="AM58">IF(AND($N58&lt;&gt;"",AM$8&lt;&gt;""),COUNTIFS($K$9:$K$59,$N58,$L$9:$L$59,AM$8),0)</f>
        <v>0</v>
      </c>
      <c r="AN58" s="175">
        <f t="array" ref="AN58">IF(AND($N58&lt;&gt;"",AN$8&lt;&gt;""),COUNTIFS($K$9:$K$59,$N58,$L$9:$L$59,AN$8),0)</f>
        <v>0</v>
      </c>
      <c r="AO58" s="175">
        <f t="array" ref="AO58">IF(AND($N58&lt;&gt;"",AO$8&lt;&gt;""),COUNTIFS($K$9:$K$59,$N58,$L$9:$L$59,AO$8),0)</f>
        <v>0</v>
      </c>
      <c r="AP58" s="175">
        <f t="array" ref="AP58">IF(AND($N58&lt;&gt;"",AP$8&lt;&gt;""),COUNTIFS($K$9:$K$59,$N58,$L$9:$L$59,AP$8),0)</f>
        <v>0</v>
      </c>
      <c r="AQ58" s="175">
        <f t="array" ref="AQ58">IF(AND($N58&lt;&gt;"",AQ$8&lt;&gt;""),COUNTIFS($K$9:$K$59,$N58,$L$9:$L$59,AQ$8),0)</f>
        <v>0</v>
      </c>
      <c r="AR58" s="175">
        <f t="array" ref="AR58">IF(AND($N58&lt;&gt;"",AR$8&lt;&gt;""),COUNTIFS($K$9:$K$59,$N58,$L$9:$L$59,AR$8),0)</f>
        <v>0</v>
      </c>
      <c r="AS58" s="175">
        <f t="array" ref="AS58">IF(AND($N58&lt;&gt;"",AS$8&lt;&gt;""),COUNTIFS($K$9:$K$59,$N58,$L$9:$L$59,AS$8),0)</f>
        <v>0</v>
      </c>
      <c r="AT58" s="175">
        <f t="array" ref="AT58">IF(AND($N58&lt;&gt;"",AT$8&lt;&gt;""),COUNTIFS($K$9:$K$59,$N58,$L$9:$L$59,AT$8),0)</f>
        <v>0</v>
      </c>
      <c r="AU58" s="175">
        <f t="array" ref="AU58">IF(AND($N58&lt;&gt;"",AU$8&lt;&gt;""),COUNTIFS($K$9:$K$59,$N58,$L$9:$L$59,AU$8),0)</f>
        <v>0</v>
      </c>
      <c r="AV58" s="175">
        <f t="array" ref="AV58">IF(AND($N58&lt;&gt;"",AV$8&lt;&gt;""),COUNTIFS($K$9:$K$59,$N58,$L$9:$L$59,AV$8),0)</f>
        <v>0</v>
      </c>
      <c r="AW58" s="175">
        <f t="array" ref="AW58">IF(AND($N58&lt;&gt;"",AW$8&lt;&gt;""),COUNTIFS($K$9:$K$59,$N58,$L$9:$L$59,AW$8),0)</f>
        <v>0</v>
      </c>
      <c r="AX58" s="175">
        <f t="array" ref="AX58">IF(AND($N58&lt;&gt;"",AX$8&lt;&gt;""),COUNTIFS($K$9:$K$59,$N58,$L$9:$L$59,AX$8),0)</f>
        <v>0</v>
      </c>
      <c r="AY58" s="175">
        <f t="array" ref="AY58">IF(AND($N58&lt;&gt;"",AY$8&lt;&gt;""),COUNTIFS($K$9:$K$59,$N58,$L$9:$L$59,AY$8),0)</f>
        <v>0</v>
      </c>
      <c r="AZ58" s="175">
        <f t="array" ref="AZ58">IF(AND($N58&lt;&gt;"",AZ$8&lt;&gt;""),COUNTIFS($K$9:$K$59,$N58,$L$9:$L$59,AZ$8),0)</f>
        <v>0</v>
      </c>
      <c r="BA58" s="175">
        <f t="array" ref="BA58">IF(AND($N58&lt;&gt;"",BA$8&lt;&gt;""),COUNTIFS($K$9:$K$59,$N58,$L$9:$L$59,BA$8),0)</f>
        <v>0</v>
      </c>
      <c r="BB58" s="175">
        <f t="array" ref="BB58">IF(AND($N58&lt;&gt;"",BB$8&lt;&gt;""),COUNTIFS($K$9:$K$59,$N58,$L$9:$L$59,BB$8),0)</f>
        <v>0</v>
      </c>
      <c r="BC58" s="175">
        <f t="array" ref="BC58">IF(AND($N58&lt;&gt;"",BC$8&lt;&gt;""),COUNTIFS($K$9:$K$59,$N58,$L$9:$L$59,BC$8),0)</f>
        <v>0</v>
      </c>
      <c r="BD58" s="175">
        <f t="array" ref="BD58">IF(AND($N58&lt;&gt;"",BD$8&lt;&gt;""),COUNTIFS($K$9:$K$59,$N58,$L$9:$L$59,BD$8),0)</f>
        <v>0</v>
      </c>
      <c r="BE58" s="175">
        <f t="array" ref="BE58">IF(AND($N58&lt;&gt;"",BE$8&lt;&gt;""),COUNTIFS($K$9:$K$59,$N58,$L$9:$L$59,BE$8),0)</f>
        <v>0</v>
      </c>
      <c r="BF58" s="175">
        <f t="array" ref="BF58">IF(AND($N58&lt;&gt;"",BF$8&lt;&gt;""),COUNTIFS($K$9:$K$59,$N58,$L$9:$L$59,BF$8),0)</f>
        <v>0</v>
      </c>
      <c r="BG58" s="175">
        <f t="array" ref="BG58">IF(AND($N58&lt;&gt;"",BG$8&lt;&gt;""),COUNTIFS($K$9:$K$59,$N58,$L$9:$L$59,BG$8),0)</f>
        <v>0</v>
      </c>
      <c r="BH58" s="175">
        <f t="array" ref="BH58">IF(AND($N58&lt;&gt;"",BH$8&lt;&gt;""),COUNTIFS($K$9:$K$59,$N58,$L$9:$L$59,BH$8),0)</f>
        <v>0</v>
      </c>
      <c r="BI58" s="175">
        <f t="array" ref="BI58">IF(AND($N58&lt;&gt;"",BI$8&lt;&gt;""),COUNTIFS($K$9:$K$59,$N58,$L$9:$L$59,BI$8),0)</f>
        <v>0</v>
      </c>
      <c r="BJ58" s="175">
        <f t="array" ref="BJ58">IF(AND($N58&lt;&gt;"",BJ$8&lt;&gt;""),COUNTIFS($K$9:$K$59,$N58,$L$9:$L$59,BJ$8),0)</f>
        <v>0</v>
      </c>
      <c r="BK58" s="175">
        <f t="array" ref="BK58">IF(AND($N58&lt;&gt;"",BK$8&lt;&gt;""),COUNTIFS($K$9:$K$59,$N58,$L$9:$L$59,BK$8),0)</f>
        <v>0</v>
      </c>
      <c r="BL58" s="175">
        <f t="array" ref="BL58">IF(AND($N58&lt;&gt;"",BL$8&lt;&gt;""),COUNTIFS($K$9:$K$59,$N58,$L$9:$L$59,BL$8),0)</f>
        <v>0</v>
      </c>
    </row>
    <row r="59" spans="2:64" s="22" customFormat="1" x14ac:dyDescent="0.2"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</row>
    <row r="60" spans="2:64" s="22" customFormat="1" x14ac:dyDescent="0.2">
      <c r="C60" s="370" t="s">
        <v>468</v>
      </c>
      <c r="D60" s="370"/>
      <c r="E60" s="370"/>
      <c r="F60" s="370"/>
      <c r="N60" s="372" t="s">
        <v>480</v>
      </c>
      <c r="O60" s="186" t="str">
        <f t="shared" ref="O60" si="4">IFERROR(RIGHT(O8,LEN(O8)-SEARCH(" ",O8,19)),"")</f>
        <v/>
      </c>
      <c r="P60" s="186" t="str">
        <f>IFERROR(RIGHT(P8,LEN(P8)-SEARCH(" ",P8,19)),"")</f>
        <v/>
      </c>
      <c r="Q60" s="186" t="str">
        <f t="shared" ref="Q60:BL60" si="5">IFERROR(RIGHT(Q8,LEN(Q8)-SEARCH(" ",Q8,19)),"")</f>
        <v/>
      </c>
      <c r="R60" s="186" t="str">
        <f t="shared" si="5"/>
        <v/>
      </c>
      <c r="S60" s="186" t="str">
        <f t="shared" si="5"/>
        <v/>
      </c>
      <c r="T60" s="186" t="str">
        <f t="shared" si="5"/>
        <v/>
      </c>
      <c r="U60" s="186" t="str">
        <f t="shared" si="5"/>
        <v/>
      </c>
      <c r="V60" s="186" t="str">
        <f t="shared" si="5"/>
        <v/>
      </c>
      <c r="W60" s="186" t="str">
        <f t="shared" si="5"/>
        <v/>
      </c>
      <c r="X60" s="186" t="str">
        <f t="shared" si="5"/>
        <v/>
      </c>
      <c r="Y60" s="186" t="str">
        <f t="shared" si="5"/>
        <v/>
      </c>
      <c r="Z60" s="186" t="str">
        <f t="shared" si="5"/>
        <v/>
      </c>
      <c r="AA60" s="186" t="str">
        <f t="shared" si="5"/>
        <v/>
      </c>
      <c r="AB60" s="186" t="str">
        <f t="shared" si="5"/>
        <v/>
      </c>
      <c r="AC60" s="186" t="str">
        <f t="shared" si="5"/>
        <v/>
      </c>
      <c r="AD60" s="186" t="str">
        <f t="shared" si="5"/>
        <v/>
      </c>
      <c r="AE60" s="186" t="str">
        <f t="shared" si="5"/>
        <v/>
      </c>
      <c r="AF60" s="186" t="str">
        <f t="shared" si="5"/>
        <v/>
      </c>
      <c r="AG60" s="186" t="str">
        <f t="shared" si="5"/>
        <v/>
      </c>
      <c r="AH60" s="186" t="str">
        <f t="shared" si="5"/>
        <v/>
      </c>
      <c r="AI60" s="186" t="str">
        <f t="shared" si="5"/>
        <v/>
      </c>
      <c r="AJ60" s="186" t="str">
        <f t="shared" si="5"/>
        <v/>
      </c>
      <c r="AK60" s="186" t="str">
        <f t="shared" si="5"/>
        <v/>
      </c>
      <c r="AL60" s="186" t="str">
        <f t="shared" si="5"/>
        <v/>
      </c>
      <c r="AM60" s="186" t="str">
        <f t="shared" si="5"/>
        <v/>
      </c>
      <c r="AN60" s="186" t="str">
        <f t="shared" si="5"/>
        <v/>
      </c>
      <c r="AO60" s="186" t="str">
        <f t="shared" si="5"/>
        <v/>
      </c>
      <c r="AP60" s="186" t="str">
        <f t="shared" si="5"/>
        <v/>
      </c>
      <c r="AQ60" s="186" t="str">
        <f t="shared" si="5"/>
        <v/>
      </c>
      <c r="AR60" s="186" t="str">
        <f t="shared" si="5"/>
        <v/>
      </c>
      <c r="AS60" s="186" t="str">
        <f t="shared" si="5"/>
        <v/>
      </c>
      <c r="AT60" s="186" t="str">
        <f t="shared" si="5"/>
        <v/>
      </c>
      <c r="AU60" s="186" t="str">
        <f t="shared" si="5"/>
        <v/>
      </c>
      <c r="AV60" s="186" t="str">
        <f t="shared" si="5"/>
        <v/>
      </c>
      <c r="AW60" s="186" t="str">
        <f t="shared" si="5"/>
        <v/>
      </c>
      <c r="AX60" s="186" t="str">
        <f t="shared" si="5"/>
        <v/>
      </c>
      <c r="AY60" s="186" t="str">
        <f t="shared" si="5"/>
        <v/>
      </c>
      <c r="AZ60" s="186" t="str">
        <f t="shared" si="5"/>
        <v/>
      </c>
      <c r="BA60" s="186" t="str">
        <f t="shared" si="5"/>
        <v/>
      </c>
      <c r="BB60" s="186" t="str">
        <f t="shared" si="5"/>
        <v/>
      </c>
      <c r="BC60" s="186" t="str">
        <f t="shared" si="5"/>
        <v/>
      </c>
      <c r="BD60" s="186" t="str">
        <f t="shared" si="5"/>
        <v/>
      </c>
      <c r="BE60" s="186" t="str">
        <f t="shared" si="5"/>
        <v/>
      </c>
      <c r="BF60" s="186" t="str">
        <f t="shared" si="5"/>
        <v/>
      </c>
      <c r="BG60" s="186" t="str">
        <f t="shared" si="5"/>
        <v/>
      </c>
      <c r="BH60" s="186" t="str">
        <f t="shared" si="5"/>
        <v/>
      </c>
      <c r="BI60" s="186" t="str">
        <f t="shared" si="5"/>
        <v/>
      </c>
      <c r="BJ60" s="186" t="str">
        <f t="shared" si="5"/>
        <v/>
      </c>
      <c r="BK60" s="186" t="str">
        <f t="shared" si="5"/>
        <v/>
      </c>
      <c r="BL60" s="186" t="str">
        <f t="shared" si="5"/>
        <v/>
      </c>
    </row>
    <row r="61" spans="2:64" s="22" customFormat="1" x14ac:dyDescent="0.2">
      <c r="C61" s="370" t="s">
        <v>509</v>
      </c>
      <c r="D61" s="371"/>
      <c r="E61" s="370" t="s">
        <v>510</v>
      </c>
      <c r="F61" s="371"/>
      <c r="N61" s="372"/>
      <c r="O61" s="186" t="str">
        <f t="shared" ref="O61:T61" si="6">IF(O8&lt;&gt;"",SUBSTITUTE(MID(O8,1,SEARCH(" ",O8,19)-1)&amp;".","Flex","Porta Flexidoor"),"")</f>
        <v/>
      </c>
      <c r="P61" s="185" t="str">
        <f t="shared" si="6"/>
        <v/>
      </c>
      <c r="Q61" s="185" t="str">
        <f t="shared" si="6"/>
        <v/>
      </c>
      <c r="R61" s="185" t="str">
        <f t="shared" si="6"/>
        <v/>
      </c>
      <c r="S61" s="185" t="str">
        <f t="shared" si="6"/>
        <v/>
      </c>
      <c r="T61" s="185" t="str">
        <f t="shared" si="6"/>
        <v/>
      </c>
      <c r="U61" s="185" t="str">
        <f>IF(U8&lt;&gt;"",SUBSTITUTE(MID(U8,1,SEARCH(" ",U8,19)-1)&amp;".","Flex","Porta Flexidoor"),"")</f>
        <v/>
      </c>
      <c r="V61" s="185" t="str">
        <f t="shared" ref="V61:BL61" si="7">IF(V8&lt;&gt;"",SUBSTITUTE(MID(V8,1,SEARCH(" ",V8,19)-1)&amp;".","Flex","Porta Flexidoor"),"")</f>
        <v/>
      </c>
      <c r="W61" s="185" t="str">
        <f t="shared" si="7"/>
        <v/>
      </c>
      <c r="X61" s="185" t="str">
        <f t="shared" si="7"/>
        <v/>
      </c>
      <c r="Y61" s="185" t="str">
        <f t="shared" si="7"/>
        <v/>
      </c>
      <c r="Z61" s="185" t="str">
        <f t="shared" si="7"/>
        <v/>
      </c>
      <c r="AA61" s="185" t="str">
        <f t="shared" si="7"/>
        <v/>
      </c>
      <c r="AB61" s="185" t="str">
        <f t="shared" si="7"/>
        <v/>
      </c>
      <c r="AC61" s="185" t="str">
        <f t="shared" si="7"/>
        <v/>
      </c>
      <c r="AD61" s="185" t="str">
        <f t="shared" si="7"/>
        <v/>
      </c>
      <c r="AE61" s="185" t="str">
        <f t="shared" si="7"/>
        <v/>
      </c>
      <c r="AF61" s="185" t="str">
        <f t="shared" si="7"/>
        <v/>
      </c>
      <c r="AG61" s="185" t="str">
        <f t="shared" si="7"/>
        <v/>
      </c>
      <c r="AH61" s="185" t="str">
        <f t="shared" si="7"/>
        <v/>
      </c>
      <c r="AI61" s="185" t="str">
        <f t="shared" si="7"/>
        <v/>
      </c>
      <c r="AJ61" s="185" t="str">
        <f t="shared" si="7"/>
        <v/>
      </c>
      <c r="AK61" s="185" t="str">
        <f t="shared" si="7"/>
        <v/>
      </c>
      <c r="AL61" s="185" t="str">
        <f t="shared" si="7"/>
        <v/>
      </c>
      <c r="AM61" s="185" t="str">
        <f t="shared" si="7"/>
        <v/>
      </c>
      <c r="AN61" s="185" t="str">
        <f t="shared" si="7"/>
        <v/>
      </c>
      <c r="AO61" s="185" t="str">
        <f t="shared" si="7"/>
        <v/>
      </c>
      <c r="AP61" s="185" t="str">
        <f t="shared" si="7"/>
        <v/>
      </c>
      <c r="AQ61" s="185" t="str">
        <f t="shared" si="7"/>
        <v/>
      </c>
      <c r="AR61" s="185" t="str">
        <f t="shared" si="7"/>
        <v/>
      </c>
      <c r="AS61" s="185" t="str">
        <f t="shared" si="7"/>
        <v/>
      </c>
      <c r="AT61" s="185" t="str">
        <f t="shared" si="7"/>
        <v/>
      </c>
      <c r="AU61" s="185" t="str">
        <f t="shared" si="7"/>
        <v/>
      </c>
      <c r="AV61" s="185" t="str">
        <f t="shared" si="7"/>
        <v/>
      </c>
      <c r="AW61" s="185" t="str">
        <f t="shared" si="7"/>
        <v/>
      </c>
      <c r="AX61" s="185" t="str">
        <f t="shared" si="7"/>
        <v/>
      </c>
      <c r="AY61" s="185" t="str">
        <f t="shared" si="7"/>
        <v/>
      </c>
      <c r="AZ61" s="185" t="str">
        <f t="shared" si="7"/>
        <v/>
      </c>
      <c r="BA61" s="185" t="str">
        <f t="shared" si="7"/>
        <v/>
      </c>
      <c r="BB61" s="185" t="str">
        <f t="shared" si="7"/>
        <v/>
      </c>
      <c r="BC61" s="185" t="str">
        <f t="shared" si="7"/>
        <v/>
      </c>
      <c r="BD61" s="185" t="str">
        <f t="shared" si="7"/>
        <v/>
      </c>
      <c r="BE61" s="185" t="str">
        <f t="shared" si="7"/>
        <v/>
      </c>
      <c r="BF61" s="185" t="str">
        <f t="shared" si="7"/>
        <v/>
      </c>
      <c r="BG61" s="185" t="str">
        <f t="shared" si="7"/>
        <v/>
      </c>
      <c r="BH61" s="185" t="str">
        <f t="shared" si="7"/>
        <v/>
      </c>
      <c r="BI61" s="185" t="str">
        <f t="shared" si="7"/>
        <v/>
      </c>
      <c r="BJ61" s="185" t="str">
        <f t="shared" si="7"/>
        <v/>
      </c>
      <c r="BK61" s="185" t="str">
        <f t="shared" si="7"/>
        <v/>
      </c>
      <c r="BL61" s="185" t="str">
        <f t="shared" si="7"/>
        <v/>
      </c>
    </row>
    <row r="62" spans="2:64" s="22" customFormat="1" x14ac:dyDescent="0.2">
      <c r="C62" s="116" t="s">
        <v>34</v>
      </c>
      <c r="D62" s="116" t="s">
        <v>35</v>
      </c>
      <c r="E62" s="116" t="s">
        <v>34</v>
      </c>
      <c r="F62" s="116" t="s">
        <v>35</v>
      </c>
      <c r="N62" s="372"/>
      <c r="O62" s="186">
        <f>SUM(O9:O58)</f>
        <v>0</v>
      </c>
      <c r="P62" s="185">
        <f t="shared" ref="P62:BL62" si="8">SUM(P9:P58)</f>
        <v>0</v>
      </c>
      <c r="Q62" s="185">
        <f t="shared" si="8"/>
        <v>0</v>
      </c>
      <c r="R62" s="185">
        <f t="shared" si="8"/>
        <v>0</v>
      </c>
      <c r="S62" s="185">
        <f t="shared" si="8"/>
        <v>0</v>
      </c>
      <c r="T62" s="185">
        <f t="shared" si="8"/>
        <v>0</v>
      </c>
      <c r="U62" s="185">
        <f t="shared" si="8"/>
        <v>0</v>
      </c>
      <c r="V62" s="185">
        <f t="shared" si="8"/>
        <v>0</v>
      </c>
      <c r="W62" s="185">
        <f t="shared" si="8"/>
        <v>0</v>
      </c>
      <c r="X62" s="185">
        <f t="shared" si="8"/>
        <v>0</v>
      </c>
      <c r="Y62" s="185">
        <f t="shared" si="8"/>
        <v>0</v>
      </c>
      <c r="Z62" s="185">
        <f t="shared" si="8"/>
        <v>0</v>
      </c>
      <c r="AA62" s="185">
        <f t="shared" si="8"/>
        <v>0</v>
      </c>
      <c r="AB62" s="185">
        <f t="shared" si="8"/>
        <v>0</v>
      </c>
      <c r="AC62" s="185">
        <f t="shared" si="8"/>
        <v>0</v>
      </c>
      <c r="AD62" s="185">
        <f t="shared" si="8"/>
        <v>0</v>
      </c>
      <c r="AE62" s="185">
        <f t="shared" si="8"/>
        <v>0</v>
      </c>
      <c r="AF62" s="185">
        <f t="shared" si="8"/>
        <v>0</v>
      </c>
      <c r="AG62" s="185">
        <f t="shared" si="8"/>
        <v>0</v>
      </c>
      <c r="AH62" s="185">
        <f t="shared" si="8"/>
        <v>0</v>
      </c>
      <c r="AI62" s="185">
        <f t="shared" si="8"/>
        <v>0</v>
      </c>
      <c r="AJ62" s="185">
        <f t="shared" si="8"/>
        <v>0</v>
      </c>
      <c r="AK62" s="185">
        <f t="shared" si="8"/>
        <v>0</v>
      </c>
      <c r="AL62" s="185">
        <f t="shared" si="8"/>
        <v>0</v>
      </c>
      <c r="AM62" s="185">
        <f t="shared" si="8"/>
        <v>0</v>
      </c>
      <c r="AN62" s="185">
        <f t="shared" si="8"/>
        <v>0</v>
      </c>
      <c r="AO62" s="185">
        <f t="shared" si="8"/>
        <v>0</v>
      </c>
      <c r="AP62" s="185">
        <f t="shared" si="8"/>
        <v>0</v>
      </c>
      <c r="AQ62" s="185">
        <f t="shared" si="8"/>
        <v>0</v>
      </c>
      <c r="AR62" s="185">
        <f t="shared" si="8"/>
        <v>0</v>
      </c>
      <c r="AS62" s="185">
        <f t="shared" si="8"/>
        <v>0</v>
      </c>
      <c r="AT62" s="185">
        <f t="shared" si="8"/>
        <v>0</v>
      </c>
      <c r="AU62" s="185">
        <f t="shared" si="8"/>
        <v>0</v>
      </c>
      <c r="AV62" s="185">
        <f t="shared" si="8"/>
        <v>0</v>
      </c>
      <c r="AW62" s="185">
        <f t="shared" si="8"/>
        <v>0</v>
      </c>
      <c r="AX62" s="185">
        <f t="shared" si="8"/>
        <v>0</v>
      </c>
      <c r="AY62" s="185">
        <f t="shared" si="8"/>
        <v>0</v>
      </c>
      <c r="AZ62" s="185">
        <f t="shared" si="8"/>
        <v>0</v>
      </c>
      <c r="BA62" s="185">
        <f t="shared" si="8"/>
        <v>0</v>
      </c>
      <c r="BB62" s="185">
        <f t="shared" si="8"/>
        <v>0</v>
      </c>
      <c r="BC62" s="185">
        <f t="shared" si="8"/>
        <v>0</v>
      </c>
      <c r="BD62" s="185">
        <f t="shared" si="8"/>
        <v>0</v>
      </c>
      <c r="BE62" s="185">
        <f t="shared" si="8"/>
        <v>0</v>
      </c>
      <c r="BF62" s="185">
        <f t="shared" si="8"/>
        <v>0</v>
      </c>
      <c r="BG62" s="185">
        <f t="shared" si="8"/>
        <v>0</v>
      </c>
      <c r="BH62" s="185">
        <f t="shared" si="8"/>
        <v>0</v>
      </c>
      <c r="BI62" s="185">
        <f t="shared" si="8"/>
        <v>0</v>
      </c>
      <c r="BJ62" s="185">
        <f t="shared" si="8"/>
        <v>0</v>
      </c>
      <c r="BK62" s="185">
        <f t="shared" si="8"/>
        <v>0</v>
      </c>
      <c r="BL62" s="185">
        <f t="shared" si="8"/>
        <v>0</v>
      </c>
    </row>
    <row r="63" spans="2:64" s="22" customFormat="1" x14ac:dyDescent="0.2">
      <c r="C63" s="116">
        <v>70</v>
      </c>
      <c r="D63" s="116">
        <v>180</v>
      </c>
      <c r="E63" s="116">
        <v>80</v>
      </c>
      <c r="F63" s="116">
        <v>180</v>
      </c>
      <c r="N63" s="372"/>
      <c r="O63" s="186" t="str">
        <f t="array" ref="O63">IFERROR(JUNTARTEXTO(", ",TRUE,IF(O9:O59&gt;0,O9:O59&amp;"x "&amp;$N$9:$N$59,"")),"")</f>
        <v/>
      </c>
      <c r="P63" s="185" t="str">
        <f t="array" ref="P63">IFERROR(JUNTARTEXTO(", ",TRUE,IF(P9:P59&gt;0,P9:P59&amp;"x "&amp;$N$9:$N$59,"")),"")</f>
        <v/>
      </c>
      <c r="Q63" s="185" t="str">
        <f t="array" ref="Q63">IFERROR(JUNTARTEXTO(", ",TRUE,IF(Q9:Q59&gt;0,Q9:Q59&amp;"x "&amp;$N$9:$N$59,"")),"")</f>
        <v/>
      </c>
      <c r="R63" s="185" t="str">
        <f t="array" ref="R63">IFERROR(JUNTARTEXTO(", ",TRUE,IF(R9:R59&gt;0,R9:R59&amp;"x "&amp;$N$9:$N$59,"")),"")</f>
        <v/>
      </c>
      <c r="S63" s="185" t="str">
        <f t="array" ref="S63">IFERROR(JUNTARTEXTO(", ",TRUE,IF(S9:S59&gt;0,S9:S59&amp;"x "&amp;$N$9:$N$59,"")),"")</f>
        <v/>
      </c>
      <c r="T63" s="185" t="str">
        <f t="array" ref="T63">IFERROR(JUNTARTEXTO(", ",TRUE,IF(T9:T59&gt;0,T9:T59&amp;"x "&amp;$N$9:$N$59,"")),"")</f>
        <v/>
      </c>
      <c r="U63" s="185" t="str">
        <f t="array" ref="U63">IFERROR(JUNTARTEXTO(", ",TRUE,IF(U9:U59&gt;0,U9:U59&amp;"x "&amp;$N$9:$N$59,"")),"")</f>
        <v/>
      </c>
      <c r="V63" s="185" t="str">
        <f t="array" ref="V63">IFERROR(JUNTARTEXTO(", ",TRUE,IF(V9:V59&gt;0,V9:V59&amp;"x "&amp;$N$9:$N$59,"")),"")</f>
        <v/>
      </c>
      <c r="W63" s="185" t="str">
        <f t="array" ref="W63">IFERROR(JUNTARTEXTO(", ",TRUE,IF(W9:W59&gt;0,W9:W59&amp;"x "&amp;$N$9:$N$59,"")),"")</f>
        <v/>
      </c>
      <c r="X63" s="185" t="str">
        <f t="array" ref="X63">IFERROR(JUNTARTEXTO(", ",TRUE,IF(X9:X59&gt;0,X9:X59&amp;"x "&amp;$N$9:$N$59,"")),"")</f>
        <v/>
      </c>
      <c r="Y63" s="185" t="str">
        <f t="array" ref="Y63">IFERROR(JUNTARTEXTO(", ",TRUE,IF(Y9:Y59&gt;0,Y9:Y59&amp;"x "&amp;$N$9:$N$59,"")),"")</f>
        <v/>
      </c>
      <c r="Z63" s="185" t="str">
        <f t="array" ref="Z63">IFERROR(JUNTARTEXTO(", ",TRUE,IF(Z9:Z59&gt;0,Z9:Z59&amp;"x "&amp;$N$9:$N$59,"")),"")</f>
        <v/>
      </c>
      <c r="AA63" s="185" t="str">
        <f t="array" ref="AA63">IFERROR(JUNTARTEXTO(", ",TRUE,IF(AA9:AA59&gt;0,AA9:AA59&amp;"x "&amp;$N$9:$N$59,"")),"")</f>
        <v/>
      </c>
      <c r="AB63" s="185" t="str">
        <f t="array" ref="AB63">IFERROR(JUNTARTEXTO(", ",TRUE,IF(AB9:AB59&gt;0,AB9:AB59&amp;"x "&amp;$N$9:$N$59,"")),"")</f>
        <v/>
      </c>
      <c r="AC63" s="185" t="str">
        <f t="array" ref="AC63">IFERROR(JUNTARTEXTO(", ",TRUE,IF(AC9:AC59&gt;0,AC9:AC59&amp;"x "&amp;$N$9:$N$59,"")),"")</f>
        <v/>
      </c>
      <c r="AD63" s="185" t="str">
        <f t="array" ref="AD63">IFERROR(JUNTARTEXTO(", ",TRUE,IF(AD9:AD59&gt;0,AD9:AD59&amp;"x "&amp;$N$9:$N$59,"")),"")</f>
        <v/>
      </c>
      <c r="AE63" s="185" t="str">
        <f t="array" ref="AE63">IFERROR(JUNTARTEXTO(", ",TRUE,IF(AE9:AE59&gt;0,AE9:AE59&amp;"x "&amp;$N$9:$N$59,"")),"")</f>
        <v/>
      </c>
      <c r="AF63" s="185" t="str">
        <f t="array" ref="AF63">IFERROR(JUNTARTEXTO(", ",TRUE,IF(AF9:AF59&gt;0,AF9:AF59&amp;"x "&amp;$N$9:$N$59,"")),"")</f>
        <v/>
      </c>
      <c r="AG63" s="185" t="str">
        <f t="array" ref="AG63">IFERROR(JUNTARTEXTO(", ",TRUE,IF(AG9:AG59&gt;0,AG9:AG59&amp;"x "&amp;$N$9:$N$59,"")),"")</f>
        <v/>
      </c>
      <c r="AH63" s="185" t="str">
        <f t="array" ref="AH63">IFERROR(JUNTARTEXTO(", ",TRUE,IF(AH9:AH59&gt;0,AH9:AH59&amp;"x "&amp;$N$9:$N$59,"")),"")</f>
        <v/>
      </c>
      <c r="AI63" s="185" t="str">
        <f t="array" ref="AI63">IFERROR(JUNTARTEXTO(", ",TRUE,IF(AI9:AI59&gt;0,AI9:AI59&amp;"x "&amp;$N$9:$N$59,"")),"")</f>
        <v/>
      </c>
      <c r="AJ63" s="185" t="str">
        <f t="array" ref="AJ63">IFERROR(JUNTARTEXTO(", ",TRUE,IF(AJ9:AJ59&gt;0,AJ9:AJ59&amp;"x "&amp;$N$9:$N$59,"")),"")</f>
        <v/>
      </c>
      <c r="AK63" s="185" t="str">
        <f t="array" ref="AK63">IFERROR(JUNTARTEXTO(", ",TRUE,IF(AK9:AK59&gt;0,AK9:AK59&amp;"x "&amp;$N$9:$N$59,"")),"")</f>
        <v/>
      </c>
      <c r="AL63" s="185" t="str">
        <f t="array" ref="AL63">IFERROR(JUNTARTEXTO(", ",TRUE,IF(AL9:AL59&gt;0,AL9:AL59&amp;"x "&amp;$N$9:$N$59,"")),"")</f>
        <v/>
      </c>
      <c r="AM63" s="185" t="str">
        <f t="array" ref="AM63">IFERROR(JUNTARTEXTO(", ",TRUE,IF(AM9:AM59&gt;0,AM9:AM59&amp;"x "&amp;$N$9:$N$59,"")),"")</f>
        <v/>
      </c>
      <c r="AN63" s="185" t="str">
        <f t="array" ref="AN63">IFERROR(JUNTARTEXTO(", ",TRUE,IF(AN9:AN59&gt;0,AN9:AN59&amp;"x "&amp;$N$9:$N$59,"")),"")</f>
        <v/>
      </c>
      <c r="AO63" s="185" t="str">
        <f t="array" ref="AO63">IFERROR(JUNTARTEXTO(", ",TRUE,IF(AO9:AO59&gt;0,AO9:AO59&amp;"x "&amp;$N$9:$N$59,"")),"")</f>
        <v/>
      </c>
      <c r="AP63" s="185" t="str">
        <f t="array" ref="AP63">IFERROR(JUNTARTEXTO(", ",TRUE,IF(AP9:AP59&gt;0,AP9:AP59&amp;"x "&amp;$N$9:$N$59,"")),"")</f>
        <v/>
      </c>
      <c r="AQ63" s="185" t="str">
        <f t="array" ref="AQ63">IFERROR(JUNTARTEXTO(", ",TRUE,IF(AQ9:AQ59&gt;0,AQ9:AQ59&amp;"x "&amp;$N$9:$N$59,"")),"")</f>
        <v/>
      </c>
      <c r="AR63" s="185" t="str">
        <f t="array" ref="AR63">IFERROR(JUNTARTEXTO(", ",TRUE,IF(AR9:AR59&gt;0,AR9:AR59&amp;"x "&amp;$N$9:$N$59,"")),"")</f>
        <v/>
      </c>
      <c r="AS63" s="185" t="str">
        <f t="array" ref="AS63">IFERROR(JUNTARTEXTO(", ",TRUE,IF(AS9:AS59&gt;0,AS9:AS59&amp;"x "&amp;$N$9:$N$59,"")),"")</f>
        <v/>
      </c>
      <c r="AT63" s="185" t="str">
        <f t="array" ref="AT63">IFERROR(JUNTARTEXTO(", ",TRUE,IF(AT9:AT59&gt;0,AT9:AT59&amp;"x "&amp;$N$9:$N$59,"")),"")</f>
        <v/>
      </c>
      <c r="AU63" s="185" t="str">
        <f t="array" ref="AU63">IFERROR(JUNTARTEXTO(", ",TRUE,IF(AU9:AU59&gt;0,AU9:AU59&amp;"x "&amp;$N$9:$N$59,"")),"")</f>
        <v/>
      </c>
      <c r="AV63" s="185" t="str">
        <f t="array" ref="AV63">IFERROR(JUNTARTEXTO(", ",TRUE,IF(AV9:AV59&gt;0,AV9:AV59&amp;"x "&amp;$N$9:$N$59,"")),"")</f>
        <v/>
      </c>
      <c r="AW63" s="185" t="str">
        <f t="array" ref="AW63">IFERROR(JUNTARTEXTO(", ",TRUE,IF(AW9:AW59&gt;0,AW9:AW59&amp;"x "&amp;$N$9:$N$59,"")),"")</f>
        <v/>
      </c>
      <c r="AX63" s="185" t="str">
        <f t="array" ref="AX63">IFERROR(JUNTARTEXTO(", ",TRUE,IF(AX9:AX59&gt;0,AX9:AX59&amp;"x "&amp;$N$9:$N$59,"")),"")</f>
        <v/>
      </c>
      <c r="AY63" s="185" t="str">
        <f t="array" ref="AY63">IFERROR(JUNTARTEXTO(", ",TRUE,IF(AY9:AY59&gt;0,AY9:AY59&amp;"x "&amp;$N$9:$N$59,"")),"")</f>
        <v/>
      </c>
      <c r="AZ63" s="185" t="str">
        <f t="array" ref="AZ63">IFERROR(JUNTARTEXTO(", ",TRUE,IF(AZ9:AZ59&gt;0,AZ9:AZ59&amp;"x "&amp;$N$9:$N$59,"")),"")</f>
        <v/>
      </c>
      <c r="BA63" s="185" t="str">
        <f t="array" ref="BA63">IFERROR(JUNTARTEXTO(", ",TRUE,IF(BA9:BA59&gt;0,BA9:BA59&amp;"x "&amp;$N$9:$N$59,"")),"")</f>
        <v/>
      </c>
      <c r="BB63" s="185" t="str">
        <f t="array" ref="BB63">IFERROR(JUNTARTEXTO(", ",TRUE,IF(BB9:BB59&gt;0,BB9:BB59&amp;"x "&amp;$N$9:$N$59,"")),"")</f>
        <v/>
      </c>
      <c r="BC63" s="185" t="str">
        <f t="array" ref="BC63">IFERROR(JUNTARTEXTO(", ",TRUE,IF(BC9:BC59&gt;0,BC9:BC59&amp;"x "&amp;$N$9:$N$59,"")),"")</f>
        <v/>
      </c>
      <c r="BD63" s="185" t="str">
        <f t="array" ref="BD63">IFERROR(JUNTARTEXTO(", ",TRUE,IF(BD9:BD59&gt;0,BD9:BD59&amp;"x "&amp;$N$9:$N$59,"")),"")</f>
        <v/>
      </c>
      <c r="BE63" s="185" t="str">
        <f t="array" ref="BE63">IFERROR(JUNTARTEXTO(", ",TRUE,IF(BE9:BE59&gt;0,BE9:BE59&amp;"x "&amp;$N$9:$N$59,"")),"")</f>
        <v/>
      </c>
      <c r="BF63" s="185" t="str">
        <f t="array" ref="BF63">IFERROR(JUNTARTEXTO(", ",TRUE,IF(BF9:BF59&gt;0,BF9:BF59&amp;"x "&amp;$N$9:$N$59,"")),"")</f>
        <v/>
      </c>
      <c r="BG63" s="185" t="str">
        <f t="array" ref="BG63">IFERROR(JUNTARTEXTO(", ",TRUE,IF(BG9:BG59&gt;0,BG9:BG59&amp;"x "&amp;$N$9:$N$59,"")),"")</f>
        <v/>
      </c>
      <c r="BH63" s="185" t="str">
        <f t="array" ref="BH63">IFERROR(JUNTARTEXTO(", ",TRUE,IF(BH9:BH59&gt;0,BH9:BH59&amp;"x "&amp;$N$9:$N$59,"")),"")</f>
        <v/>
      </c>
      <c r="BI63" s="185" t="str">
        <f t="array" ref="BI63">IFERROR(JUNTARTEXTO(", ",TRUE,IF(BI9:BI59&gt;0,BI9:BI59&amp;"x "&amp;$N$9:$N$59,"")),"")</f>
        <v/>
      </c>
      <c r="BJ63" s="185" t="str">
        <f t="array" ref="BJ63">IFERROR(JUNTARTEXTO(", ",TRUE,IF(BJ9:BJ59&gt;0,BJ9:BJ59&amp;"x "&amp;$N$9:$N$59,"")),"")</f>
        <v/>
      </c>
      <c r="BK63" s="185" t="str">
        <f t="array" ref="BK63">IFERROR(JUNTARTEXTO(", ",TRUE,IF(BK9:BK59&gt;0,BK9:BK59&amp;"x "&amp;$N$9:$N$59,"")),"")</f>
        <v/>
      </c>
      <c r="BL63" s="185" t="str">
        <f t="array" ref="BL63">IFERROR(JUNTARTEXTO(", ",TRUE,IF(BL9:BL59&gt;0,BL9:BL59&amp;"x "&amp;$N$9:$N$59,"")),"")</f>
        <v/>
      </c>
    </row>
    <row r="64" spans="2:64" s="22" customFormat="1" x14ac:dyDescent="0.2">
      <c r="C64" s="116">
        <v>80</v>
      </c>
      <c r="D64" s="116">
        <v>190</v>
      </c>
      <c r="E64" s="116">
        <v>100</v>
      </c>
      <c r="F64" s="116">
        <v>200</v>
      </c>
    </row>
    <row r="65" spans="3:6" s="22" customFormat="1" x14ac:dyDescent="0.2">
      <c r="C65" s="116">
        <v>90</v>
      </c>
      <c r="D65" s="116">
        <v>200</v>
      </c>
      <c r="E65" s="116">
        <v>120</v>
      </c>
      <c r="F65" s="116">
        <v>220</v>
      </c>
    </row>
    <row r="66" spans="3:6" s="22" customFormat="1" x14ac:dyDescent="0.2">
      <c r="C66" s="116">
        <v>100</v>
      </c>
      <c r="D66" s="116">
        <v>210</v>
      </c>
      <c r="E66" s="116">
        <v>140</v>
      </c>
      <c r="F66" s="116">
        <v>240</v>
      </c>
    </row>
    <row r="67" spans="3:6" s="22" customFormat="1" x14ac:dyDescent="0.2">
      <c r="C67" s="116">
        <v>110</v>
      </c>
      <c r="D67" s="116">
        <v>220</v>
      </c>
      <c r="E67" s="116">
        <v>160</v>
      </c>
      <c r="F67" s="116">
        <v>260</v>
      </c>
    </row>
    <row r="68" spans="3:6" s="22" customFormat="1" x14ac:dyDescent="0.2">
      <c r="C68" s="116">
        <v>120</v>
      </c>
      <c r="D68" s="116">
        <v>230</v>
      </c>
      <c r="E68" s="116">
        <v>200</v>
      </c>
      <c r="F68" s="116">
        <v>280</v>
      </c>
    </row>
    <row r="69" spans="3:6" s="22" customFormat="1" x14ac:dyDescent="0.2">
      <c r="C69" s="116">
        <v>130</v>
      </c>
      <c r="D69" s="116">
        <v>240</v>
      </c>
      <c r="E69" s="116">
        <v>220</v>
      </c>
      <c r="F69" s="116">
        <v>300</v>
      </c>
    </row>
    <row r="70" spans="3:6" s="22" customFormat="1" x14ac:dyDescent="0.2">
      <c r="C70" s="116">
        <v>140</v>
      </c>
      <c r="D70" s="116">
        <v>250</v>
      </c>
      <c r="E70" s="254"/>
      <c r="F70" s="116">
        <v>320</v>
      </c>
    </row>
    <row r="71" spans="3:6" s="22" customFormat="1" x14ac:dyDescent="0.2">
      <c r="C71" s="116">
        <v>150</v>
      </c>
      <c r="D71" s="116">
        <v>260</v>
      </c>
      <c r="E71" s="254"/>
      <c r="F71" s="116">
        <v>340</v>
      </c>
    </row>
    <row r="72" spans="3:6" s="22" customFormat="1" x14ac:dyDescent="0.2">
      <c r="C72" s="116">
        <v>160</v>
      </c>
      <c r="D72" s="116">
        <v>270</v>
      </c>
      <c r="E72" s="254"/>
      <c r="F72" s="254"/>
    </row>
    <row r="73" spans="3:6" s="22" customFormat="1" x14ac:dyDescent="0.2">
      <c r="C73" s="116">
        <v>170</v>
      </c>
      <c r="D73" s="116">
        <v>280</v>
      </c>
      <c r="E73" s="254"/>
      <c r="F73" s="254"/>
    </row>
    <row r="74" spans="3:6" s="22" customFormat="1" x14ac:dyDescent="0.2">
      <c r="C74" s="116">
        <v>180</v>
      </c>
      <c r="D74" s="116">
        <v>290</v>
      </c>
      <c r="E74" s="254"/>
      <c r="F74" s="254"/>
    </row>
    <row r="75" spans="3:6" s="22" customFormat="1" x14ac:dyDescent="0.2">
      <c r="C75" s="116">
        <v>190</v>
      </c>
      <c r="D75" s="116">
        <v>300</v>
      </c>
      <c r="E75" s="254"/>
      <c r="F75" s="254"/>
    </row>
    <row r="76" spans="3:6" s="22" customFormat="1" x14ac:dyDescent="0.2">
      <c r="C76" s="116">
        <v>200</v>
      </c>
      <c r="D76" s="116">
        <v>310</v>
      </c>
      <c r="E76" s="254"/>
      <c r="F76" s="254"/>
    </row>
    <row r="77" spans="3:6" s="22" customFormat="1" x14ac:dyDescent="0.2">
      <c r="C77" s="116">
        <v>210</v>
      </c>
      <c r="D77" s="116">
        <v>320</v>
      </c>
      <c r="E77" s="254"/>
      <c r="F77" s="254"/>
    </row>
    <row r="78" spans="3:6" s="22" customFormat="1" x14ac:dyDescent="0.2">
      <c r="C78" s="116">
        <v>220</v>
      </c>
      <c r="D78" s="116">
        <v>330</v>
      </c>
      <c r="E78" s="254"/>
      <c r="F78" s="254"/>
    </row>
    <row r="79" spans="3:6" s="22" customFormat="1" x14ac:dyDescent="0.2">
      <c r="C79" s="116">
        <v>230</v>
      </c>
      <c r="D79" s="116">
        <v>340</v>
      </c>
      <c r="E79" s="254"/>
      <c r="F79" s="254"/>
    </row>
    <row r="80" spans="3:6" s="22" customFormat="1" x14ac:dyDescent="0.2">
      <c r="C80" s="116">
        <v>240</v>
      </c>
      <c r="D80" s="254"/>
      <c r="E80" s="254"/>
      <c r="F80" s="254"/>
    </row>
    <row r="81" spans="3:6" s="22" customFormat="1" x14ac:dyDescent="0.2">
      <c r="C81" s="116">
        <v>250</v>
      </c>
      <c r="D81" s="254"/>
      <c r="E81" s="254"/>
      <c r="F81" s="254"/>
    </row>
    <row r="82" spans="3:6" s="22" customFormat="1" x14ac:dyDescent="0.2">
      <c r="C82" s="116">
        <v>260</v>
      </c>
      <c r="D82" s="254"/>
      <c r="E82" s="254"/>
      <c r="F82" s="254"/>
    </row>
    <row r="83" spans="3:6" s="22" customFormat="1" x14ac:dyDescent="0.2">
      <c r="C83" s="116">
        <v>270</v>
      </c>
      <c r="D83" s="254"/>
      <c r="E83" s="254"/>
      <c r="F83" s="254"/>
    </row>
    <row r="84" spans="3:6" s="22" customFormat="1" x14ac:dyDescent="0.2">
      <c r="C84" s="116">
        <v>280</v>
      </c>
      <c r="D84" s="254"/>
      <c r="E84" s="254"/>
      <c r="F84" s="254"/>
    </row>
    <row r="85" spans="3:6" s="22" customFormat="1" x14ac:dyDescent="0.2">
      <c r="C85" s="116">
        <v>290</v>
      </c>
      <c r="D85" s="254"/>
      <c r="E85" s="254"/>
      <c r="F85" s="254"/>
    </row>
    <row r="86" spans="3:6" s="22" customFormat="1" x14ac:dyDescent="0.2">
      <c r="C86" s="116">
        <v>300</v>
      </c>
      <c r="D86" s="254"/>
      <c r="E86" s="254"/>
      <c r="F86" s="254"/>
    </row>
    <row r="87" spans="3:6" s="22" customFormat="1" x14ac:dyDescent="0.2">
      <c r="C87" s="116">
        <v>310</v>
      </c>
      <c r="D87" s="254"/>
      <c r="E87" s="254"/>
      <c r="F87" s="254"/>
    </row>
    <row r="88" spans="3:6" s="22" customFormat="1" x14ac:dyDescent="0.2">
      <c r="C88" s="116">
        <v>320</v>
      </c>
      <c r="D88" s="254"/>
      <c r="E88" s="254"/>
      <c r="F88" s="254"/>
    </row>
    <row r="89" spans="3:6" s="22" customFormat="1" x14ac:dyDescent="0.2">
      <c r="C89" s="116">
        <v>330</v>
      </c>
      <c r="D89" s="254"/>
      <c r="E89" s="254"/>
      <c r="F89" s="254"/>
    </row>
    <row r="90" spans="3:6" s="22" customFormat="1" x14ac:dyDescent="0.2">
      <c r="C90" s="116">
        <v>340</v>
      </c>
      <c r="D90" s="254"/>
      <c r="E90" s="254"/>
      <c r="F90" s="254"/>
    </row>
    <row r="91" spans="3:6" s="22" customFormat="1" x14ac:dyDescent="0.2">
      <c r="D91" s="14"/>
    </row>
    <row r="92" spans="3:6" s="22" customFormat="1" x14ac:dyDescent="0.2">
      <c r="D92" s="14"/>
    </row>
    <row r="93" spans="3:6" s="22" customFormat="1" x14ac:dyDescent="0.2">
      <c r="D93" s="14"/>
    </row>
    <row r="94" spans="3:6" s="22" customFormat="1" x14ac:dyDescent="0.2">
      <c r="D94" s="14"/>
    </row>
    <row r="95" spans="3:6" s="22" customFormat="1" x14ac:dyDescent="0.2">
      <c r="D95" s="14"/>
    </row>
    <row r="96" spans="3:6" s="22" customFormat="1" x14ac:dyDescent="0.2">
      <c r="D96" s="14"/>
    </row>
    <row r="97" spans="4:64" s="22" customFormat="1" x14ac:dyDescent="0.2">
      <c r="D97" s="14"/>
    </row>
    <row r="98" spans="4:64" s="22" customFormat="1" x14ac:dyDescent="0.2">
      <c r="D98" s="14"/>
    </row>
    <row r="99" spans="4:64" s="22" customFormat="1" x14ac:dyDescent="0.2">
      <c r="D99" s="14"/>
    </row>
    <row r="100" spans="4:64" s="22" customFormat="1" x14ac:dyDescent="0.2">
      <c r="D100" s="14"/>
    </row>
    <row r="101" spans="4:64" s="22" customFormat="1" x14ac:dyDescent="0.2">
      <c r="D101" s="14"/>
    </row>
    <row r="102" spans="4:64" s="22" customFormat="1" x14ac:dyDescent="0.2">
      <c r="D102" s="14"/>
    </row>
    <row r="103" spans="4:64" s="22" customFormat="1" x14ac:dyDescent="0.2">
      <c r="D103" s="14"/>
    </row>
    <row r="104" spans="4:64" x14ac:dyDescent="0.2"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  <c r="BC104" s="22"/>
      <c r="BD104" s="22"/>
      <c r="BE104" s="22"/>
      <c r="BF104" s="22"/>
      <c r="BG104" s="22"/>
      <c r="BH104" s="22"/>
      <c r="BI104" s="22"/>
      <c r="BJ104" s="22"/>
      <c r="BK104" s="22"/>
      <c r="BL104" s="22"/>
    </row>
  </sheetData>
  <mergeCells count="17">
    <mergeCell ref="C2:G2"/>
    <mergeCell ref="C3:G3"/>
    <mergeCell ref="C4:G4"/>
    <mergeCell ref="C7:C8"/>
    <mergeCell ref="D7:D8"/>
    <mergeCell ref="F7:G7"/>
    <mergeCell ref="C61:D61"/>
    <mergeCell ref="N7:BL7"/>
    <mergeCell ref="E7:E8"/>
    <mergeCell ref="N60:N63"/>
    <mergeCell ref="B6:J6"/>
    <mergeCell ref="J7:J8"/>
    <mergeCell ref="B7:B8"/>
    <mergeCell ref="H7:I8"/>
    <mergeCell ref="K7:L8"/>
    <mergeCell ref="C60:F60"/>
    <mergeCell ref="E61:F61"/>
  </mergeCells>
  <phoneticPr fontId="0" type="noConversion"/>
  <conditionalFormatting sqref="H9:H58">
    <cfRule type="containsText" dxfId="4" priority="1" operator="containsText" text="DÂNICA">
      <formula>NOT(ISERROR(SEARCH("DÂNICA",H9)))</formula>
    </cfRule>
    <cfRule type="containsText" dxfId="3" priority="6" stopIfTrue="1" operator="containsText" text="NÃO">
      <formula>NOT(ISERROR(SEARCH("NÃO",H9)))</formula>
    </cfRule>
    <cfRule type="containsText" dxfId="2" priority="7" stopIfTrue="1" operator="containsText" text="PADRÃO">
      <formula>NOT(ISERROR(SEARCH("PADRÃO",H9)))</formula>
    </cfRule>
  </conditionalFormatting>
  <dataValidations count="5">
    <dataValidation type="list" allowBlank="1" showInputMessage="1" showErrorMessage="1" sqref="I59:I103" xr:uid="{00000000-0002-0000-0500-000000000000}">
      <formula1>#REF!</formula1>
    </dataValidation>
    <dataValidation type="list" allowBlank="1" showInputMessage="1" showErrorMessage="1" sqref="D9:D58" xr:uid="{00000000-0002-0000-0500-000001000000}">
      <formula1>"1Folha,2Folhas"</formula1>
    </dataValidation>
    <dataValidation type="list" allowBlank="1" showInputMessage="1" showErrorMessage="1" sqref="E9:E58" xr:uid="{00000000-0002-0000-0500-000002000000}">
      <formula1>"Rígida,Flexível"</formula1>
    </dataValidation>
    <dataValidation type="whole" allowBlank="1" showInputMessage="1" showErrorMessage="1" errorTitle="Erro Altura" error="Esta altura não é válida._x000a_Entre com um valor entre 180 e 240. AK" sqref="H59:H103" xr:uid="{00000000-0002-0000-0500-000003000000}">
      <formula1>$D$62</formula1>
      <formula2>$D$63</formula2>
    </dataValidation>
    <dataValidation type="list" allowBlank="1" showInputMessage="1" showErrorMessage="1" sqref="H9:H58" xr:uid="{00000000-0002-0000-0500-000005000000}">
      <formula1>"PADRÃO,DÂNICA,NÃO"</formula1>
    </dataValidation>
  </dataValidations>
  <pageMargins left="0.78740157499999996" right="0.78740157499999996" top="0.984251969" bottom="0.984251969" header="0.49212598499999999" footer="0.49212598499999999"/>
  <pageSetup scale="65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4">
    <pageSetUpPr fitToPage="1"/>
  </sheetPr>
  <dimension ref="A1:BJ96"/>
  <sheetViews>
    <sheetView showGridLines="0" zoomScale="80" zoomScaleNormal="80" workbookViewId="0">
      <pane ySplit="8" topLeftCell="A9" activePane="bottomLeft" state="frozen"/>
      <selection pane="bottomLeft"/>
    </sheetView>
  </sheetViews>
  <sheetFormatPr defaultColWidth="9.140625" defaultRowHeight="12.75" x14ac:dyDescent="0.2"/>
  <cols>
    <col min="1" max="1" width="2.42578125" style="14" customWidth="1"/>
    <col min="2" max="2" width="10.7109375" style="14" bestFit="1" customWidth="1"/>
    <col min="3" max="3" width="24.28515625" style="14" customWidth="1"/>
    <col min="4" max="4" width="12.28515625" style="14" customWidth="1"/>
    <col min="5" max="5" width="10.42578125" style="14" customWidth="1"/>
    <col min="6" max="6" width="9.140625" style="14" customWidth="1"/>
    <col min="7" max="7" width="6.42578125" style="14" customWidth="1"/>
    <col min="8" max="8" width="13.5703125" style="14" customWidth="1"/>
    <col min="9" max="9" width="23.5703125" style="14" customWidth="1"/>
    <col min="10" max="10" width="21.28515625" style="14" hidden="1" customWidth="1"/>
    <col min="11" max="62" width="9.140625" style="14" hidden="1" customWidth="1"/>
    <col min="63" max="16384" width="9.140625" style="14"/>
  </cols>
  <sheetData>
    <row r="1" spans="1:62" ht="12.75" customHeight="1" x14ac:dyDescent="0.2"/>
    <row r="2" spans="1:62" s="19" customFormat="1" x14ac:dyDescent="0.2">
      <c r="B2" s="56" t="s">
        <v>217</v>
      </c>
      <c r="C2" s="385">
        <f>'PAREDE-TETO'!D2</f>
        <v>0</v>
      </c>
      <c r="D2" s="386"/>
      <c r="E2" s="387"/>
      <c r="F2" s="56" t="s">
        <v>198</v>
      </c>
      <c r="G2" s="390">
        <f>'PAREDE-TETO'!I2</f>
        <v>0</v>
      </c>
      <c r="H2" s="390"/>
      <c r="I2" s="14"/>
      <c r="J2" s="55"/>
    </row>
    <row r="3" spans="1:62" s="19" customFormat="1" x14ac:dyDescent="0.2">
      <c r="B3" s="56" t="s">
        <v>216</v>
      </c>
      <c r="C3" s="385">
        <f>'PAREDE-TETO'!D3</f>
        <v>0</v>
      </c>
      <c r="D3" s="386"/>
      <c r="E3" s="387"/>
      <c r="F3" s="56" t="s">
        <v>215</v>
      </c>
      <c r="G3" s="391">
        <f>'PAREDE-TETO'!I3</f>
        <v>0</v>
      </c>
      <c r="H3" s="391"/>
      <c r="I3" s="14"/>
      <c r="J3" s="55"/>
    </row>
    <row r="4" spans="1:62" s="19" customFormat="1" x14ac:dyDescent="0.2">
      <c r="B4" s="56" t="s">
        <v>214</v>
      </c>
      <c r="C4" s="385">
        <f>'PAREDE-TETO'!D4</f>
        <v>0</v>
      </c>
      <c r="D4" s="386"/>
      <c r="E4" s="387"/>
      <c r="F4" s="14"/>
      <c r="G4" s="14"/>
      <c r="H4" s="14"/>
      <c r="I4" s="14"/>
      <c r="J4" s="55"/>
    </row>
    <row r="5" spans="1:62" s="19" customFormat="1" ht="13.5" thickBot="1" x14ac:dyDescent="0.25">
      <c r="A5" s="14"/>
      <c r="B5" s="14"/>
      <c r="C5" s="14"/>
      <c r="D5" s="14"/>
      <c r="E5" s="14"/>
      <c r="F5" s="14"/>
      <c r="G5" s="14"/>
      <c r="H5" s="14"/>
      <c r="I5" s="14"/>
      <c r="J5" s="55"/>
    </row>
    <row r="6" spans="1:62" ht="12.75" customHeight="1" thickBot="1" x14ac:dyDescent="0.25">
      <c r="B6" s="373" t="s">
        <v>472</v>
      </c>
      <c r="C6" s="374"/>
      <c r="D6" s="374"/>
      <c r="E6" s="374"/>
      <c r="F6" s="374"/>
      <c r="G6" s="374"/>
      <c r="H6" s="374"/>
      <c r="I6" s="375"/>
      <c r="J6" s="55"/>
    </row>
    <row r="7" spans="1:62" s="22" customFormat="1" x14ac:dyDescent="0.2">
      <c r="B7" s="320" t="s">
        <v>28</v>
      </c>
      <c r="C7" s="394" t="s">
        <v>93</v>
      </c>
      <c r="D7" s="338" t="s">
        <v>30</v>
      </c>
      <c r="E7" s="293" t="s">
        <v>32</v>
      </c>
      <c r="F7" s="293"/>
      <c r="G7" s="376" t="s">
        <v>231</v>
      </c>
      <c r="H7" s="377"/>
      <c r="I7" s="325" t="s">
        <v>33</v>
      </c>
      <c r="J7" s="388" t="s">
        <v>471</v>
      </c>
      <c r="L7" s="364" t="s">
        <v>491</v>
      </c>
      <c r="M7" s="364"/>
      <c r="N7" s="364"/>
      <c r="O7" s="364"/>
      <c r="P7" s="364"/>
      <c r="Q7" s="364"/>
      <c r="R7" s="364"/>
      <c r="S7" s="364"/>
      <c r="T7" s="364"/>
      <c r="U7" s="364"/>
      <c r="V7" s="364"/>
      <c r="W7" s="364"/>
      <c r="X7" s="364"/>
      <c r="Y7" s="364"/>
      <c r="Z7" s="364"/>
      <c r="AA7" s="364"/>
      <c r="AB7" s="364"/>
      <c r="AC7" s="364"/>
      <c r="AD7" s="364"/>
      <c r="AE7" s="364"/>
      <c r="AF7" s="364"/>
      <c r="AG7" s="364"/>
      <c r="AH7" s="364"/>
      <c r="AI7" s="364"/>
      <c r="AJ7" s="364"/>
      <c r="AK7" s="364"/>
      <c r="AL7" s="364"/>
      <c r="AM7" s="364"/>
      <c r="AN7" s="364"/>
      <c r="AO7" s="364"/>
      <c r="AP7" s="364"/>
      <c r="AQ7" s="364"/>
      <c r="AR7" s="364"/>
      <c r="AS7" s="364"/>
      <c r="AT7" s="364"/>
      <c r="AU7" s="364"/>
      <c r="AV7" s="364"/>
      <c r="AW7" s="364"/>
      <c r="AX7" s="364"/>
      <c r="AY7" s="364"/>
      <c r="AZ7" s="364"/>
      <c r="BA7" s="364"/>
      <c r="BB7" s="364"/>
      <c r="BC7" s="364"/>
      <c r="BD7" s="364"/>
      <c r="BE7" s="364"/>
      <c r="BF7" s="364"/>
      <c r="BG7" s="364"/>
      <c r="BH7" s="364"/>
      <c r="BI7" s="364"/>
      <c r="BJ7" s="364"/>
    </row>
    <row r="8" spans="1:62" s="22" customFormat="1" ht="13.5" thickBot="1" x14ac:dyDescent="0.25">
      <c r="B8" s="393"/>
      <c r="C8" s="395"/>
      <c r="D8" s="339"/>
      <c r="E8" s="44" t="s">
        <v>34</v>
      </c>
      <c r="F8" s="44" t="s">
        <v>35</v>
      </c>
      <c r="G8" s="378"/>
      <c r="H8" s="379"/>
      <c r="I8" s="392"/>
      <c r="J8" s="389"/>
      <c r="L8" s="178">
        <v>0</v>
      </c>
      <c r="M8" s="178" t="str">
        <f t="array" ref="M8">IFERROR(INDEX($J$9:$J$59,MATCH(0,COUNTIF($L$8:L$8,$J$9:$J$59),0)),"")</f>
        <v/>
      </c>
      <c r="N8" s="178" t="str">
        <f t="array" ref="N8">IFERROR(INDEX($J$9:$J$59,MATCH(0,COUNTIF($L$8:M$8,$J$9:$J$59),0)),"")</f>
        <v/>
      </c>
      <c r="O8" s="178" t="str">
        <f t="array" ref="O8">IFERROR(INDEX($J$9:$J$59,MATCH(0,COUNTIF($L$8:N$8,$J$9:$J$59),0)),"")</f>
        <v/>
      </c>
      <c r="P8" s="178" t="str">
        <f t="array" ref="P8">IFERROR(INDEX($J$9:$J$59,MATCH(0,COUNTIF($L$8:O$8,$J$9:$J$59),0)),"")</f>
        <v/>
      </c>
      <c r="Q8" s="178" t="str">
        <f t="array" ref="Q8">IFERROR(INDEX($J$9:$J$59,MATCH(0,COUNTIF($L$8:P$8,$J$9:$J$59),0)),"")</f>
        <v/>
      </c>
      <c r="R8" s="178" t="str">
        <f t="array" ref="R8">IFERROR(INDEX($J$9:$J$59,MATCH(0,COUNTIF($L$8:Q$8,$J$9:$J$59),0)),"")</f>
        <v/>
      </c>
      <c r="S8" s="178" t="str">
        <f t="array" ref="S8">IFERROR(INDEX($J$9:$J$59,MATCH(0,COUNTIF($L$8:R$8,$J$9:$J$59),0)),"")</f>
        <v/>
      </c>
      <c r="T8" s="178" t="str">
        <f t="array" ref="T8">IFERROR(INDEX($J$9:$J$59,MATCH(0,COUNTIF($L$8:S$8,$J$9:$J$59),0)),"")</f>
        <v/>
      </c>
      <c r="U8" s="178" t="str">
        <f t="array" ref="U8">IFERROR(INDEX($J$9:$J$59,MATCH(0,COUNTIF($L$8:T$8,$J$9:$J$59),0)),"")</f>
        <v/>
      </c>
      <c r="V8" s="178" t="str">
        <f t="array" ref="V8">IFERROR(INDEX($J$9:$J$59,MATCH(0,COUNTIF($L$8:U$8,$J$9:$J$59),0)),"")</f>
        <v/>
      </c>
      <c r="W8" s="178" t="str">
        <f t="array" ref="W8">IFERROR(INDEX($J$9:$J$59,MATCH(0,COUNTIF($L$8:V$8,$J$9:$J$59),0)),"")</f>
        <v/>
      </c>
      <c r="X8" s="178" t="str">
        <f t="array" ref="X8">IFERROR(INDEX($J$9:$J$59,MATCH(0,COUNTIF($L$8:W$8,$J$9:$J$59),0)),"")</f>
        <v/>
      </c>
      <c r="Y8" s="178" t="str">
        <f t="array" ref="Y8">IFERROR(INDEX($J$9:$J$59,MATCH(0,COUNTIF($L$8:X$8,$J$9:$J$59),0)),"")</f>
        <v/>
      </c>
      <c r="Z8" s="178" t="str">
        <f t="array" ref="Z8">IFERROR(INDEX($J$9:$J$59,MATCH(0,COUNTIF($L$8:Y$8,$J$9:$J$59),0)),"")</f>
        <v/>
      </c>
      <c r="AA8" s="178" t="str">
        <f t="array" ref="AA8">IFERROR(INDEX($J$9:$J$59,MATCH(0,COUNTIF($L$8:Z$8,$J$9:$J$59),0)),"")</f>
        <v/>
      </c>
      <c r="AB8" s="178" t="str">
        <f t="array" ref="AB8">IFERROR(INDEX($J$9:$J$59,MATCH(0,COUNTIF($L$8:AA$8,$J$9:$J$59),0)),"")</f>
        <v/>
      </c>
      <c r="AC8" s="178" t="str">
        <f t="array" ref="AC8">IFERROR(INDEX($J$9:$J$59,MATCH(0,COUNTIF($L$8:AB$8,$J$9:$J$59),0)),"")</f>
        <v/>
      </c>
      <c r="AD8" s="178" t="str">
        <f t="array" ref="AD8">IFERROR(INDEX($J$9:$J$59,MATCH(0,COUNTIF($L$8:AC$8,$J$9:$J$59),0)),"")</f>
        <v/>
      </c>
      <c r="AE8" s="178" t="str">
        <f t="array" ref="AE8">IFERROR(INDEX($J$9:$J$59,MATCH(0,COUNTIF($L$8:AD$8,$J$9:$J$59),0)),"")</f>
        <v/>
      </c>
      <c r="AF8" s="178" t="str">
        <f t="array" ref="AF8">IFERROR(INDEX($J$9:$J$59,MATCH(0,COUNTIF($L$8:AE$8,$J$9:$J$59),0)),"")</f>
        <v/>
      </c>
      <c r="AG8" s="178" t="str">
        <f t="array" ref="AG8">IFERROR(INDEX($J$9:$J$59,MATCH(0,COUNTIF($L$8:AF$8,$J$9:$J$59),0)),"")</f>
        <v/>
      </c>
      <c r="AH8" s="178" t="str">
        <f t="array" ref="AH8">IFERROR(INDEX($J$9:$J$59,MATCH(0,COUNTIF($L$8:AG$8,$J$9:$J$59),0)),"")</f>
        <v/>
      </c>
      <c r="AI8" s="178" t="str">
        <f t="array" ref="AI8">IFERROR(INDEX($J$9:$J$59,MATCH(0,COUNTIF($L$8:AH$8,$J$9:$J$59),0)),"")</f>
        <v/>
      </c>
      <c r="AJ8" s="178" t="str">
        <f t="array" ref="AJ8">IFERROR(INDEX($J$9:$J$59,MATCH(0,COUNTIF($L$8:AI$8,$J$9:$J$59),0)),"")</f>
        <v/>
      </c>
      <c r="AK8" s="178" t="str">
        <f t="array" ref="AK8">IFERROR(INDEX($J$9:$J$59,MATCH(0,COUNTIF($L$8:AJ$8,$J$9:$J$59),0)),"")</f>
        <v/>
      </c>
      <c r="AL8" s="178" t="str">
        <f t="array" ref="AL8">IFERROR(INDEX($J$9:$J$59,MATCH(0,COUNTIF($L$8:AK$8,$J$9:$J$59),0)),"")</f>
        <v/>
      </c>
      <c r="AM8" s="178" t="str">
        <f t="array" ref="AM8">IFERROR(INDEX($J$9:$J$59,MATCH(0,COUNTIF($L$8:AL$8,$J$9:$J$59),0)),"")</f>
        <v/>
      </c>
      <c r="AN8" s="178" t="str">
        <f t="array" ref="AN8">IFERROR(INDEX($J$9:$J$59,MATCH(0,COUNTIF($L$8:AM$8,$J$9:$J$59),0)),"")</f>
        <v/>
      </c>
      <c r="AO8" s="178" t="str">
        <f t="array" ref="AO8">IFERROR(INDEX($J$9:$J$59,MATCH(0,COUNTIF($L$8:AN$8,$J$9:$J$59),0)),"")</f>
        <v/>
      </c>
      <c r="AP8" s="178" t="str">
        <f t="array" ref="AP8">IFERROR(INDEX($J$9:$J$59,MATCH(0,COUNTIF($L$8:AO$8,$J$9:$J$59),0)),"")</f>
        <v/>
      </c>
      <c r="AQ8" s="178" t="str">
        <f t="array" ref="AQ8">IFERROR(INDEX($J$9:$J$59,MATCH(0,COUNTIF($L$8:AP$8,$J$9:$J$59),0)),"")</f>
        <v/>
      </c>
      <c r="AR8" s="178" t="str">
        <f t="array" ref="AR8">IFERROR(INDEX($J$9:$J$59,MATCH(0,COUNTIF($L$8:AQ$8,$J$9:$J$59),0)),"")</f>
        <v/>
      </c>
      <c r="AS8" s="178" t="str">
        <f t="array" ref="AS8">IFERROR(INDEX($J$9:$J$59,MATCH(0,COUNTIF($L$8:AR$8,$J$9:$J$59),0)),"")</f>
        <v/>
      </c>
      <c r="AT8" s="178" t="str">
        <f t="array" ref="AT8">IFERROR(INDEX($J$9:$J$59,MATCH(0,COUNTIF($L$8:AS$8,$J$9:$J$59),0)),"")</f>
        <v/>
      </c>
      <c r="AU8" s="178" t="str">
        <f t="array" ref="AU8">IFERROR(INDEX($J$9:$J$59,MATCH(0,COUNTIF($L$8:AT$8,$J$9:$J$59),0)),"")</f>
        <v/>
      </c>
      <c r="AV8" s="178" t="str">
        <f t="array" ref="AV8">IFERROR(INDEX($J$9:$J$59,MATCH(0,COUNTIF($L$8:AU$8,$J$9:$J$59),0)),"")</f>
        <v/>
      </c>
      <c r="AW8" s="178" t="str">
        <f t="array" ref="AW8">IFERROR(INDEX($J$9:$J$59,MATCH(0,COUNTIF($L$8:AV$8,$J$9:$J$59),0)),"")</f>
        <v/>
      </c>
      <c r="AX8" s="178" t="str">
        <f t="array" ref="AX8">IFERROR(INDEX($J$9:$J$59,MATCH(0,COUNTIF($L$8:AW$8,$J$9:$J$59),0)),"")</f>
        <v/>
      </c>
      <c r="AY8" s="178" t="str">
        <f t="array" ref="AY8">IFERROR(INDEX($J$9:$J$59,MATCH(0,COUNTIF($L$8:AX$8,$J$9:$J$59),0)),"")</f>
        <v/>
      </c>
      <c r="AZ8" s="178" t="str">
        <f t="array" ref="AZ8">IFERROR(INDEX($J$9:$J$59,MATCH(0,COUNTIF($L$8:AY$8,$J$9:$J$59),0)),"")</f>
        <v/>
      </c>
      <c r="BA8" s="178" t="str">
        <f t="array" ref="BA8">IFERROR(INDEX($J$9:$J$59,MATCH(0,COUNTIF($L$8:AZ$8,$J$9:$J$59),0)),"")</f>
        <v/>
      </c>
      <c r="BB8" s="178" t="str">
        <f t="array" ref="BB8">IFERROR(INDEX($J$9:$J$59,MATCH(0,COUNTIF($L$8:BA$8,$J$9:$J$59),0)),"")</f>
        <v/>
      </c>
      <c r="BC8" s="178" t="str">
        <f t="array" ref="BC8">IFERROR(INDEX($J$9:$J$59,MATCH(0,COUNTIF($L$8:BB$8,$J$9:$J$59),0)),"")</f>
        <v/>
      </c>
      <c r="BD8" s="178" t="str">
        <f t="array" ref="BD8">IFERROR(INDEX($J$9:$J$59,MATCH(0,COUNTIF($L$8:BC$8,$J$9:$J$59),0)),"")</f>
        <v/>
      </c>
      <c r="BE8" s="178" t="str">
        <f t="array" ref="BE8">IFERROR(INDEX($J$9:$J$59,MATCH(0,COUNTIF($L$8:BD$8,$J$9:$J$59),0)),"")</f>
        <v/>
      </c>
      <c r="BF8" s="178" t="str">
        <f t="array" ref="BF8">IFERROR(INDEX($J$9:$J$59,MATCH(0,COUNTIF($L$8:BE$8,$J$9:$J$59),0)),"")</f>
        <v/>
      </c>
      <c r="BG8" s="178" t="str">
        <f t="array" ref="BG8">IFERROR(INDEX($J$9:$J$59,MATCH(0,COUNTIF($L$8:BF$8,$J$9:$J$59),0)),"")</f>
        <v/>
      </c>
      <c r="BH8" s="178" t="str">
        <f t="array" ref="BH8">IFERROR(INDEX($J$9:$J$59,MATCH(0,COUNTIF($L$8:BG$8,$J$9:$J$59),0)),"")</f>
        <v/>
      </c>
      <c r="BI8" s="178" t="str">
        <f t="array" ref="BI8">IFERROR(INDEX($J$9:$J$59,MATCH(0,COUNTIF($L$8:BH$8,$J$9:$J$59),0)),"")</f>
        <v/>
      </c>
      <c r="BJ8" s="178" t="str">
        <f t="array" ref="BJ8">IFERROR(INDEX($J$9:$J$59,MATCH(0,COUNTIF($L$8:BI$8,$J$9:$J$59),0)),"")</f>
        <v/>
      </c>
    </row>
    <row r="9" spans="1:62" x14ac:dyDescent="0.2">
      <c r="B9" s="125" t="s">
        <v>144</v>
      </c>
      <c r="C9" s="262"/>
      <c r="D9" s="263"/>
      <c r="E9" s="257"/>
      <c r="F9" s="257"/>
      <c r="G9" s="257" t="s">
        <v>287</v>
      </c>
      <c r="H9" s="258" t="str">
        <f>IF(G9="SIM",IF(AND(E9&lt;&gt;0,F9&lt;&gt;0),((E9/100)+0.1)+((F9/100)+0.05)*2,"Preencher"),"-")</f>
        <v>-</v>
      </c>
      <c r="I9" s="264"/>
      <c r="J9" s="170" t="str">
        <f>IF(C9&lt;&gt;"",D9&amp;" "&amp;IF(E9&lt;100,0,"")&amp;E9&amp;"x"&amp;F9,"")</f>
        <v/>
      </c>
      <c r="L9" s="178" t="str">
        <f t="array" ref="L9">IFERROR(INDEX($C$9:$C$59,MATCH(0,COUNTIF($L$8:$L8,$C$9:$C$59),0)),"")</f>
        <v/>
      </c>
      <c r="M9" s="178">
        <f t="array" ref="M9">IF(AND($L9&lt;&gt;"",M$8&lt;&gt;""),COUNTIFS($C$9:$C$59,$L9,$J$9:$J$59,M$8),0)</f>
        <v>0</v>
      </c>
      <c r="N9" s="178">
        <f t="array" ref="N9">IF(AND($L9&lt;&gt;"",N$8&lt;&gt;""),COUNTIFS($C$9:$C$59,$L9,$J$9:$J$59,N$8),0)</f>
        <v>0</v>
      </c>
      <c r="O9" s="178">
        <f t="array" ref="O9">IF(AND($L9&lt;&gt;"",O$8&lt;&gt;""),COUNTIFS($C$9:$C$59,$L9,$J$9:$J$59,O$8),0)</f>
        <v>0</v>
      </c>
      <c r="P9" s="178">
        <f t="array" ref="P9">IF(AND($L9&lt;&gt;"",P$8&lt;&gt;""),COUNTIFS($C$9:$C$59,$L9,$J$9:$J$59,P$8),0)</f>
        <v>0</v>
      </c>
      <c r="Q9" s="178">
        <f t="array" ref="Q9">IF(AND($L9&lt;&gt;"",Q$8&lt;&gt;""),COUNTIFS($C$9:$C$59,$L9,$J$9:$J$59,Q$8),0)</f>
        <v>0</v>
      </c>
      <c r="R9" s="178">
        <f t="array" ref="R9">IF(AND($L9&lt;&gt;"",R$8&lt;&gt;""),COUNTIFS($C$9:$C$59,$L9,$J$9:$J$59,R$8),0)</f>
        <v>0</v>
      </c>
      <c r="S9" s="178">
        <f t="array" ref="S9">IF(AND($L9&lt;&gt;"",S$8&lt;&gt;""),COUNTIFS($C$9:$C$59,$L9,$J$9:$J$59,S$8),0)</f>
        <v>0</v>
      </c>
      <c r="T9" s="178">
        <f t="array" ref="T9">IF(AND($L9&lt;&gt;"",T$8&lt;&gt;""),COUNTIFS($C$9:$C$59,$L9,$J$9:$J$59,T$8),0)</f>
        <v>0</v>
      </c>
      <c r="U9" s="178">
        <f t="array" ref="U9">IF(AND($L9&lt;&gt;"",U$8&lt;&gt;""),COUNTIFS($C$9:$C$59,$L9,$J$9:$J$59,U$8),0)</f>
        <v>0</v>
      </c>
      <c r="V9" s="178">
        <f t="array" ref="V9">IF(AND($L9&lt;&gt;"",V$8&lt;&gt;""),COUNTIFS($C$9:$C$59,$L9,$J$9:$J$59,V$8),0)</f>
        <v>0</v>
      </c>
      <c r="W9" s="178">
        <f t="array" ref="W9">IF(AND($L9&lt;&gt;"",W$8&lt;&gt;""),COUNTIFS($C$9:$C$59,$L9,$J$9:$J$59,W$8),0)</f>
        <v>0</v>
      </c>
      <c r="X9" s="178">
        <f t="array" ref="X9">IF(AND($L9&lt;&gt;"",X$8&lt;&gt;""),COUNTIFS($C$9:$C$59,$L9,$J$9:$J$59,X$8),0)</f>
        <v>0</v>
      </c>
      <c r="Y9" s="178">
        <f t="array" ref="Y9">IF(AND($L9&lt;&gt;"",Y$8&lt;&gt;""),COUNTIFS($C$9:$C$59,$L9,$J$9:$J$59,Y$8),0)</f>
        <v>0</v>
      </c>
      <c r="Z9" s="178">
        <f t="array" ref="Z9">IF(AND($L9&lt;&gt;"",Z$8&lt;&gt;""),COUNTIFS($C$9:$C$59,$L9,$J$9:$J$59,Z$8),0)</f>
        <v>0</v>
      </c>
      <c r="AA9" s="178">
        <f t="array" ref="AA9">IF(AND($L9&lt;&gt;"",AA$8&lt;&gt;""),COUNTIFS($C$9:$C$59,$L9,$J$9:$J$59,AA$8),0)</f>
        <v>0</v>
      </c>
      <c r="AB9" s="178">
        <f t="array" ref="AB9">IF(AND($L9&lt;&gt;"",AB$8&lt;&gt;""),COUNTIFS($C$9:$C$59,$L9,$J$9:$J$59,AB$8),0)</f>
        <v>0</v>
      </c>
      <c r="AC9" s="178">
        <f t="array" ref="AC9">IF(AND($L9&lt;&gt;"",AC$8&lt;&gt;""),COUNTIFS($C$9:$C$59,$L9,$J$9:$J$59,AC$8),0)</f>
        <v>0</v>
      </c>
      <c r="AD9" s="178">
        <f t="array" ref="AD9">IF(AND($L9&lt;&gt;"",AD$8&lt;&gt;""),COUNTIFS($C$9:$C$59,$L9,$J$9:$J$59,AD$8),0)</f>
        <v>0</v>
      </c>
      <c r="AE9" s="178">
        <f t="array" ref="AE9">IF(AND($L9&lt;&gt;"",AE$8&lt;&gt;""),COUNTIFS($C$9:$C$59,$L9,$J$9:$J$59,AE$8),0)</f>
        <v>0</v>
      </c>
      <c r="AF9" s="178">
        <f t="array" ref="AF9">IF(AND($L9&lt;&gt;"",AF$8&lt;&gt;""),COUNTIFS($C$9:$C$59,$L9,$J$9:$J$59,AF$8),0)</f>
        <v>0</v>
      </c>
      <c r="AG9" s="178">
        <f t="array" ref="AG9">IF(AND($L9&lt;&gt;"",AG$8&lt;&gt;""),COUNTIFS($C$9:$C$59,$L9,$J$9:$J$59,AG$8),0)</f>
        <v>0</v>
      </c>
      <c r="AH9" s="178">
        <f t="array" ref="AH9">IF(AND($L9&lt;&gt;"",AH$8&lt;&gt;""),COUNTIFS($C$9:$C$59,$L9,$J$9:$J$59,AH$8),0)</f>
        <v>0</v>
      </c>
      <c r="AI9" s="178">
        <f t="array" ref="AI9">IF(AND($L9&lt;&gt;"",AI$8&lt;&gt;""),COUNTIFS($C$9:$C$59,$L9,$J$9:$J$59,AI$8),0)</f>
        <v>0</v>
      </c>
      <c r="AJ9" s="178">
        <f t="array" ref="AJ9">IF(AND($L9&lt;&gt;"",AJ$8&lt;&gt;""),COUNTIFS($C$9:$C$59,$L9,$J$9:$J$59,AJ$8),0)</f>
        <v>0</v>
      </c>
      <c r="AK9" s="178">
        <f t="array" ref="AK9">IF(AND($L9&lt;&gt;"",AK$8&lt;&gt;""),COUNTIFS($C$9:$C$59,$L9,$J$9:$J$59,AK$8),0)</f>
        <v>0</v>
      </c>
      <c r="AL9" s="178">
        <f t="array" ref="AL9">IF(AND($L9&lt;&gt;"",AL$8&lt;&gt;""),COUNTIFS($C$9:$C$59,$L9,$J$9:$J$59,AL$8),0)</f>
        <v>0</v>
      </c>
      <c r="AM9" s="178">
        <f t="array" ref="AM9">IF(AND($L9&lt;&gt;"",AM$8&lt;&gt;""),COUNTIFS($C$9:$C$59,$L9,$J$9:$J$59,AM$8),0)</f>
        <v>0</v>
      </c>
      <c r="AN9" s="178">
        <f t="array" ref="AN9">IF(AND($L9&lt;&gt;"",AN$8&lt;&gt;""),COUNTIFS($C$9:$C$59,$L9,$J$9:$J$59,AN$8),0)</f>
        <v>0</v>
      </c>
      <c r="AO9" s="178">
        <f t="array" ref="AO9">IF(AND($L9&lt;&gt;"",AO$8&lt;&gt;""),COUNTIFS($C$9:$C$59,$L9,$J$9:$J$59,AO$8),0)</f>
        <v>0</v>
      </c>
      <c r="AP9" s="178">
        <f t="array" ref="AP9">IF(AND($L9&lt;&gt;"",AP$8&lt;&gt;""),COUNTIFS($C$9:$C$59,$L9,$J$9:$J$59,AP$8),0)</f>
        <v>0</v>
      </c>
      <c r="AQ9" s="178">
        <f t="array" ref="AQ9">IF(AND($L9&lt;&gt;"",AQ$8&lt;&gt;""),COUNTIFS($C$9:$C$59,$L9,$J$9:$J$59,AQ$8),0)</f>
        <v>0</v>
      </c>
      <c r="AR9" s="178">
        <f t="array" ref="AR9">IF(AND($L9&lt;&gt;"",AR$8&lt;&gt;""),COUNTIFS($C$9:$C$59,$L9,$J$9:$J$59,AR$8),0)</f>
        <v>0</v>
      </c>
      <c r="AS9" s="178">
        <f t="array" ref="AS9">IF(AND($L9&lt;&gt;"",AS$8&lt;&gt;""),COUNTIFS($C$9:$C$59,$L9,$J$9:$J$59,AS$8),0)</f>
        <v>0</v>
      </c>
      <c r="AT9" s="178">
        <f t="array" ref="AT9">IF(AND($L9&lt;&gt;"",AT$8&lt;&gt;""),COUNTIFS($C$9:$C$59,$L9,$J$9:$J$59,AT$8),0)</f>
        <v>0</v>
      </c>
      <c r="AU9" s="178">
        <f t="array" ref="AU9">IF(AND($L9&lt;&gt;"",AU$8&lt;&gt;""),COUNTIFS($C$9:$C$59,$L9,$J$9:$J$59,AU$8),0)</f>
        <v>0</v>
      </c>
      <c r="AV9" s="178">
        <f t="array" ref="AV9">IF(AND($L9&lt;&gt;"",AV$8&lt;&gt;""),COUNTIFS($C$9:$C$59,$L9,$J$9:$J$59,AV$8),0)</f>
        <v>0</v>
      </c>
      <c r="AW9" s="178">
        <f t="array" ref="AW9">IF(AND($L9&lt;&gt;"",AW$8&lt;&gt;""),COUNTIFS($C$9:$C$59,$L9,$J$9:$J$59,AW$8),0)</f>
        <v>0</v>
      </c>
      <c r="AX9" s="178">
        <f t="array" ref="AX9">IF(AND($L9&lt;&gt;"",AX$8&lt;&gt;""),COUNTIFS($C$9:$C$59,$L9,$J$9:$J$59,AX$8),0)</f>
        <v>0</v>
      </c>
      <c r="AY9" s="178">
        <f t="array" ref="AY9">IF(AND($L9&lt;&gt;"",AY$8&lt;&gt;""),COUNTIFS($C$9:$C$59,$L9,$J$9:$J$59,AY$8),0)</f>
        <v>0</v>
      </c>
      <c r="AZ9" s="178">
        <f t="array" ref="AZ9">IF(AND($L9&lt;&gt;"",AZ$8&lt;&gt;""),COUNTIFS($C$9:$C$59,$L9,$J$9:$J$59,AZ$8),0)</f>
        <v>0</v>
      </c>
      <c r="BA9" s="178">
        <f t="array" ref="BA9">IF(AND($L9&lt;&gt;"",BA$8&lt;&gt;""),COUNTIFS($C$9:$C$59,$L9,$J$9:$J$59,BA$8),0)</f>
        <v>0</v>
      </c>
      <c r="BB9" s="178">
        <f t="array" ref="BB9">IF(AND($L9&lt;&gt;"",BB$8&lt;&gt;""),COUNTIFS($C$9:$C$59,$L9,$J$9:$J$59,BB$8),0)</f>
        <v>0</v>
      </c>
      <c r="BC9" s="178">
        <f t="array" ref="BC9">IF(AND($L9&lt;&gt;"",BC$8&lt;&gt;""),COUNTIFS($C$9:$C$59,$L9,$J$9:$J$59,BC$8),0)</f>
        <v>0</v>
      </c>
      <c r="BD9" s="178">
        <f t="array" ref="BD9">IF(AND($L9&lt;&gt;"",BD$8&lt;&gt;""),COUNTIFS($C$9:$C$59,$L9,$J$9:$J$59,BD$8),0)</f>
        <v>0</v>
      </c>
      <c r="BE9" s="178">
        <f t="array" ref="BE9">IF(AND($L9&lt;&gt;"",BE$8&lt;&gt;""),COUNTIFS($C$9:$C$59,$L9,$J$9:$J$59,BE$8),0)</f>
        <v>0</v>
      </c>
      <c r="BF9" s="178">
        <f t="array" ref="BF9">IF(AND($L9&lt;&gt;"",BF$8&lt;&gt;""),COUNTIFS($C$9:$C$59,$L9,$J$9:$J$59,BF$8),0)</f>
        <v>0</v>
      </c>
      <c r="BG9" s="178">
        <f t="array" ref="BG9">IF(AND($L9&lt;&gt;"",BG$8&lt;&gt;""),COUNTIFS($C$9:$C$59,$L9,$J$9:$J$59,BG$8),0)</f>
        <v>0</v>
      </c>
      <c r="BH9" s="178">
        <f t="array" ref="BH9">IF(AND($L9&lt;&gt;"",BH$8&lt;&gt;""),COUNTIFS($C$9:$C$59,$L9,$J$9:$J$59,BH$8),0)</f>
        <v>0</v>
      </c>
      <c r="BI9" s="178">
        <f t="array" ref="BI9">IF(AND($L9&lt;&gt;"",BI$8&lt;&gt;""),COUNTIFS($C$9:$C$59,$L9,$J$9:$J$59,BI$8),0)</f>
        <v>0</v>
      </c>
      <c r="BJ9" s="178">
        <f t="array" ref="BJ9">IF(AND($L9&lt;&gt;"",BJ$8&lt;&gt;""),COUNTIFS($C$9:$C$59,$L9,$J$9:$J$59,BJ$8),0)</f>
        <v>0</v>
      </c>
    </row>
    <row r="10" spans="1:62" x14ac:dyDescent="0.2">
      <c r="B10" s="126" t="s">
        <v>145</v>
      </c>
      <c r="C10" s="265"/>
      <c r="D10" s="23"/>
      <c r="E10" s="118"/>
      <c r="F10" s="118"/>
      <c r="G10" s="118" t="s">
        <v>287</v>
      </c>
      <c r="H10" s="117" t="str">
        <f t="shared" ref="H10:H58" si="0">IF(G10="SIM",IF(AND(E10&lt;&gt;0,F10&lt;&gt;0),((E10/100)+0.1)+((F10/100)+0.05)*2,"Preencher"),"-")</f>
        <v>-</v>
      </c>
      <c r="I10" s="127"/>
      <c r="J10" s="171" t="str">
        <f t="shared" ref="J10:J58" si="1">IF(C10&lt;&gt;"",D10&amp;" "&amp;IF(E10&lt;100,0,"")&amp;E10&amp;"x"&amp;F10,"")</f>
        <v/>
      </c>
      <c r="L10" s="178" t="str">
        <f t="array" ref="L10">IFERROR(INDEX($C$9:$C$59,MATCH(0,COUNTIF($L$8:$L9,$C$9:$C$59),0)),"")</f>
        <v/>
      </c>
      <c r="M10" s="178">
        <f t="array" ref="M10">IF(AND($L10&lt;&gt;"",M$8&lt;&gt;""),COUNTIFS($C$9:$C$59,$L10,$J$9:$J$59,M$8),0)</f>
        <v>0</v>
      </c>
      <c r="N10" s="178">
        <f t="array" ref="N10">IF(AND($L10&lt;&gt;"",N$8&lt;&gt;""),COUNTIFS($C$9:$C$59,$L10,$J$9:$J$59,N$8),0)</f>
        <v>0</v>
      </c>
      <c r="O10" s="178">
        <f t="array" ref="O10">IF(AND($L10&lt;&gt;"",O$8&lt;&gt;""),COUNTIFS($C$9:$C$59,$L10,$J$9:$J$59,O$8),0)</f>
        <v>0</v>
      </c>
      <c r="P10" s="178">
        <f t="array" ref="P10">IF(AND($L10&lt;&gt;"",P$8&lt;&gt;""),COUNTIFS($C$9:$C$59,$L10,$J$9:$J$59,P$8),0)</f>
        <v>0</v>
      </c>
      <c r="Q10" s="178">
        <f t="array" ref="Q10">IF(AND($L10&lt;&gt;"",Q$8&lt;&gt;""),COUNTIFS($C$9:$C$59,$L10,$J$9:$J$59,Q$8),0)</f>
        <v>0</v>
      </c>
      <c r="R10" s="178">
        <f t="array" ref="R10">IF(AND($L10&lt;&gt;"",R$8&lt;&gt;""),COUNTIFS($C$9:$C$59,$L10,$J$9:$J$59,R$8),0)</f>
        <v>0</v>
      </c>
      <c r="S10" s="178">
        <f t="array" ref="S10">IF(AND($L10&lt;&gt;"",S$8&lt;&gt;""),COUNTIFS($C$9:$C$59,$L10,$J$9:$J$59,S$8),0)</f>
        <v>0</v>
      </c>
      <c r="T10" s="178">
        <f t="array" ref="T10">IF(AND($L10&lt;&gt;"",T$8&lt;&gt;""),COUNTIFS($C$9:$C$59,$L10,$J$9:$J$59,T$8),0)</f>
        <v>0</v>
      </c>
      <c r="U10" s="178">
        <f t="array" ref="U10">IF(AND($L10&lt;&gt;"",U$8&lt;&gt;""),COUNTIFS($C$9:$C$59,$L10,$J$9:$J$59,U$8),0)</f>
        <v>0</v>
      </c>
      <c r="V10" s="178">
        <f t="array" ref="V10">IF(AND($L10&lt;&gt;"",V$8&lt;&gt;""),COUNTIFS($C$9:$C$59,$L10,$J$9:$J$59,V$8),0)</f>
        <v>0</v>
      </c>
      <c r="W10" s="178">
        <f t="array" ref="W10">IF(AND($L10&lt;&gt;"",W$8&lt;&gt;""),COUNTIFS($C$9:$C$59,$L10,$J$9:$J$59,W$8),0)</f>
        <v>0</v>
      </c>
      <c r="X10" s="178">
        <f t="array" ref="X10">IF(AND($L10&lt;&gt;"",X$8&lt;&gt;""),COUNTIFS($C$9:$C$59,$L10,$J$9:$J$59,X$8),0)</f>
        <v>0</v>
      </c>
      <c r="Y10" s="178">
        <f t="array" ref="Y10">IF(AND($L10&lt;&gt;"",Y$8&lt;&gt;""),COUNTIFS($C$9:$C$59,$L10,$J$9:$J$59,Y$8),0)</f>
        <v>0</v>
      </c>
      <c r="Z10" s="178">
        <f t="array" ref="Z10">IF(AND($L10&lt;&gt;"",Z$8&lt;&gt;""),COUNTIFS($C$9:$C$59,$L10,$J$9:$J$59,Z$8),0)</f>
        <v>0</v>
      </c>
      <c r="AA10" s="178">
        <f t="array" ref="AA10">IF(AND($L10&lt;&gt;"",AA$8&lt;&gt;""),COUNTIFS($C$9:$C$59,$L10,$J$9:$J$59,AA$8),0)</f>
        <v>0</v>
      </c>
      <c r="AB10" s="178">
        <f t="array" ref="AB10">IF(AND($L10&lt;&gt;"",AB$8&lt;&gt;""),COUNTIFS($C$9:$C$59,$L10,$J$9:$J$59,AB$8),0)</f>
        <v>0</v>
      </c>
      <c r="AC10" s="178">
        <f t="array" ref="AC10">IF(AND($L10&lt;&gt;"",AC$8&lt;&gt;""),COUNTIFS($C$9:$C$59,$L10,$J$9:$J$59,AC$8),0)</f>
        <v>0</v>
      </c>
      <c r="AD10" s="178">
        <f t="array" ref="AD10">IF(AND($L10&lt;&gt;"",AD$8&lt;&gt;""),COUNTIFS($C$9:$C$59,$L10,$J$9:$J$59,AD$8),0)</f>
        <v>0</v>
      </c>
      <c r="AE10" s="178">
        <f t="array" ref="AE10">IF(AND($L10&lt;&gt;"",AE$8&lt;&gt;""),COUNTIFS($C$9:$C$59,$L10,$J$9:$J$59,AE$8),0)</f>
        <v>0</v>
      </c>
      <c r="AF10" s="178">
        <f t="array" ref="AF10">IF(AND($L10&lt;&gt;"",AF$8&lt;&gt;""),COUNTIFS($C$9:$C$59,$L10,$J$9:$J$59,AF$8),0)</f>
        <v>0</v>
      </c>
      <c r="AG10" s="178">
        <f t="array" ref="AG10">IF(AND($L10&lt;&gt;"",AG$8&lt;&gt;""),COUNTIFS($C$9:$C$59,$L10,$J$9:$J$59,AG$8),0)</f>
        <v>0</v>
      </c>
      <c r="AH10" s="178">
        <f t="array" ref="AH10">IF(AND($L10&lt;&gt;"",AH$8&lt;&gt;""),COUNTIFS($C$9:$C$59,$L10,$J$9:$J$59,AH$8),0)</f>
        <v>0</v>
      </c>
      <c r="AI10" s="178">
        <f t="array" ref="AI10">IF(AND($L10&lt;&gt;"",AI$8&lt;&gt;""),COUNTIFS($C$9:$C$59,$L10,$J$9:$J$59,AI$8),0)</f>
        <v>0</v>
      </c>
      <c r="AJ10" s="178">
        <f t="array" ref="AJ10">IF(AND($L10&lt;&gt;"",AJ$8&lt;&gt;""),COUNTIFS($C$9:$C$59,$L10,$J$9:$J$59,AJ$8),0)</f>
        <v>0</v>
      </c>
      <c r="AK10" s="178">
        <f t="array" ref="AK10">IF(AND($L10&lt;&gt;"",AK$8&lt;&gt;""),COUNTIFS($C$9:$C$59,$L10,$J$9:$J$59,AK$8),0)</f>
        <v>0</v>
      </c>
      <c r="AL10" s="178">
        <f t="array" ref="AL10">IF(AND($L10&lt;&gt;"",AL$8&lt;&gt;""),COUNTIFS($C$9:$C$59,$L10,$J$9:$J$59,AL$8),0)</f>
        <v>0</v>
      </c>
      <c r="AM10" s="178">
        <f t="array" ref="AM10">IF(AND($L10&lt;&gt;"",AM$8&lt;&gt;""),COUNTIFS($C$9:$C$59,$L10,$J$9:$J$59,AM$8),0)</f>
        <v>0</v>
      </c>
      <c r="AN10" s="178">
        <f t="array" ref="AN10">IF(AND($L10&lt;&gt;"",AN$8&lt;&gt;""),COUNTIFS($C$9:$C$59,$L10,$J$9:$J$59,AN$8),0)</f>
        <v>0</v>
      </c>
      <c r="AO10" s="178">
        <f t="array" ref="AO10">IF(AND($L10&lt;&gt;"",AO$8&lt;&gt;""),COUNTIFS($C$9:$C$59,$L10,$J$9:$J$59,AO$8),0)</f>
        <v>0</v>
      </c>
      <c r="AP10" s="178">
        <f t="array" ref="AP10">IF(AND($L10&lt;&gt;"",AP$8&lt;&gt;""),COUNTIFS($C$9:$C$59,$L10,$J$9:$J$59,AP$8),0)</f>
        <v>0</v>
      </c>
      <c r="AQ10" s="178">
        <f t="array" ref="AQ10">IF(AND($L10&lt;&gt;"",AQ$8&lt;&gt;""),COUNTIFS($C$9:$C$59,$L10,$J$9:$J$59,AQ$8),0)</f>
        <v>0</v>
      </c>
      <c r="AR10" s="178">
        <f t="array" ref="AR10">IF(AND($L10&lt;&gt;"",AR$8&lt;&gt;""),COUNTIFS($C$9:$C$59,$L10,$J$9:$J$59,AR$8),0)</f>
        <v>0</v>
      </c>
      <c r="AS10" s="178">
        <f t="array" ref="AS10">IF(AND($L10&lt;&gt;"",AS$8&lt;&gt;""),COUNTIFS($C$9:$C$59,$L10,$J$9:$J$59,AS$8),0)</f>
        <v>0</v>
      </c>
      <c r="AT10" s="178">
        <f t="array" ref="AT10">IF(AND($L10&lt;&gt;"",AT$8&lt;&gt;""),COUNTIFS($C$9:$C$59,$L10,$J$9:$J$59,AT$8),0)</f>
        <v>0</v>
      </c>
      <c r="AU10" s="178">
        <f t="array" ref="AU10">IF(AND($L10&lt;&gt;"",AU$8&lt;&gt;""),COUNTIFS($C$9:$C$59,$L10,$J$9:$J$59,AU$8),0)</f>
        <v>0</v>
      </c>
      <c r="AV10" s="178">
        <f t="array" ref="AV10">IF(AND($L10&lt;&gt;"",AV$8&lt;&gt;""),COUNTIFS($C$9:$C$59,$L10,$J$9:$J$59,AV$8),0)</f>
        <v>0</v>
      </c>
      <c r="AW10" s="178">
        <f t="array" ref="AW10">IF(AND($L10&lt;&gt;"",AW$8&lt;&gt;""),COUNTIFS($C$9:$C$59,$L10,$J$9:$J$59,AW$8),0)</f>
        <v>0</v>
      </c>
      <c r="AX10" s="178">
        <f t="array" ref="AX10">IF(AND($L10&lt;&gt;"",AX$8&lt;&gt;""),COUNTIFS($C$9:$C$59,$L10,$J$9:$J$59,AX$8),0)</f>
        <v>0</v>
      </c>
      <c r="AY10" s="178">
        <f t="array" ref="AY10">IF(AND($L10&lt;&gt;"",AY$8&lt;&gt;""),COUNTIFS($C$9:$C$59,$L10,$J$9:$J$59,AY$8),0)</f>
        <v>0</v>
      </c>
      <c r="AZ10" s="178">
        <f t="array" ref="AZ10">IF(AND($L10&lt;&gt;"",AZ$8&lt;&gt;""),COUNTIFS($C$9:$C$59,$L10,$J$9:$J$59,AZ$8),0)</f>
        <v>0</v>
      </c>
      <c r="BA10" s="178">
        <f t="array" ref="BA10">IF(AND($L10&lt;&gt;"",BA$8&lt;&gt;""),COUNTIFS($C$9:$C$59,$L10,$J$9:$J$59,BA$8),0)</f>
        <v>0</v>
      </c>
      <c r="BB10" s="178">
        <f t="array" ref="BB10">IF(AND($L10&lt;&gt;"",BB$8&lt;&gt;""),COUNTIFS($C$9:$C$59,$L10,$J$9:$J$59,BB$8),0)</f>
        <v>0</v>
      </c>
      <c r="BC10" s="178">
        <f t="array" ref="BC10">IF(AND($L10&lt;&gt;"",BC$8&lt;&gt;""),COUNTIFS($C$9:$C$59,$L10,$J$9:$J$59,BC$8),0)</f>
        <v>0</v>
      </c>
      <c r="BD10" s="178">
        <f t="array" ref="BD10">IF(AND($L10&lt;&gt;"",BD$8&lt;&gt;""),COUNTIFS($C$9:$C$59,$L10,$J$9:$J$59,BD$8),0)</f>
        <v>0</v>
      </c>
      <c r="BE10" s="178">
        <f t="array" ref="BE10">IF(AND($L10&lt;&gt;"",BE$8&lt;&gt;""),COUNTIFS($C$9:$C$59,$L10,$J$9:$J$59,BE$8),0)</f>
        <v>0</v>
      </c>
      <c r="BF10" s="178">
        <f t="array" ref="BF10">IF(AND($L10&lt;&gt;"",BF$8&lt;&gt;""),COUNTIFS($C$9:$C$59,$L10,$J$9:$J$59,BF$8),0)</f>
        <v>0</v>
      </c>
      <c r="BG10" s="178">
        <f t="array" ref="BG10">IF(AND($L10&lt;&gt;"",BG$8&lt;&gt;""),COUNTIFS($C$9:$C$59,$L10,$J$9:$J$59,BG$8),0)</f>
        <v>0</v>
      </c>
      <c r="BH10" s="178">
        <f t="array" ref="BH10">IF(AND($L10&lt;&gt;"",BH$8&lt;&gt;""),COUNTIFS($C$9:$C$59,$L10,$J$9:$J$59,BH$8),0)</f>
        <v>0</v>
      </c>
      <c r="BI10" s="178">
        <f t="array" ref="BI10">IF(AND($L10&lt;&gt;"",BI$8&lt;&gt;""),COUNTIFS($C$9:$C$59,$L10,$J$9:$J$59,BI$8),0)</f>
        <v>0</v>
      </c>
      <c r="BJ10" s="178">
        <f t="array" ref="BJ10">IF(AND($L10&lt;&gt;"",BJ$8&lt;&gt;""),COUNTIFS($C$9:$C$59,$L10,$J$9:$J$59,BJ$8),0)</f>
        <v>0</v>
      </c>
    </row>
    <row r="11" spans="1:62" x14ac:dyDescent="0.2">
      <c r="B11" s="126" t="s">
        <v>146</v>
      </c>
      <c r="C11" s="266"/>
      <c r="D11" s="23"/>
      <c r="E11" s="118"/>
      <c r="F11" s="118"/>
      <c r="G11" s="118" t="s">
        <v>287</v>
      </c>
      <c r="H11" s="117" t="str">
        <f t="shared" si="0"/>
        <v>-</v>
      </c>
      <c r="I11" s="127"/>
      <c r="J11" s="171" t="str">
        <f t="shared" si="1"/>
        <v/>
      </c>
      <c r="L11" s="178" t="str">
        <f t="array" ref="L11">IFERROR(INDEX($C$9:$C$59,MATCH(0,COUNTIF($L$8:$L10,$C$9:$C$59),0)),"")</f>
        <v/>
      </c>
      <c r="M11" s="178">
        <f t="array" ref="M11">IF(AND($L11&lt;&gt;"",M$8&lt;&gt;""),COUNTIFS($C$9:$C$59,$L11,$J$9:$J$59,M$8),0)</f>
        <v>0</v>
      </c>
      <c r="N11" s="178">
        <f t="array" ref="N11">IF(AND($L11&lt;&gt;"",N$8&lt;&gt;""),COUNTIFS($C$9:$C$59,$L11,$J$9:$J$59,N$8),0)</f>
        <v>0</v>
      </c>
      <c r="O11" s="178">
        <f t="array" ref="O11">IF(AND($L11&lt;&gt;"",O$8&lt;&gt;""),COUNTIFS($C$9:$C$59,$L11,$J$9:$J$59,O$8),0)</f>
        <v>0</v>
      </c>
      <c r="P11" s="178">
        <f t="array" ref="P11">IF(AND($L11&lt;&gt;"",P$8&lt;&gt;""),COUNTIFS($C$9:$C$59,$L11,$J$9:$J$59,P$8),0)</f>
        <v>0</v>
      </c>
      <c r="Q11" s="178">
        <f t="array" ref="Q11">IF(AND($L11&lt;&gt;"",Q$8&lt;&gt;""),COUNTIFS($C$9:$C$59,$L11,$J$9:$J$59,Q$8),0)</f>
        <v>0</v>
      </c>
      <c r="R11" s="178">
        <f t="array" ref="R11">IF(AND($L11&lt;&gt;"",R$8&lt;&gt;""),COUNTIFS($C$9:$C$59,$L11,$J$9:$J$59,R$8),0)</f>
        <v>0</v>
      </c>
      <c r="S11" s="178">
        <f t="array" ref="S11">IF(AND($L11&lt;&gt;"",S$8&lt;&gt;""),COUNTIFS($C$9:$C$59,$L11,$J$9:$J$59,S$8),0)</f>
        <v>0</v>
      </c>
      <c r="T11" s="178">
        <f t="array" ref="T11">IF(AND($L11&lt;&gt;"",T$8&lt;&gt;""),COUNTIFS($C$9:$C$59,$L11,$J$9:$J$59,T$8),0)</f>
        <v>0</v>
      </c>
      <c r="U11" s="178">
        <f t="array" ref="U11">IF(AND($L11&lt;&gt;"",U$8&lt;&gt;""),COUNTIFS($C$9:$C$59,$L11,$J$9:$J$59,U$8),0)</f>
        <v>0</v>
      </c>
      <c r="V11" s="178">
        <f t="array" ref="V11">IF(AND($L11&lt;&gt;"",V$8&lt;&gt;""),COUNTIFS($C$9:$C$59,$L11,$J$9:$J$59,V$8),0)</f>
        <v>0</v>
      </c>
      <c r="W11" s="178">
        <f t="array" ref="W11">IF(AND($L11&lt;&gt;"",W$8&lt;&gt;""),COUNTIFS($C$9:$C$59,$L11,$J$9:$J$59,W$8),0)</f>
        <v>0</v>
      </c>
      <c r="X11" s="178">
        <f t="array" ref="X11">IF(AND($L11&lt;&gt;"",X$8&lt;&gt;""),COUNTIFS($C$9:$C$59,$L11,$J$9:$J$59,X$8),0)</f>
        <v>0</v>
      </c>
      <c r="Y11" s="178">
        <f t="array" ref="Y11">IF(AND($L11&lt;&gt;"",Y$8&lt;&gt;""),COUNTIFS($C$9:$C$59,$L11,$J$9:$J$59,Y$8),0)</f>
        <v>0</v>
      </c>
      <c r="Z11" s="178">
        <f t="array" ref="Z11">IF(AND($L11&lt;&gt;"",Z$8&lt;&gt;""),COUNTIFS($C$9:$C$59,$L11,$J$9:$J$59,Z$8),0)</f>
        <v>0</v>
      </c>
      <c r="AA11" s="178">
        <f t="array" ref="AA11">IF(AND($L11&lt;&gt;"",AA$8&lt;&gt;""),COUNTIFS($C$9:$C$59,$L11,$J$9:$J$59,AA$8),0)</f>
        <v>0</v>
      </c>
      <c r="AB11" s="178">
        <f t="array" ref="AB11">IF(AND($L11&lt;&gt;"",AB$8&lt;&gt;""),COUNTIFS($C$9:$C$59,$L11,$J$9:$J$59,AB$8),0)</f>
        <v>0</v>
      </c>
      <c r="AC11" s="178">
        <f t="array" ref="AC11">IF(AND($L11&lt;&gt;"",AC$8&lt;&gt;""),COUNTIFS($C$9:$C$59,$L11,$J$9:$J$59,AC$8),0)</f>
        <v>0</v>
      </c>
      <c r="AD11" s="178">
        <f t="array" ref="AD11">IF(AND($L11&lt;&gt;"",AD$8&lt;&gt;""),COUNTIFS($C$9:$C$59,$L11,$J$9:$J$59,AD$8),0)</f>
        <v>0</v>
      </c>
      <c r="AE11" s="178">
        <f t="array" ref="AE11">IF(AND($L11&lt;&gt;"",AE$8&lt;&gt;""),COUNTIFS($C$9:$C$59,$L11,$J$9:$J$59,AE$8),0)</f>
        <v>0</v>
      </c>
      <c r="AF11" s="178">
        <f t="array" ref="AF11">IF(AND($L11&lt;&gt;"",AF$8&lt;&gt;""),COUNTIFS($C$9:$C$59,$L11,$J$9:$J$59,AF$8),0)</f>
        <v>0</v>
      </c>
      <c r="AG11" s="178">
        <f t="array" ref="AG11">IF(AND($L11&lt;&gt;"",AG$8&lt;&gt;""),COUNTIFS($C$9:$C$59,$L11,$J$9:$J$59,AG$8),0)</f>
        <v>0</v>
      </c>
      <c r="AH11" s="178">
        <f t="array" ref="AH11">IF(AND($L11&lt;&gt;"",AH$8&lt;&gt;""),COUNTIFS($C$9:$C$59,$L11,$J$9:$J$59,AH$8),0)</f>
        <v>0</v>
      </c>
      <c r="AI11" s="178">
        <f t="array" ref="AI11">IF(AND($L11&lt;&gt;"",AI$8&lt;&gt;""),COUNTIFS($C$9:$C$59,$L11,$J$9:$J$59,AI$8),0)</f>
        <v>0</v>
      </c>
      <c r="AJ11" s="178">
        <f t="array" ref="AJ11">IF(AND($L11&lt;&gt;"",AJ$8&lt;&gt;""),COUNTIFS($C$9:$C$59,$L11,$J$9:$J$59,AJ$8),0)</f>
        <v>0</v>
      </c>
      <c r="AK11" s="178">
        <f t="array" ref="AK11">IF(AND($L11&lt;&gt;"",AK$8&lt;&gt;""),COUNTIFS($C$9:$C$59,$L11,$J$9:$J$59,AK$8),0)</f>
        <v>0</v>
      </c>
      <c r="AL11" s="178">
        <f t="array" ref="AL11">IF(AND($L11&lt;&gt;"",AL$8&lt;&gt;""),COUNTIFS($C$9:$C$59,$L11,$J$9:$J$59,AL$8),0)</f>
        <v>0</v>
      </c>
      <c r="AM11" s="178">
        <f t="array" ref="AM11">IF(AND($L11&lt;&gt;"",AM$8&lt;&gt;""),COUNTIFS($C$9:$C$59,$L11,$J$9:$J$59,AM$8),0)</f>
        <v>0</v>
      </c>
      <c r="AN11" s="178">
        <f t="array" ref="AN11">IF(AND($L11&lt;&gt;"",AN$8&lt;&gt;""),COUNTIFS($C$9:$C$59,$L11,$J$9:$J$59,AN$8),0)</f>
        <v>0</v>
      </c>
      <c r="AO11" s="178">
        <f t="array" ref="AO11">IF(AND($L11&lt;&gt;"",AO$8&lt;&gt;""),COUNTIFS($C$9:$C$59,$L11,$J$9:$J$59,AO$8),0)</f>
        <v>0</v>
      </c>
      <c r="AP11" s="178">
        <f t="array" ref="AP11">IF(AND($L11&lt;&gt;"",AP$8&lt;&gt;""),COUNTIFS($C$9:$C$59,$L11,$J$9:$J$59,AP$8),0)</f>
        <v>0</v>
      </c>
      <c r="AQ11" s="178">
        <f t="array" ref="AQ11">IF(AND($L11&lt;&gt;"",AQ$8&lt;&gt;""),COUNTIFS($C$9:$C$59,$L11,$J$9:$J$59,AQ$8),0)</f>
        <v>0</v>
      </c>
      <c r="AR11" s="178">
        <f t="array" ref="AR11">IF(AND($L11&lt;&gt;"",AR$8&lt;&gt;""),COUNTIFS($C$9:$C$59,$L11,$J$9:$J$59,AR$8),0)</f>
        <v>0</v>
      </c>
      <c r="AS11" s="178">
        <f t="array" ref="AS11">IF(AND($L11&lt;&gt;"",AS$8&lt;&gt;""),COUNTIFS($C$9:$C$59,$L11,$J$9:$J$59,AS$8),0)</f>
        <v>0</v>
      </c>
      <c r="AT11" s="178">
        <f t="array" ref="AT11">IF(AND($L11&lt;&gt;"",AT$8&lt;&gt;""),COUNTIFS($C$9:$C$59,$L11,$J$9:$J$59,AT$8),0)</f>
        <v>0</v>
      </c>
      <c r="AU11" s="178">
        <f t="array" ref="AU11">IF(AND($L11&lt;&gt;"",AU$8&lt;&gt;""),COUNTIFS($C$9:$C$59,$L11,$J$9:$J$59,AU$8),0)</f>
        <v>0</v>
      </c>
      <c r="AV11" s="178">
        <f t="array" ref="AV11">IF(AND($L11&lt;&gt;"",AV$8&lt;&gt;""),COUNTIFS($C$9:$C$59,$L11,$J$9:$J$59,AV$8),0)</f>
        <v>0</v>
      </c>
      <c r="AW11" s="178">
        <f t="array" ref="AW11">IF(AND($L11&lt;&gt;"",AW$8&lt;&gt;""),COUNTIFS($C$9:$C$59,$L11,$J$9:$J$59,AW$8),0)</f>
        <v>0</v>
      </c>
      <c r="AX11" s="178">
        <f t="array" ref="AX11">IF(AND($L11&lt;&gt;"",AX$8&lt;&gt;""),COUNTIFS($C$9:$C$59,$L11,$J$9:$J$59,AX$8),0)</f>
        <v>0</v>
      </c>
      <c r="AY11" s="178">
        <f t="array" ref="AY11">IF(AND($L11&lt;&gt;"",AY$8&lt;&gt;""),COUNTIFS($C$9:$C$59,$L11,$J$9:$J$59,AY$8),0)</f>
        <v>0</v>
      </c>
      <c r="AZ11" s="178">
        <f t="array" ref="AZ11">IF(AND($L11&lt;&gt;"",AZ$8&lt;&gt;""),COUNTIFS($C$9:$C$59,$L11,$J$9:$J$59,AZ$8),0)</f>
        <v>0</v>
      </c>
      <c r="BA11" s="178">
        <f t="array" ref="BA11">IF(AND($L11&lt;&gt;"",BA$8&lt;&gt;""),COUNTIFS($C$9:$C$59,$L11,$J$9:$J$59,BA$8),0)</f>
        <v>0</v>
      </c>
      <c r="BB11" s="178">
        <f t="array" ref="BB11">IF(AND($L11&lt;&gt;"",BB$8&lt;&gt;""),COUNTIFS($C$9:$C$59,$L11,$J$9:$J$59,BB$8),0)</f>
        <v>0</v>
      </c>
      <c r="BC11" s="178">
        <f t="array" ref="BC11">IF(AND($L11&lt;&gt;"",BC$8&lt;&gt;""),COUNTIFS($C$9:$C$59,$L11,$J$9:$J$59,BC$8),0)</f>
        <v>0</v>
      </c>
      <c r="BD11" s="178">
        <f t="array" ref="BD11">IF(AND($L11&lt;&gt;"",BD$8&lt;&gt;""),COUNTIFS($C$9:$C$59,$L11,$J$9:$J$59,BD$8),0)</f>
        <v>0</v>
      </c>
      <c r="BE11" s="178">
        <f t="array" ref="BE11">IF(AND($L11&lt;&gt;"",BE$8&lt;&gt;""),COUNTIFS($C$9:$C$59,$L11,$J$9:$J$59,BE$8),0)</f>
        <v>0</v>
      </c>
      <c r="BF11" s="178">
        <f t="array" ref="BF11">IF(AND($L11&lt;&gt;"",BF$8&lt;&gt;""),COUNTIFS($C$9:$C$59,$L11,$J$9:$J$59,BF$8),0)</f>
        <v>0</v>
      </c>
      <c r="BG11" s="178">
        <f t="array" ref="BG11">IF(AND($L11&lt;&gt;"",BG$8&lt;&gt;""),COUNTIFS($C$9:$C$59,$L11,$J$9:$J$59,BG$8),0)</f>
        <v>0</v>
      </c>
      <c r="BH11" s="178">
        <f t="array" ref="BH11">IF(AND($L11&lt;&gt;"",BH$8&lt;&gt;""),COUNTIFS($C$9:$C$59,$L11,$J$9:$J$59,BH$8),0)</f>
        <v>0</v>
      </c>
      <c r="BI11" s="178">
        <f t="array" ref="BI11">IF(AND($L11&lt;&gt;"",BI$8&lt;&gt;""),COUNTIFS($C$9:$C$59,$L11,$J$9:$J$59,BI$8),0)</f>
        <v>0</v>
      </c>
      <c r="BJ11" s="178">
        <f t="array" ref="BJ11">IF(AND($L11&lt;&gt;"",BJ$8&lt;&gt;""),COUNTIFS($C$9:$C$59,$L11,$J$9:$J$59,BJ$8),0)</f>
        <v>0</v>
      </c>
    </row>
    <row r="12" spans="1:62" x14ac:dyDescent="0.2">
      <c r="B12" s="126" t="s">
        <v>147</v>
      </c>
      <c r="C12" s="265"/>
      <c r="D12" s="23"/>
      <c r="E12" s="118"/>
      <c r="F12" s="118"/>
      <c r="G12" s="118" t="s">
        <v>287</v>
      </c>
      <c r="H12" s="117" t="str">
        <f t="shared" si="0"/>
        <v>-</v>
      </c>
      <c r="I12" s="127"/>
      <c r="J12" s="171" t="str">
        <f t="shared" si="1"/>
        <v/>
      </c>
      <c r="L12" s="178" t="str">
        <f t="array" ref="L12">IFERROR(INDEX($C$9:$C$59,MATCH(0,COUNTIF($L$8:$L11,$C$9:$C$59),0)),"")</f>
        <v/>
      </c>
      <c r="M12" s="178">
        <f t="array" ref="M12">IF(AND($L12&lt;&gt;"",M$8&lt;&gt;""),COUNTIFS($C$9:$C$59,$L12,$J$9:$J$59,M$8),0)</f>
        <v>0</v>
      </c>
      <c r="N12" s="178">
        <f t="array" ref="N12">IF(AND($L12&lt;&gt;"",N$8&lt;&gt;""),COUNTIFS($C$9:$C$59,$L12,$J$9:$J$59,N$8),0)</f>
        <v>0</v>
      </c>
      <c r="O12" s="178">
        <f t="array" ref="O12">IF(AND($L12&lt;&gt;"",O$8&lt;&gt;""),COUNTIFS($C$9:$C$59,$L12,$J$9:$J$59,O$8),0)</f>
        <v>0</v>
      </c>
      <c r="P12" s="178">
        <f t="array" ref="P12">IF(AND($L12&lt;&gt;"",P$8&lt;&gt;""),COUNTIFS($C$9:$C$59,$L12,$J$9:$J$59,P$8),0)</f>
        <v>0</v>
      </c>
      <c r="Q12" s="178">
        <f t="array" ref="Q12">IF(AND($L12&lt;&gt;"",Q$8&lt;&gt;""),COUNTIFS($C$9:$C$59,$L12,$J$9:$J$59,Q$8),0)</f>
        <v>0</v>
      </c>
      <c r="R12" s="178">
        <f t="array" ref="R12">IF(AND($L12&lt;&gt;"",R$8&lt;&gt;""),COUNTIFS($C$9:$C$59,$L12,$J$9:$J$59,R$8),0)</f>
        <v>0</v>
      </c>
      <c r="S12" s="178">
        <f t="array" ref="S12">IF(AND($L12&lt;&gt;"",S$8&lt;&gt;""),COUNTIFS($C$9:$C$59,$L12,$J$9:$J$59,S$8),0)</f>
        <v>0</v>
      </c>
      <c r="T12" s="178">
        <f t="array" ref="T12">IF(AND($L12&lt;&gt;"",T$8&lt;&gt;""),COUNTIFS($C$9:$C$59,$L12,$J$9:$J$59,T$8),0)</f>
        <v>0</v>
      </c>
      <c r="U12" s="178">
        <f t="array" ref="U12">IF(AND($L12&lt;&gt;"",U$8&lt;&gt;""),COUNTIFS($C$9:$C$59,$L12,$J$9:$J$59,U$8),0)</f>
        <v>0</v>
      </c>
      <c r="V12" s="178">
        <f t="array" ref="V12">IF(AND($L12&lt;&gt;"",V$8&lt;&gt;""),COUNTIFS($C$9:$C$59,$L12,$J$9:$J$59,V$8),0)</f>
        <v>0</v>
      </c>
      <c r="W12" s="178">
        <f t="array" ref="W12">IF(AND($L12&lt;&gt;"",W$8&lt;&gt;""),COUNTIFS($C$9:$C$59,$L12,$J$9:$J$59,W$8),0)</f>
        <v>0</v>
      </c>
      <c r="X12" s="178">
        <f t="array" ref="X12">IF(AND($L12&lt;&gt;"",X$8&lt;&gt;""),COUNTIFS($C$9:$C$59,$L12,$J$9:$J$59,X$8),0)</f>
        <v>0</v>
      </c>
      <c r="Y12" s="178">
        <f t="array" ref="Y12">IF(AND($L12&lt;&gt;"",Y$8&lt;&gt;""),COUNTIFS($C$9:$C$59,$L12,$J$9:$J$59,Y$8),0)</f>
        <v>0</v>
      </c>
      <c r="Z12" s="178">
        <f t="array" ref="Z12">IF(AND($L12&lt;&gt;"",Z$8&lt;&gt;""),COUNTIFS($C$9:$C$59,$L12,$J$9:$J$59,Z$8),0)</f>
        <v>0</v>
      </c>
      <c r="AA12" s="178">
        <f t="array" ref="AA12">IF(AND($L12&lt;&gt;"",AA$8&lt;&gt;""),COUNTIFS($C$9:$C$59,$L12,$J$9:$J$59,AA$8),0)</f>
        <v>0</v>
      </c>
      <c r="AB12" s="178">
        <f t="array" ref="AB12">IF(AND($L12&lt;&gt;"",AB$8&lt;&gt;""),COUNTIFS($C$9:$C$59,$L12,$J$9:$J$59,AB$8),0)</f>
        <v>0</v>
      </c>
      <c r="AC12" s="178">
        <f t="array" ref="AC12">IF(AND($L12&lt;&gt;"",AC$8&lt;&gt;""),COUNTIFS($C$9:$C$59,$L12,$J$9:$J$59,AC$8),0)</f>
        <v>0</v>
      </c>
      <c r="AD12" s="178">
        <f t="array" ref="AD12">IF(AND($L12&lt;&gt;"",AD$8&lt;&gt;""),COUNTIFS($C$9:$C$59,$L12,$J$9:$J$59,AD$8),0)</f>
        <v>0</v>
      </c>
      <c r="AE12" s="178">
        <f t="array" ref="AE12">IF(AND($L12&lt;&gt;"",AE$8&lt;&gt;""),COUNTIFS($C$9:$C$59,$L12,$J$9:$J$59,AE$8),0)</f>
        <v>0</v>
      </c>
      <c r="AF12" s="178">
        <f t="array" ref="AF12">IF(AND($L12&lt;&gt;"",AF$8&lt;&gt;""),COUNTIFS($C$9:$C$59,$L12,$J$9:$J$59,AF$8),0)</f>
        <v>0</v>
      </c>
      <c r="AG12" s="178">
        <f t="array" ref="AG12">IF(AND($L12&lt;&gt;"",AG$8&lt;&gt;""),COUNTIFS($C$9:$C$59,$L12,$J$9:$J$59,AG$8),0)</f>
        <v>0</v>
      </c>
      <c r="AH12" s="178">
        <f t="array" ref="AH12">IF(AND($L12&lt;&gt;"",AH$8&lt;&gt;""),COUNTIFS($C$9:$C$59,$L12,$J$9:$J$59,AH$8),0)</f>
        <v>0</v>
      </c>
      <c r="AI12" s="178">
        <f t="array" ref="AI12">IF(AND($L12&lt;&gt;"",AI$8&lt;&gt;""),COUNTIFS($C$9:$C$59,$L12,$J$9:$J$59,AI$8),0)</f>
        <v>0</v>
      </c>
      <c r="AJ12" s="178">
        <f t="array" ref="AJ12">IF(AND($L12&lt;&gt;"",AJ$8&lt;&gt;""),COUNTIFS($C$9:$C$59,$L12,$J$9:$J$59,AJ$8),0)</f>
        <v>0</v>
      </c>
      <c r="AK12" s="178">
        <f t="array" ref="AK12">IF(AND($L12&lt;&gt;"",AK$8&lt;&gt;""),COUNTIFS($C$9:$C$59,$L12,$J$9:$J$59,AK$8),0)</f>
        <v>0</v>
      </c>
      <c r="AL12" s="178">
        <f t="array" ref="AL12">IF(AND($L12&lt;&gt;"",AL$8&lt;&gt;""),COUNTIFS($C$9:$C$59,$L12,$J$9:$J$59,AL$8),0)</f>
        <v>0</v>
      </c>
      <c r="AM12" s="178">
        <f t="array" ref="AM12">IF(AND($L12&lt;&gt;"",AM$8&lt;&gt;""),COUNTIFS($C$9:$C$59,$L12,$J$9:$J$59,AM$8),0)</f>
        <v>0</v>
      </c>
      <c r="AN12" s="178">
        <f t="array" ref="AN12">IF(AND($L12&lt;&gt;"",AN$8&lt;&gt;""),COUNTIFS($C$9:$C$59,$L12,$J$9:$J$59,AN$8),0)</f>
        <v>0</v>
      </c>
      <c r="AO12" s="178">
        <f t="array" ref="AO12">IF(AND($L12&lt;&gt;"",AO$8&lt;&gt;""),COUNTIFS($C$9:$C$59,$L12,$J$9:$J$59,AO$8),0)</f>
        <v>0</v>
      </c>
      <c r="AP12" s="178">
        <f t="array" ref="AP12">IF(AND($L12&lt;&gt;"",AP$8&lt;&gt;""),COUNTIFS($C$9:$C$59,$L12,$J$9:$J$59,AP$8),0)</f>
        <v>0</v>
      </c>
      <c r="AQ12" s="178">
        <f t="array" ref="AQ12">IF(AND($L12&lt;&gt;"",AQ$8&lt;&gt;""),COUNTIFS($C$9:$C$59,$L12,$J$9:$J$59,AQ$8),0)</f>
        <v>0</v>
      </c>
      <c r="AR12" s="178">
        <f t="array" ref="AR12">IF(AND($L12&lt;&gt;"",AR$8&lt;&gt;""),COUNTIFS($C$9:$C$59,$L12,$J$9:$J$59,AR$8),0)</f>
        <v>0</v>
      </c>
      <c r="AS12" s="178">
        <f t="array" ref="AS12">IF(AND($L12&lt;&gt;"",AS$8&lt;&gt;""),COUNTIFS($C$9:$C$59,$L12,$J$9:$J$59,AS$8),0)</f>
        <v>0</v>
      </c>
      <c r="AT12" s="178">
        <f t="array" ref="AT12">IF(AND($L12&lt;&gt;"",AT$8&lt;&gt;""),COUNTIFS($C$9:$C$59,$L12,$J$9:$J$59,AT$8),0)</f>
        <v>0</v>
      </c>
      <c r="AU12" s="178">
        <f t="array" ref="AU12">IF(AND($L12&lt;&gt;"",AU$8&lt;&gt;""),COUNTIFS($C$9:$C$59,$L12,$J$9:$J$59,AU$8),0)</f>
        <v>0</v>
      </c>
      <c r="AV12" s="178">
        <f t="array" ref="AV12">IF(AND($L12&lt;&gt;"",AV$8&lt;&gt;""),COUNTIFS($C$9:$C$59,$L12,$J$9:$J$59,AV$8),0)</f>
        <v>0</v>
      </c>
      <c r="AW12" s="178">
        <f t="array" ref="AW12">IF(AND($L12&lt;&gt;"",AW$8&lt;&gt;""),COUNTIFS($C$9:$C$59,$L12,$J$9:$J$59,AW$8),0)</f>
        <v>0</v>
      </c>
      <c r="AX12" s="178">
        <f t="array" ref="AX12">IF(AND($L12&lt;&gt;"",AX$8&lt;&gt;""),COUNTIFS($C$9:$C$59,$L12,$J$9:$J$59,AX$8),0)</f>
        <v>0</v>
      </c>
      <c r="AY12" s="178">
        <f t="array" ref="AY12">IF(AND($L12&lt;&gt;"",AY$8&lt;&gt;""),COUNTIFS($C$9:$C$59,$L12,$J$9:$J$59,AY$8),0)</f>
        <v>0</v>
      </c>
      <c r="AZ12" s="178">
        <f t="array" ref="AZ12">IF(AND($L12&lt;&gt;"",AZ$8&lt;&gt;""),COUNTIFS($C$9:$C$59,$L12,$J$9:$J$59,AZ$8),0)</f>
        <v>0</v>
      </c>
      <c r="BA12" s="178">
        <f t="array" ref="BA12">IF(AND($L12&lt;&gt;"",BA$8&lt;&gt;""),COUNTIFS($C$9:$C$59,$L12,$J$9:$J$59,BA$8),0)</f>
        <v>0</v>
      </c>
      <c r="BB12" s="178">
        <f t="array" ref="BB12">IF(AND($L12&lt;&gt;"",BB$8&lt;&gt;""),COUNTIFS($C$9:$C$59,$L12,$J$9:$J$59,BB$8),0)</f>
        <v>0</v>
      </c>
      <c r="BC12" s="178">
        <f t="array" ref="BC12">IF(AND($L12&lt;&gt;"",BC$8&lt;&gt;""),COUNTIFS($C$9:$C$59,$L12,$J$9:$J$59,BC$8),0)</f>
        <v>0</v>
      </c>
      <c r="BD12" s="178">
        <f t="array" ref="BD12">IF(AND($L12&lt;&gt;"",BD$8&lt;&gt;""),COUNTIFS($C$9:$C$59,$L12,$J$9:$J$59,BD$8),0)</f>
        <v>0</v>
      </c>
      <c r="BE12" s="178">
        <f t="array" ref="BE12">IF(AND($L12&lt;&gt;"",BE$8&lt;&gt;""),COUNTIFS($C$9:$C$59,$L12,$J$9:$J$59,BE$8),0)</f>
        <v>0</v>
      </c>
      <c r="BF12" s="178">
        <f t="array" ref="BF12">IF(AND($L12&lt;&gt;"",BF$8&lt;&gt;""),COUNTIFS($C$9:$C$59,$L12,$J$9:$J$59,BF$8),0)</f>
        <v>0</v>
      </c>
      <c r="BG12" s="178">
        <f t="array" ref="BG12">IF(AND($L12&lt;&gt;"",BG$8&lt;&gt;""),COUNTIFS($C$9:$C$59,$L12,$J$9:$J$59,BG$8),0)</f>
        <v>0</v>
      </c>
      <c r="BH12" s="178">
        <f t="array" ref="BH12">IF(AND($L12&lt;&gt;"",BH$8&lt;&gt;""),COUNTIFS($C$9:$C$59,$L12,$J$9:$J$59,BH$8),0)</f>
        <v>0</v>
      </c>
      <c r="BI12" s="178">
        <f t="array" ref="BI12">IF(AND($L12&lt;&gt;"",BI$8&lt;&gt;""),COUNTIFS($C$9:$C$59,$L12,$J$9:$J$59,BI$8),0)</f>
        <v>0</v>
      </c>
      <c r="BJ12" s="178">
        <f t="array" ref="BJ12">IF(AND($L12&lt;&gt;"",BJ$8&lt;&gt;""),COUNTIFS($C$9:$C$59,$L12,$J$9:$J$59,BJ$8),0)</f>
        <v>0</v>
      </c>
    </row>
    <row r="13" spans="1:62" x14ac:dyDescent="0.2">
      <c r="B13" s="126" t="s">
        <v>148</v>
      </c>
      <c r="C13" s="266"/>
      <c r="D13" s="23"/>
      <c r="E13" s="118"/>
      <c r="F13" s="118"/>
      <c r="G13" s="118" t="s">
        <v>287</v>
      </c>
      <c r="H13" s="117" t="str">
        <f t="shared" si="0"/>
        <v>-</v>
      </c>
      <c r="I13" s="127"/>
      <c r="J13" s="171" t="str">
        <f t="shared" si="1"/>
        <v/>
      </c>
      <c r="L13" s="178" t="str">
        <f t="array" ref="L13">IFERROR(INDEX($C$9:$C$59,MATCH(0,COUNTIF($L$8:$L12,$C$9:$C$59),0)),"")</f>
        <v/>
      </c>
      <c r="M13" s="178">
        <f t="array" ref="M13">IF(AND($L13&lt;&gt;"",M$8&lt;&gt;""),COUNTIFS($C$9:$C$59,$L13,$J$9:$J$59,M$8),0)</f>
        <v>0</v>
      </c>
      <c r="N13" s="178">
        <f t="array" ref="N13">IF(AND($L13&lt;&gt;"",N$8&lt;&gt;""),COUNTIFS($C$9:$C$59,$L13,$J$9:$J$59,N$8),0)</f>
        <v>0</v>
      </c>
      <c r="O13" s="178">
        <f t="array" ref="O13">IF(AND($L13&lt;&gt;"",O$8&lt;&gt;""),COUNTIFS($C$9:$C$59,$L13,$J$9:$J$59,O$8),0)</f>
        <v>0</v>
      </c>
      <c r="P13" s="178">
        <f t="array" ref="P13">IF(AND($L13&lt;&gt;"",P$8&lt;&gt;""),COUNTIFS($C$9:$C$59,$L13,$J$9:$J$59,P$8),0)</f>
        <v>0</v>
      </c>
      <c r="Q13" s="178">
        <f t="array" ref="Q13">IF(AND($L13&lt;&gt;"",Q$8&lt;&gt;""),COUNTIFS($C$9:$C$59,$L13,$J$9:$J$59,Q$8),0)</f>
        <v>0</v>
      </c>
      <c r="R13" s="178">
        <f t="array" ref="R13">IF(AND($L13&lt;&gt;"",R$8&lt;&gt;""),COUNTIFS($C$9:$C$59,$L13,$J$9:$J$59,R$8),0)</f>
        <v>0</v>
      </c>
      <c r="S13" s="178">
        <f t="array" ref="S13">IF(AND($L13&lt;&gt;"",S$8&lt;&gt;""),COUNTIFS($C$9:$C$59,$L13,$J$9:$J$59,S$8),0)</f>
        <v>0</v>
      </c>
      <c r="T13" s="178">
        <f t="array" ref="T13">IF(AND($L13&lt;&gt;"",T$8&lt;&gt;""),COUNTIFS($C$9:$C$59,$L13,$J$9:$J$59,T$8),0)</f>
        <v>0</v>
      </c>
      <c r="U13" s="178">
        <f t="array" ref="U13">IF(AND($L13&lt;&gt;"",U$8&lt;&gt;""),COUNTIFS($C$9:$C$59,$L13,$J$9:$J$59,U$8),0)</f>
        <v>0</v>
      </c>
      <c r="V13" s="178">
        <f t="array" ref="V13">IF(AND($L13&lt;&gt;"",V$8&lt;&gt;""),COUNTIFS($C$9:$C$59,$L13,$J$9:$J$59,V$8),0)</f>
        <v>0</v>
      </c>
      <c r="W13" s="178">
        <f t="array" ref="W13">IF(AND($L13&lt;&gt;"",W$8&lt;&gt;""),COUNTIFS($C$9:$C$59,$L13,$J$9:$J$59,W$8),0)</f>
        <v>0</v>
      </c>
      <c r="X13" s="178">
        <f t="array" ref="X13">IF(AND($L13&lt;&gt;"",X$8&lt;&gt;""),COUNTIFS($C$9:$C$59,$L13,$J$9:$J$59,X$8),0)</f>
        <v>0</v>
      </c>
      <c r="Y13" s="178">
        <f t="array" ref="Y13">IF(AND($L13&lt;&gt;"",Y$8&lt;&gt;""),COUNTIFS($C$9:$C$59,$L13,$J$9:$J$59,Y$8),0)</f>
        <v>0</v>
      </c>
      <c r="Z13" s="178">
        <f t="array" ref="Z13">IF(AND($L13&lt;&gt;"",Z$8&lt;&gt;""),COUNTIFS($C$9:$C$59,$L13,$J$9:$J$59,Z$8),0)</f>
        <v>0</v>
      </c>
      <c r="AA13" s="178">
        <f t="array" ref="AA13">IF(AND($L13&lt;&gt;"",AA$8&lt;&gt;""),COUNTIFS($C$9:$C$59,$L13,$J$9:$J$59,AA$8),0)</f>
        <v>0</v>
      </c>
      <c r="AB13" s="178">
        <f t="array" ref="AB13">IF(AND($L13&lt;&gt;"",AB$8&lt;&gt;""),COUNTIFS($C$9:$C$59,$L13,$J$9:$J$59,AB$8),0)</f>
        <v>0</v>
      </c>
      <c r="AC13" s="178">
        <f t="array" ref="AC13">IF(AND($L13&lt;&gt;"",AC$8&lt;&gt;""),COUNTIFS($C$9:$C$59,$L13,$J$9:$J$59,AC$8),0)</f>
        <v>0</v>
      </c>
      <c r="AD13" s="178">
        <f t="array" ref="AD13">IF(AND($L13&lt;&gt;"",AD$8&lt;&gt;""),COUNTIFS($C$9:$C$59,$L13,$J$9:$J$59,AD$8),0)</f>
        <v>0</v>
      </c>
      <c r="AE13" s="178">
        <f t="array" ref="AE13">IF(AND($L13&lt;&gt;"",AE$8&lt;&gt;""),COUNTIFS($C$9:$C$59,$L13,$J$9:$J$59,AE$8),0)</f>
        <v>0</v>
      </c>
      <c r="AF13" s="178">
        <f t="array" ref="AF13">IF(AND($L13&lt;&gt;"",AF$8&lt;&gt;""),COUNTIFS($C$9:$C$59,$L13,$J$9:$J$59,AF$8),0)</f>
        <v>0</v>
      </c>
      <c r="AG13" s="178">
        <f t="array" ref="AG13">IF(AND($L13&lt;&gt;"",AG$8&lt;&gt;""),COUNTIFS($C$9:$C$59,$L13,$J$9:$J$59,AG$8),0)</f>
        <v>0</v>
      </c>
      <c r="AH13" s="178">
        <f t="array" ref="AH13">IF(AND($L13&lt;&gt;"",AH$8&lt;&gt;""),COUNTIFS($C$9:$C$59,$L13,$J$9:$J$59,AH$8),0)</f>
        <v>0</v>
      </c>
      <c r="AI13" s="178">
        <f t="array" ref="AI13">IF(AND($L13&lt;&gt;"",AI$8&lt;&gt;""),COUNTIFS($C$9:$C$59,$L13,$J$9:$J$59,AI$8),0)</f>
        <v>0</v>
      </c>
      <c r="AJ13" s="178">
        <f t="array" ref="AJ13">IF(AND($L13&lt;&gt;"",AJ$8&lt;&gt;""),COUNTIFS($C$9:$C$59,$L13,$J$9:$J$59,AJ$8),0)</f>
        <v>0</v>
      </c>
      <c r="AK13" s="178">
        <f t="array" ref="AK13">IF(AND($L13&lt;&gt;"",AK$8&lt;&gt;""),COUNTIFS($C$9:$C$59,$L13,$J$9:$J$59,AK$8),0)</f>
        <v>0</v>
      </c>
      <c r="AL13" s="178">
        <f t="array" ref="AL13">IF(AND($L13&lt;&gt;"",AL$8&lt;&gt;""),COUNTIFS($C$9:$C$59,$L13,$J$9:$J$59,AL$8),0)</f>
        <v>0</v>
      </c>
      <c r="AM13" s="178">
        <f t="array" ref="AM13">IF(AND($L13&lt;&gt;"",AM$8&lt;&gt;""),COUNTIFS($C$9:$C$59,$L13,$J$9:$J$59,AM$8),0)</f>
        <v>0</v>
      </c>
      <c r="AN13" s="178">
        <f t="array" ref="AN13">IF(AND($L13&lt;&gt;"",AN$8&lt;&gt;""),COUNTIFS($C$9:$C$59,$L13,$J$9:$J$59,AN$8),0)</f>
        <v>0</v>
      </c>
      <c r="AO13" s="178">
        <f t="array" ref="AO13">IF(AND($L13&lt;&gt;"",AO$8&lt;&gt;""),COUNTIFS($C$9:$C$59,$L13,$J$9:$J$59,AO$8),0)</f>
        <v>0</v>
      </c>
      <c r="AP13" s="178">
        <f t="array" ref="AP13">IF(AND($L13&lt;&gt;"",AP$8&lt;&gt;""),COUNTIFS($C$9:$C$59,$L13,$J$9:$J$59,AP$8),0)</f>
        <v>0</v>
      </c>
      <c r="AQ13" s="178">
        <f t="array" ref="AQ13">IF(AND($L13&lt;&gt;"",AQ$8&lt;&gt;""),COUNTIFS($C$9:$C$59,$L13,$J$9:$J$59,AQ$8),0)</f>
        <v>0</v>
      </c>
      <c r="AR13" s="178">
        <f t="array" ref="AR13">IF(AND($L13&lt;&gt;"",AR$8&lt;&gt;""),COUNTIFS($C$9:$C$59,$L13,$J$9:$J$59,AR$8),0)</f>
        <v>0</v>
      </c>
      <c r="AS13" s="178">
        <f t="array" ref="AS13">IF(AND($L13&lt;&gt;"",AS$8&lt;&gt;""),COUNTIFS($C$9:$C$59,$L13,$J$9:$J$59,AS$8),0)</f>
        <v>0</v>
      </c>
      <c r="AT13" s="178">
        <f t="array" ref="AT13">IF(AND($L13&lt;&gt;"",AT$8&lt;&gt;""),COUNTIFS($C$9:$C$59,$L13,$J$9:$J$59,AT$8),0)</f>
        <v>0</v>
      </c>
      <c r="AU13" s="178">
        <f t="array" ref="AU13">IF(AND($L13&lt;&gt;"",AU$8&lt;&gt;""),COUNTIFS($C$9:$C$59,$L13,$J$9:$J$59,AU$8),0)</f>
        <v>0</v>
      </c>
      <c r="AV13" s="178">
        <f t="array" ref="AV13">IF(AND($L13&lt;&gt;"",AV$8&lt;&gt;""),COUNTIFS($C$9:$C$59,$L13,$J$9:$J$59,AV$8),0)</f>
        <v>0</v>
      </c>
      <c r="AW13" s="178">
        <f t="array" ref="AW13">IF(AND($L13&lt;&gt;"",AW$8&lt;&gt;""),COUNTIFS($C$9:$C$59,$L13,$J$9:$J$59,AW$8),0)</f>
        <v>0</v>
      </c>
      <c r="AX13" s="178">
        <f t="array" ref="AX13">IF(AND($L13&lt;&gt;"",AX$8&lt;&gt;""),COUNTIFS($C$9:$C$59,$L13,$J$9:$J$59,AX$8),0)</f>
        <v>0</v>
      </c>
      <c r="AY13" s="178">
        <f t="array" ref="AY13">IF(AND($L13&lt;&gt;"",AY$8&lt;&gt;""),COUNTIFS($C$9:$C$59,$L13,$J$9:$J$59,AY$8),0)</f>
        <v>0</v>
      </c>
      <c r="AZ13" s="178">
        <f t="array" ref="AZ13">IF(AND($L13&lt;&gt;"",AZ$8&lt;&gt;""),COUNTIFS($C$9:$C$59,$L13,$J$9:$J$59,AZ$8),0)</f>
        <v>0</v>
      </c>
      <c r="BA13" s="178">
        <f t="array" ref="BA13">IF(AND($L13&lt;&gt;"",BA$8&lt;&gt;""),COUNTIFS($C$9:$C$59,$L13,$J$9:$J$59,BA$8),0)</f>
        <v>0</v>
      </c>
      <c r="BB13" s="178">
        <f t="array" ref="BB13">IF(AND($L13&lt;&gt;"",BB$8&lt;&gt;""),COUNTIFS($C$9:$C$59,$L13,$J$9:$J$59,BB$8),0)</f>
        <v>0</v>
      </c>
      <c r="BC13" s="178">
        <f t="array" ref="BC13">IF(AND($L13&lt;&gt;"",BC$8&lt;&gt;""),COUNTIFS($C$9:$C$59,$L13,$J$9:$J$59,BC$8),0)</f>
        <v>0</v>
      </c>
      <c r="BD13" s="178">
        <f t="array" ref="BD13">IF(AND($L13&lt;&gt;"",BD$8&lt;&gt;""),COUNTIFS($C$9:$C$59,$L13,$J$9:$J$59,BD$8),0)</f>
        <v>0</v>
      </c>
      <c r="BE13" s="178">
        <f t="array" ref="BE13">IF(AND($L13&lt;&gt;"",BE$8&lt;&gt;""),COUNTIFS($C$9:$C$59,$L13,$J$9:$J$59,BE$8),0)</f>
        <v>0</v>
      </c>
      <c r="BF13" s="178">
        <f t="array" ref="BF13">IF(AND($L13&lt;&gt;"",BF$8&lt;&gt;""),COUNTIFS($C$9:$C$59,$L13,$J$9:$J$59,BF$8),0)</f>
        <v>0</v>
      </c>
      <c r="BG13" s="178">
        <f t="array" ref="BG13">IF(AND($L13&lt;&gt;"",BG$8&lt;&gt;""),COUNTIFS($C$9:$C$59,$L13,$J$9:$J$59,BG$8),0)</f>
        <v>0</v>
      </c>
      <c r="BH13" s="178">
        <f t="array" ref="BH13">IF(AND($L13&lt;&gt;"",BH$8&lt;&gt;""),COUNTIFS($C$9:$C$59,$L13,$J$9:$J$59,BH$8),0)</f>
        <v>0</v>
      </c>
      <c r="BI13" s="178">
        <f t="array" ref="BI13">IF(AND($L13&lt;&gt;"",BI$8&lt;&gt;""),COUNTIFS($C$9:$C$59,$L13,$J$9:$J$59,BI$8),0)</f>
        <v>0</v>
      </c>
      <c r="BJ13" s="178">
        <f t="array" ref="BJ13">IF(AND($L13&lt;&gt;"",BJ$8&lt;&gt;""),COUNTIFS($C$9:$C$59,$L13,$J$9:$J$59,BJ$8),0)</f>
        <v>0</v>
      </c>
    </row>
    <row r="14" spans="1:62" x14ac:dyDescent="0.2">
      <c r="B14" s="126" t="s">
        <v>149</v>
      </c>
      <c r="C14" s="266"/>
      <c r="D14" s="23"/>
      <c r="E14" s="118"/>
      <c r="F14" s="118"/>
      <c r="G14" s="118" t="s">
        <v>287</v>
      </c>
      <c r="H14" s="117" t="str">
        <f t="shared" si="0"/>
        <v>-</v>
      </c>
      <c r="I14" s="127"/>
      <c r="J14" s="171" t="str">
        <f t="shared" si="1"/>
        <v/>
      </c>
      <c r="L14" s="178" t="str">
        <f t="array" ref="L14">IFERROR(INDEX($C$9:$C$59,MATCH(0,COUNTIF($L$8:$L13,$C$9:$C$59),0)),"")</f>
        <v/>
      </c>
      <c r="M14" s="178">
        <f t="array" ref="M14">IF(AND($L14&lt;&gt;"",M$8&lt;&gt;""),COUNTIFS($C$9:$C$59,$L14,$J$9:$J$59,M$8),0)</f>
        <v>0</v>
      </c>
      <c r="N14" s="178">
        <f t="array" ref="N14">IF(AND($L14&lt;&gt;"",N$8&lt;&gt;""),COUNTIFS($C$9:$C$59,$L14,$J$9:$J$59,N$8),0)</f>
        <v>0</v>
      </c>
      <c r="O14" s="178">
        <f t="array" ref="O14">IF(AND($L14&lt;&gt;"",O$8&lt;&gt;""),COUNTIFS($C$9:$C$59,$L14,$J$9:$J$59,O$8),0)</f>
        <v>0</v>
      </c>
      <c r="P14" s="178">
        <f t="array" ref="P14">IF(AND($L14&lt;&gt;"",P$8&lt;&gt;""),COUNTIFS($C$9:$C$59,$L14,$J$9:$J$59,P$8),0)</f>
        <v>0</v>
      </c>
      <c r="Q14" s="178">
        <f t="array" ref="Q14">IF(AND($L14&lt;&gt;"",Q$8&lt;&gt;""),COUNTIFS($C$9:$C$59,$L14,$J$9:$J$59,Q$8),0)</f>
        <v>0</v>
      </c>
      <c r="R14" s="178">
        <f t="array" ref="R14">IF(AND($L14&lt;&gt;"",R$8&lt;&gt;""),COUNTIFS($C$9:$C$59,$L14,$J$9:$J$59,R$8),0)</f>
        <v>0</v>
      </c>
      <c r="S14" s="178">
        <f t="array" ref="S14">IF(AND($L14&lt;&gt;"",S$8&lt;&gt;""),COUNTIFS($C$9:$C$59,$L14,$J$9:$J$59,S$8),0)</f>
        <v>0</v>
      </c>
      <c r="T14" s="178">
        <f t="array" ref="T14">IF(AND($L14&lt;&gt;"",T$8&lt;&gt;""),COUNTIFS($C$9:$C$59,$L14,$J$9:$J$59,T$8),0)</f>
        <v>0</v>
      </c>
      <c r="U14" s="178">
        <f t="array" ref="U14">IF(AND($L14&lt;&gt;"",U$8&lt;&gt;""),COUNTIFS($C$9:$C$59,$L14,$J$9:$J$59,U$8),0)</f>
        <v>0</v>
      </c>
      <c r="V14" s="178">
        <f t="array" ref="V14">IF(AND($L14&lt;&gt;"",V$8&lt;&gt;""),COUNTIFS($C$9:$C$59,$L14,$J$9:$J$59,V$8),0)</f>
        <v>0</v>
      </c>
      <c r="W14" s="178">
        <f t="array" ref="W14">IF(AND($L14&lt;&gt;"",W$8&lt;&gt;""),COUNTIFS($C$9:$C$59,$L14,$J$9:$J$59,W$8),0)</f>
        <v>0</v>
      </c>
      <c r="X14" s="178">
        <f t="array" ref="X14">IF(AND($L14&lt;&gt;"",X$8&lt;&gt;""),COUNTIFS($C$9:$C$59,$L14,$J$9:$J$59,X$8),0)</f>
        <v>0</v>
      </c>
      <c r="Y14" s="178">
        <f t="array" ref="Y14">IF(AND($L14&lt;&gt;"",Y$8&lt;&gt;""),COUNTIFS($C$9:$C$59,$L14,$J$9:$J$59,Y$8),0)</f>
        <v>0</v>
      </c>
      <c r="Z14" s="178">
        <f t="array" ref="Z14">IF(AND($L14&lt;&gt;"",Z$8&lt;&gt;""),COUNTIFS($C$9:$C$59,$L14,$J$9:$J$59,Z$8),0)</f>
        <v>0</v>
      </c>
      <c r="AA14" s="178">
        <f t="array" ref="AA14">IF(AND($L14&lt;&gt;"",AA$8&lt;&gt;""),COUNTIFS($C$9:$C$59,$L14,$J$9:$J$59,AA$8),0)</f>
        <v>0</v>
      </c>
      <c r="AB14" s="178">
        <f t="array" ref="AB14">IF(AND($L14&lt;&gt;"",AB$8&lt;&gt;""),COUNTIFS($C$9:$C$59,$L14,$J$9:$J$59,AB$8),0)</f>
        <v>0</v>
      </c>
      <c r="AC14" s="178">
        <f t="array" ref="AC14">IF(AND($L14&lt;&gt;"",AC$8&lt;&gt;""),COUNTIFS($C$9:$C$59,$L14,$J$9:$J$59,AC$8),0)</f>
        <v>0</v>
      </c>
      <c r="AD14" s="178">
        <f t="array" ref="AD14">IF(AND($L14&lt;&gt;"",AD$8&lt;&gt;""),COUNTIFS($C$9:$C$59,$L14,$J$9:$J$59,AD$8),0)</f>
        <v>0</v>
      </c>
      <c r="AE14" s="178">
        <f t="array" ref="AE14">IF(AND($L14&lt;&gt;"",AE$8&lt;&gt;""),COUNTIFS($C$9:$C$59,$L14,$J$9:$J$59,AE$8),0)</f>
        <v>0</v>
      </c>
      <c r="AF14" s="178">
        <f t="array" ref="AF14">IF(AND($L14&lt;&gt;"",AF$8&lt;&gt;""),COUNTIFS($C$9:$C$59,$L14,$J$9:$J$59,AF$8),0)</f>
        <v>0</v>
      </c>
      <c r="AG14" s="178">
        <f t="array" ref="AG14">IF(AND($L14&lt;&gt;"",AG$8&lt;&gt;""),COUNTIFS($C$9:$C$59,$L14,$J$9:$J$59,AG$8),0)</f>
        <v>0</v>
      </c>
      <c r="AH14" s="178">
        <f t="array" ref="AH14">IF(AND($L14&lt;&gt;"",AH$8&lt;&gt;""),COUNTIFS($C$9:$C$59,$L14,$J$9:$J$59,AH$8),0)</f>
        <v>0</v>
      </c>
      <c r="AI14" s="178">
        <f t="array" ref="AI14">IF(AND($L14&lt;&gt;"",AI$8&lt;&gt;""),COUNTIFS($C$9:$C$59,$L14,$J$9:$J$59,AI$8),0)</f>
        <v>0</v>
      </c>
      <c r="AJ14" s="178">
        <f t="array" ref="AJ14">IF(AND($L14&lt;&gt;"",AJ$8&lt;&gt;""),COUNTIFS($C$9:$C$59,$L14,$J$9:$J$59,AJ$8),0)</f>
        <v>0</v>
      </c>
      <c r="AK14" s="178">
        <f t="array" ref="AK14">IF(AND($L14&lt;&gt;"",AK$8&lt;&gt;""),COUNTIFS($C$9:$C$59,$L14,$J$9:$J$59,AK$8),0)</f>
        <v>0</v>
      </c>
      <c r="AL14" s="178">
        <f t="array" ref="AL14">IF(AND($L14&lt;&gt;"",AL$8&lt;&gt;""),COUNTIFS($C$9:$C$59,$L14,$J$9:$J$59,AL$8),0)</f>
        <v>0</v>
      </c>
      <c r="AM14" s="178">
        <f t="array" ref="AM14">IF(AND($L14&lt;&gt;"",AM$8&lt;&gt;""),COUNTIFS($C$9:$C$59,$L14,$J$9:$J$59,AM$8),0)</f>
        <v>0</v>
      </c>
      <c r="AN14" s="178">
        <f t="array" ref="AN14">IF(AND($L14&lt;&gt;"",AN$8&lt;&gt;""),COUNTIFS($C$9:$C$59,$L14,$J$9:$J$59,AN$8),0)</f>
        <v>0</v>
      </c>
      <c r="AO14" s="178">
        <f t="array" ref="AO14">IF(AND($L14&lt;&gt;"",AO$8&lt;&gt;""),COUNTIFS($C$9:$C$59,$L14,$J$9:$J$59,AO$8),0)</f>
        <v>0</v>
      </c>
      <c r="AP14" s="178">
        <f t="array" ref="AP14">IF(AND($L14&lt;&gt;"",AP$8&lt;&gt;""),COUNTIFS($C$9:$C$59,$L14,$J$9:$J$59,AP$8),0)</f>
        <v>0</v>
      </c>
      <c r="AQ14" s="178">
        <f t="array" ref="AQ14">IF(AND($L14&lt;&gt;"",AQ$8&lt;&gt;""),COUNTIFS($C$9:$C$59,$L14,$J$9:$J$59,AQ$8),0)</f>
        <v>0</v>
      </c>
      <c r="AR14" s="178">
        <f t="array" ref="AR14">IF(AND($L14&lt;&gt;"",AR$8&lt;&gt;""),COUNTIFS($C$9:$C$59,$L14,$J$9:$J$59,AR$8),0)</f>
        <v>0</v>
      </c>
      <c r="AS14" s="178">
        <f t="array" ref="AS14">IF(AND($L14&lt;&gt;"",AS$8&lt;&gt;""),COUNTIFS($C$9:$C$59,$L14,$J$9:$J$59,AS$8),0)</f>
        <v>0</v>
      </c>
      <c r="AT14" s="178">
        <f t="array" ref="AT14">IF(AND($L14&lt;&gt;"",AT$8&lt;&gt;""),COUNTIFS($C$9:$C$59,$L14,$J$9:$J$59,AT$8),0)</f>
        <v>0</v>
      </c>
      <c r="AU14" s="178">
        <f t="array" ref="AU14">IF(AND($L14&lt;&gt;"",AU$8&lt;&gt;""),COUNTIFS($C$9:$C$59,$L14,$J$9:$J$59,AU$8),0)</f>
        <v>0</v>
      </c>
      <c r="AV14" s="178">
        <f t="array" ref="AV14">IF(AND($L14&lt;&gt;"",AV$8&lt;&gt;""),COUNTIFS($C$9:$C$59,$L14,$J$9:$J$59,AV$8),0)</f>
        <v>0</v>
      </c>
      <c r="AW14" s="178">
        <f t="array" ref="AW14">IF(AND($L14&lt;&gt;"",AW$8&lt;&gt;""),COUNTIFS($C$9:$C$59,$L14,$J$9:$J$59,AW$8),0)</f>
        <v>0</v>
      </c>
      <c r="AX14" s="178">
        <f t="array" ref="AX14">IF(AND($L14&lt;&gt;"",AX$8&lt;&gt;""),COUNTIFS($C$9:$C$59,$L14,$J$9:$J$59,AX$8),0)</f>
        <v>0</v>
      </c>
      <c r="AY14" s="178">
        <f t="array" ref="AY14">IF(AND($L14&lt;&gt;"",AY$8&lt;&gt;""),COUNTIFS($C$9:$C$59,$L14,$J$9:$J$59,AY$8),0)</f>
        <v>0</v>
      </c>
      <c r="AZ14" s="178">
        <f t="array" ref="AZ14">IF(AND($L14&lt;&gt;"",AZ$8&lt;&gt;""),COUNTIFS($C$9:$C$59,$L14,$J$9:$J$59,AZ$8),0)</f>
        <v>0</v>
      </c>
      <c r="BA14" s="178">
        <f t="array" ref="BA14">IF(AND($L14&lt;&gt;"",BA$8&lt;&gt;""),COUNTIFS($C$9:$C$59,$L14,$J$9:$J$59,BA$8),0)</f>
        <v>0</v>
      </c>
      <c r="BB14" s="178">
        <f t="array" ref="BB14">IF(AND($L14&lt;&gt;"",BB$8&lt;&gt;""),COUNTIFS($C$9:$C$59,$L14,$J$9:$J$59,BB$8),0)</f>
        <v>0</v>
      </c>
      <c r="BC14" s="178">
        <f t="array" ref="BC14">IF(AND($L14&lt;&gt;"",BC$8&lt;&gt;""),COUNTIFS($C$9:$C$59,$L14,$J$9:$J$59,BC$8),0)</f>
        <v>0</v>
      </c>
      <c r="BD14" s="178">
        <f t="array" ref="BD14">IF(AND($L14&lt;&gt;"",BD$8&lt;&gt;""),COUNTIFS($C$9:$C$59,$L14,$J$9:$J$59,BD$8),0)</f>
        <v>0</v>
      </c>
      <c r="BE14" s="178">
        <f t="array" ref="BE14">IF(AND($L14&lt;&gt;"",BE$8&lt;&gt;""),COUNTIFS($C$9:$C$59,$L14,$J$9:$J$59,BE$8),0)</f>
        <v>0</v>
      </c>
      <c r="BF14" s="178">
        <f t="array" ref="BF14">IF(AND($L14&lt;&gt;"",BF$8&lt;&gt;""),COUNTIFS($C$9:$C$59,$L14,$J$9:$J$59,BF$8),0)</f>
        <v>0</v>
      </c>
      <c r="BG14" s="178">
        <f t="array" ref="BG14">IF(AND($L14&lt;&gt;"",BG$8&lt;&gt;""),COUNTIFS($C$9:$C$59,$L14,$J$9:$J$59,BG$8),0)</f>
        <v>0</v>
      </c>
      <c r="BH14" s="178">
        <f t="array" ref="BH14">IF(AND($L14&lt;&gt;"",BH$8&lt;&gt;""),COUNTIFS($C$9:$C$59,$L14,$J$9:$J$59,BH$8),0)</f>
        <v>0</v>
      </c>
      <c r="BI14" s="178">
        <f t="array" ref="BI14">IF(AND($L14&lt;&gt;"",BI$8&lt;&gt;""),COUNTIFS($C$9:$C$59,$L14,$J$9:$J$59,BI$8),0)</f>
        <v>0</v>
      </c>
      <c r="BJ14" s="178">
        <f t="array" ref="BJ14">IF(AND($L14&lt;&gt;"",BJ$8&lt;&gt;""),COUNTIFS($C$9:$C$59,$L14,$J$9:$J$59,BJ$8),0)</f>
        <v>0</v>
      </c>
    </row>
    <row r="15" spans="1:62" x14ac:dyDescent="0.2">
      <c r="B15" s="126" t="s">
        <v>150</v>
      </c>
      <c r="C15" s="267"/>
      <c r="D15" s="23"/>
      <c r="E15" s="118"/>
      <c r="F15" s="118"/>
      <c r="G15" s="118" t="s">
        <v>287</v>
      </c>
      <c r="H15" s="117" t="str">
        <f t="shared" si="0"/>
        <v>-</v>
      </c>
      <c r="I15" s="127"/>
      <c r="J15" s="171" t="str">
        <f t="shared" si="1"/>
        <v/>
      </c>
      <c r="L15" s="178" t="str">
        <f t="array" ref="L15">IFERROR(INDEX($C$9:$C$59,MATCH(0,COUNTIF($L$8:$L14,$C$9:$C$59),0)),"")</f>
        <v/>
      </c>
      <c r="M15" s="178">
        <f t="array" ref="M15">IF(AND($L15&lt;&gt;"",M$8&lt;&gt;""),COUNTIFS($C$9:$C$59,$L15,$J$9:$J$59,M$8),0)</f>
        <v>0</v>
      </c>
      <c r="N15" s="178">
        <f t="array" ref="N15">IF(AND($L15&lt;&gt;"",N$8&lt;&gt;""),COUNTIFS($C$9:$C$59,$L15,$J$9:$J$59,N$8),0)</f>
        <v>0</v>
      </c>
      <c r="O15" s="178">
        <f t="array" ref="O15">IF(AND($L15&lt;&gt;"",O$8&lt;&gt;""),COUNTIFS($C$9:$C$59,$L15,$J$9:$J$59,O$8),0)</f>
        <v>0</v>
      </c>
      <c r="P15" s="178">
        <f t="array" ref="P15">IF(AND($L15&lt;&gt;"",P$8&lt;&gt;""),COUNTIFS($C$9:$C$59,$L15,$J$9:$J$59,P$8),0)</f>
        <v>0</v>
      </c>
      <c r="Q15" s="178">
        <f t="array" ref="Q15">IF(AND($L15&lt;&gt;"",Q$8&lt;&gt;""),COUNTIFS($C$9:$C$59,$L15,$J$9:$J$59,Q$8),0)</f>
        <v>0</v>
      </c>
      <c r="R15" s="178">
        <f t="array" ref="R15">IF(AND($L15&lt;&gt;"",R$8&lt;&gt;""),COUNTIFS($C$9:$C$59,$L15,$J$9:$J$59,R$8),0)</f>
        <v>0</v>
      </c>
      <c r="S15" s="178">
        <f t="array" ref="S15">IF(AND($L15&lt;&gt;"",S$8&lt;&gt;""),COUNTIFS($C$9:$C$59,$L15,$J$9:$J$59,S$8),0)</f>
        <v>0</v>
      </c>
      <c r="T15" s="178">
        <f t="array" ref="T15">IF(AND($L15&lt;&gt;"",T$8&lt;&gt;""),COUNTIFS($C$9:$C$59,$L15,$J$9:$J$59,T$8),0)</f>
        <v>0</v>
      </c>
      <c r="U15" s="178">
        <f t="array" ref="U15">IF(AND($L15&lt;&gt;"",U$8&lt;&gt;""),COUNTIFS($C$9:$C$59,$L15,$J$9:$J$59,U$8),0)</f>
        <v>0</v>
      </c>
      <c r="V15" s="178">
        <f t="array" ref="V15">IF(AND($L15&lt;&gt;"",V$8&lt;&gt;""),COUNTIFS($C$9:$C$59,$L15,$J$9:$J$59,V$8),0)</f>
        <v>0</v>
      </c>
      <c r="W15" s="178">
        <f t="array" ref="W15">IF(AND($L15&lt;&gt;"",W$8&lt;&gt;""),COUNTIFS($C$9:$C$59,$L15,$J$9:$J$59,W$8),0)</f>
        <v>0</v>
      </c>
      <c r="X15" s="178">
        <f t="array" ref="X15">IF(AND($L15&lt;&gt;"",X$8&lt;&gt;""),COUNTIFS($C$9:$C$59,$L15,$J$9:$J$59,X$8),0)</f>
        <v>0</v>
      </c>
      <c r="Y15" s="178">
        <f t="array" ref="Y15">IF(AND($L15&lt;&gt;"",Y$8&lt;&gt;""),COUNTIFS($C$9:$C$59,$L15,$J$9:$J$59,Y$8),0)</f>
        <v>0</v>
      </c>
      <c r="Z15" s="178">
        <f t="array" ref="Z15">IF(AND($L15&lt;&gt;"",Z$8&lt;&gt;""),COUNTIFS($C$9:$C$59,$L15,$J$9:$J$59,Z$8),0)</f>
        <v>0</v>
      </c>
      <c r="AA15" s="178">
        <f t="array" ref="AA15">IF(AND($L15&lt;&gt;"",AA$8&lt;&gt;""),COUNTIFS($C$9:$C$59,$L15,$J$9:$J$59,AA$8),0)</f>
        <v>0</v>
      </c>
      <c r="AB15" s="178">
        <f t="array" ref="AB15">IF(AND($L15&lt;&gt;"",AB$8&lt;&gt;""),COUNTIFS($C$9:$C$59,$L15,$J$9:$J$59,AB$8),0)</f>
        <v>0</v>
      </c>
      <c r="AC15" s="178">
        <f t="array" ref="AC15">IF(AND($L15&lt;&gt;"",AC$8&lt;&gt;""),COUNTIFS($C$9:$C$59,$L15,$J$9:$J$59,AC$8),0)</f>
        <v>0</v>
      </c>
      <c r="AD15" s="178">
        <f t="array" ref="AD15">IF(AND($L15&lt;&gt;"",AD$8&lt;&gt;""),COUNTIFS($C$9:$C$59,$L15,$J$9:$J$59,AD$8),0)</f>
        <v>0</v>
      </c>
      <c r="AE15" s="178">
        <f t="array" ref="AE15">IF(AND($L15&lt;&gt;"",AE$8&lt;&gt;""),COUNTIFS($C$9:$C$59,$L15,$J$9:$J$59,AE$8),0)</f>
        <v>0</v>
      </c>
      <c r="AF15" s="178">
        <f t="array" ref="AF15">IF(AND($L15&lt;&gt;"",AF$8&lt;&gt;""),COUNTIFS($C$9:$C$59,$L15,$J$9:$J$59,AF$8),0)</f>
        <v>0</v>
      </c>
      <c r="AG15" s="178">
        <f t="array" ref="AG15">IF(AND($L15&lt;&gt;"",AG$8&lt;&gt;""),COUNTIFS($C$9:$C$59,$L15,$J$9:$J$59,AG$8),0)</f>
        <v>0</v>
      </c>
      <c r="AH15" s="178">
        <f t="array" ref="AH15">IF(AND($L15&lt;&gt;"",AH$8&lt;&gt;""),COUNTIFS($C$9:$C$59,$L15,$J$9:$J$59,AH$8),0)</f>
        <v>0</v>
      </c>
      <c r="AI15" s="178">
        <f t="array" ref="AI15">IF(AND($L15&lt;&gt;"",AI$8&lt;&gt;""),COUNTIFS($C$9:$C$59,$L15,$J$9:$J$59,AI$8),0)</f>
        <v>0</v>
      </c>
      <c r="AJ15" s="178">
        <f t="array" ref="AJ15">IF(AND($L15&lt;&gt;"",AJ$8&lt;&gt;""),COUNTIFS($C$9:$C$59,$L15,$J$9:$J$59,AJ$8),0)</f>
        <v>0</v>
      </c>
      <c r="AK15" s="178">
        <f t="array" ref="AK15">IF(AND($L15&lt;&gt;"",AK$8&lt;&gt;""),COUNTIFS($C$9:$C$59,$L15,$J$9:$J$59,AK$8),0)</f>
        <v>0</v>
      </c>
      <c r="AL15" s="178">
        <f t="array" ref="AL15">IF(AND($L15&lt;&gt;"",AL$8&lt;&gt;""),COUNTIFS($C$9:$C$59,$L15,$J$9:$J$59,AL$8),0)</f>
        <v>0</v>
      </c>
      <c r="AM15" s="178">
        <f t="array" ref="AM15">IF(AND($L15&lt;&gt;"",AM$8&lt;&gt;""),COUNTIFS($C$9:$C$59,$L15,$J$9:$J$59,AM$8),0)</f>
        <v>0</v>
      </c>
      <c r="AN15" s="178">
        <f t="array" ref="AN15">IF(AND($L15&lt;&gt;"",AN$8&lt;&gt;""),COUNTIFS($C$9:$C$59,$L15,$J$9:$J$59,AN$8),0)</f>
        <v>0</v>
      </c>
      <c r="AO15" s="178">
        <f t="array" ref="AO15">IF(AND($L15&lt;&gt;"",AO$8&lt;&gt;""),COUNTIFS($C$9:$C$59,$L15,$J$9:$J$59,AO$8),0)</f>
        <v>0</v>
      </c>
      <c r="AP15" s="178">
        <f t="array" ref="AP15">IF(AND($L15&lt;&gt;"",AP$8&lt;&gt;""),COUNTIFS($C$9:$C$59,$L15,$J$9:$J$59,AP$8),0)</f>
        <v>0</v>
      </c>
      <c r="AQ15" s="178">
        <f t="array" ref="AQ15">IF(AND($L15&lt;&gt;"",AQ$8&lt;&gt;""),COUNTIFS($C$9:$C$59,$L15,$J$9:$J$59,AQ$8),0)</f>
        <v>0</v>
      </c>
      <c r="AR15" s="178">
        <f t="array" ref="AR15">IF(AND($L15&lt;&gt;"",AR$8&lt;&gt;""),COUNTIFS($C$9:$C$59,$L15,$J$9:$J$59,AR$8),0)</f>
        <v>0</v>
      </c>
      <c r="AS15" s="178">
        <f t="array" ref="AS15">IF(AND($L15&lt;&gt;"",AS$8&lt;&gt;""),COUNTIFS($C$9:$C$59,$L15,$J$9:$J$59,AS$8),0)</f>
        <v>0</v>
      </c>
      <c r="AT15" s="178">
        <f t="array" ref="AT15">IF(AND($L15&lt;&gt;"",AT$8&lt;&gt;""),COUNTIFS($C$9:$C$59,$L15,$J$9:$J$59,AT$8),0)</f>
        <v>0</v>
      </c>
      <c r="AU15" s="178">
        <f t="array" ref="AU15">IF(AND($L15&lt;&gt;"",AU$8&lt;&gt;""),COUNTIFS($C$9:$C$59,$L15,$J$9:$J$59,AU$8),0)</f>
        <v>0</v>
      </c>
      <c r="AV15" s="178">
        <f t="array" ref="AV15">IF(AND($L15&lt;&gt;"",AV$8&lt;&gt;""),COUNTIFS($C$9:$C$59,$L15,$J$9:$J$59,AV$8),0)</f>
        <v>0</v>
      </c>
      <c r="AW15" s="178">
        <f t="array" ref="AW15">IF(AND($L15&lt;&gt;"",AW$8&lt;&gt;""),COUNTIFS($C$9:$C$59,$L15,$J$9:$J$59,AW$8),0)</f>
        <v>0</v>
      </c>
      <c r="AX15" s="178">
        <f t="array" ref="AX15">IF(AND($L15&lt;&gt;"",AX$8&lt;&gt;""),COUNTIFS($C$9:$C$59,$L15,$J$9:$J$59,AX$8),0)</f>
        <v>0</v>
      </c>
      <c r="AY15" s="178">
        <f t="array" ref="AY15">IF(AND($L15&lt;&gt;"",AY$8&lt;&gt;""),COUNTIFS($C$9:$C$59,$L15,$J$9:$J$59,AY$8),0)</f>
        <v>0</v>
      </c>
      <c r="AZ15" s="178">
        <f t="array" ref="AZ15">IF(AND($L15&lt;&gt;"",AZ$8&lt;&gt;""),COUNTIFS($C$9:$C$59,$L15,$J$9:$J$59,AZ$8),0)</f>
        <v>0</v>
      </c>
      <c r="BA15" s="178">
        <f t="array" ref="BA15">IF(AND($L15&lt;&gt;"",BA$8&lt;&gt;""),COUNTIFS($C$9:$C$59,$L15,$J$9:$J$59,BA$8),0)</f>
        <v>0</v>
      </c>
      <c r="BB15" s="178">
        <f t="array" ref="BB15">IF(AND($L15&lt;&gt;"",BB$8&lt;&gt;""),COUNTIFS($C$9:$C$59,$L15,$J$9:$J$59,BB$8),0)</f>
        <v>0</v>
      </c>
      <c r="BC15" s="178">
        <f t="array" ref="BC15">IF(AND($L15&lt;&gt;"",BC$8&lt;&gt;""),COUNTIFS($C$9:$C$59,$L15,$J$9:$J$59,BC$8),0)</f>
        <v>0</v>
      </c>
      <c r="BD15" s="178">
        <f t="array" ref="BD15">IF(AND($L15&lt;&gt;"",BD$8&lt;&gt;""),COUNTIFS($C$9:$C$59,$L15,$J$9:$J$59,BD$8),0)</f>
        <v>0</v>
      </c>
      <c r="BE15" s="178">
        <f t="array" ref="BE15">IF(AND($L15&lt;&gt;"",BE$8&lt;&gt;""),COUNTIFS($C$9:$C$59,$L15,$J$9:$J$59,BE$8),0)</f>
        <v>0</v>
      </c>
      <c r="BF15" s="178">
        <f t="array" ref="BF15">IF(AND($L15&lt;&gt;"",BF$8&lt;&gt;""),COUNTIFS($C$9:$C$59,$L15,$J$9:$J$59,BF$8),0)</f>
        <v>0</v>
      </c>
      <c r="BG15" s="178">
        <f t="array" ref="BG15">IF(AND($L15&lt;&gt;"",BG$8&lt;&gt;""),COUNTIFS($C$9:$C$59,$L15,$J$9:$J$59,BG$8),0)</f>
        <v>0</v>
      </c>
      <c r="BH15" s="178">
        <f t="array" ref="BH15">IF(AND($L15&lt;&gt;"",BH$8&lt;&gt;""),COUNTIFS($C$9:$C$59,$L15,$J$9:$J$59,BH$8),0)</f>
        <v>0</v>
      </c>
      <c r="BI15" s="178">
        <f t="array" ref="BI15">IF(AND($L15&lt;&gt;"",BI$8&lt;&gt;""),COUNTIFS($C$9:$C$59,$L15,$J$9:$J$59,BI$8),0)</f>
        <v>0</v>
      </c>
      <c r="BJ15" s="178">
        <f t="array" ref="BJ15">IF(AND($L15&lt;&gt;"",BJ$8&lt;&gt;""),COUNTIFS($C$9:$C$59,$L15,$J$9:$J$59,BJ$8),0)</f>
        <v>0</v>
      </c>
    </row>
    <row r="16" spans="1:62" x14ac:dyDescent="0.2">
      <c r="B16" s="126" t="s">
        <v>151</v>
      </c>
      <c r="C16" s="267"/>
      <c r="D16" s="23"/>
      <c r="E16" s="118"/>
      <c r="F16" s="118"/>
      <c r="G16" s="118" t="s">
        <v>287</v>
      </c>
      <c r="H16" s="117" t="str">
        <f t="shared" si="0"/>
        <v>-</v>
      </c>
      <c r="I16" s="127"/>
      <c r="J16" s="171" t="str">
        <f t="shared" si="1"/>
        <v/>
      </c>
      <c r="L16" s="178" t="str">
        <f t="array" ref="L16">IFERROR(INDEX($C$9:$C$59,MATCH(0,COUNTIF($L$8:$L15,$C$9:$C$59),0)),"")</f>
        <v/>
      </c>
      <c r="M16" s="178">
        <f t="array" ref="M16">IF(AND($L16&lt;&gt;"",M$8&lt;&gt;""),COUNTIFS($C$9:$C$59,$L16,$J$9:$J$59,M$8),0)</f>
        <v>0</v>
      </c>
      <c r="N16" s="178">
        <f t="array" ref="N16">IF(AND($L16&lt;&gt;"",N$8&lt;&gt;""),COUNTIFS($C$9:$C$59,$L16,$J$9:$J$59,N$8),0)</f>
        <v>0</v>
      </c>
      <c r="O16" s="178">
        <f t="array" ref="O16">IF(AND($L16&lt;&gt;"",O$8&lt;&gt;""),COUNTIFS($C$9:$C$59,$L16,$J$9:$J$59,O$8),0)</f>
        <v>0</v>
      </c>
      <c r="P16" s="178">
        <f t="array" ref="P16">IF(AND($L16&lt;&gt;"",P$8&lt;&gt;""),COUNTIFS($C$9:$C$59,$L16,$J$9:$J$59,P$8),0)</f>
        <v>0</v>
      </c>
      <c r="Q16" s="178">
        <f t="array" ref="Q16">IF(AND($L16&lt;&gt;"",Q$8&lt;&gt;""),COUNTIFS($C$9:$C$59,$L16,$J$9:$J$59,Q$8),0)</f>
        <v>0</v>
      </c>
      <c r="R16" s="178">
        <f t="array" ref="R16">IF(AND($L16&lt;&gt;"",R$8&lt;&gt;""),COUNTIFS($C$9:$C$59,$L16,$J$9:$J$59,R$8),0)</f>
        <v>0</v>
      </c>
      <c r="S16" s="178">
        <f t="array" ref="S16">IF(AND($L16&lt;&gt;"",S$8&lt;&gt;""),COUNTIFS($C$9:$C$59,$L16,$J$9:$J$59,S$8),0)</f>
        <v>0</v>
      </c>
      <c r="T16" s="178">
        <f t="array" ref="T16">IF(AND($L16&lt;&gt;"",T$8&lt;&gt;""),COUNTIFS($C$9:$C$59,$L16,$J$9:$J$59,T$8),0)</f>
        <v>0</v>
      </c>
      <c r="U16" s="178">
        <f t="array" ref="U16">IF(AND($L16&lt;&gt;"",U$8&lt;&gt;""),COUNTIFS($C$9:$C$59,$L16,$J$9:$J$59,U$8),0)</f>
        <v>0</v>
      </c>
      <c r="V16" s="178">
        <f t="array" ref="V16">IF(AND($L16&lt;&gt;"",V$8&lt;&gt;""),COUNTIFS($C$9:$C$59,$L16,$J$9:$J$59,V$8),0)</f>
        <v>0</v>
      </c>
      <c r="W16" s="178">
        <f t="array" ref="W16">IF(AND($L16&lt;&gt;"",W$8&lt;&gt;""),COUNTIFS($C$9:$C$59,$L16,$J$9:$J$59,W$8),0)</f>
        <v>0</v>
      </c>
      <c r="X16" s="178">
        <f t="array" ref="X16">IF(AND($L16&lt;&gt;"",X$8&lt;&gt;""),COUNTIFS($C$9:$C$59,$L16,$J$9:$J$59,X$8),0)</f>
        <v>0</v>
      </c>
      <c r="Y16" s="178">
        <f t="array" ref="Y16">IF(AND($L16&lt;&gt;"",Y$8&lt;&gt;""),COUNTIFS($C$9:$C$59,$L16,$J$9:$J$59,Y$8),0)</f>
        <v>0</v>
      </c>
      <c r="Z16" s="178">
        <f t="array" ref="Z16">IF(AND($L16&lt;&gt;"",Z$8&lt;&gt;""),COUNTIFS($C$9:$C$59,$L16,$J$9:$J$59,Z$8),0)</f>
        <v>0</v>
      </c>
      <c r="AA16" s="178">
        <f t="array" ref="AA16">IF(AND($L16&lt;&gt;"",AA$8&lt;&gt;""),COUNTIFS($C$9:$C$59,$L16,$J$9:$J$59,AA$8),0)</f>
        <v>0</v>
      </c>
      <c r="AB16" s="178">
        <f t="array" ref="AB16">IF(AND($L16&lt;&gt;"",AB$8&lt;&gt;""),COUNTIFS($C$9:$C$59,$L16,$J$9:$J$59,AB$8),0)</f>
        <v>0</v>
      </c>
      <c r="AC16" s="178">
        <f t="array" ref="AC16">IF(AND($L16&lt;&gt;"",AC$8&lt;&gt;""),COUNTIFS($C$9:$C$59,$L16,$J$9:$J$59,AC$8),0)</f>
        <v>0</v>
      </c>
      <c r="AD16" s="178">
        <f t="array" ref="AD16">IF(AND($L16&lt;&gt;"",AD$8&lt;&gt;""),COUNTIFS($C$9:$C$59,$L16,$J$9:$J$59,AD$8),0)</f>
        <v>0</v>
      </c>
      <c r="AE16" s="178">
        <f t="array" ref="AE16">IF(AND($L16&lt;&gt;"",AE$8&lt;&gt;""),COUNTIFS($C$9:$C$59,$L16,$J$9:$J$59,AE$8),0)</f>
        <v>0</v>
      </c>
      <c r="AF16" s="178">
        <f t="array" ref="AF16">IF(AND($L16&lt;&gt;"",AF$8&lt;&gt;""),COUNTIFS($C$9:$C$59,$L16,$J$9:$J$59,AF$8),0)</f>
        <v>0</v>
      </c>
      <c r="AG16" s="178">
        <f t="array" ref="AG16">IF(AND($L16&lt;&gt;"",AG$8&lt;&gt;""),COUNTIFS($C$9:$C$59,$L16,$J$9:$J$59,AG$8),0)</f>
        <v>0</v>
      </c>
      <c r="AH16" s="178">
        <f t="array" ref="AH16">IF(AND($L16&lt;&gt;"",AH$8&lt;&gt;""),COUNTIFS($C$9:$C$59,$L16,$J$9:$J$59,AH$8),0)</f>
        <v>0</v>
      </c>
      <c r="AI16" s="178">
        <f t="array" ref="AI16">IF(AND($L16&lt;&gt;"",AI$8&lt;&gt;""),COUNTIFS($C$9:$C$59,$L16,$J$9:$J$59,AI$8),0)</f>
        <v>0</v>
      </c>
      <c r="AJ16" s="178">
        <f t="array" ref="AJ16">IF(AND($L16&lt;&gt;"",AJ$8&lt;&gt;""),COUNTIFS($C$9:$C$59,$L16,$J$9:$J$59,AJ$8),0)</f>
        <v>0</v>
      </c>
      <c r="AK16" s="178">
        <f t="array" ref="AK16">IF(AND($L16&lt;&gt;"",AK$8&lt;&gt;""),COUNTIFS($C$9:$C$59,$L16,$J$9:$J$59,AK$8),0)</f>
        <v>0</v>
      </c>
      <c r="AL16" s="178">
        <f t="array" ref="AL16">IF(AND($L16&lt;&gt;"",AL$8&lt;&gt;""),COUNTIFS($C$9:$C$59,$L16,$J$9:$J$59,AL$8),0)</f>
        <v>0</v>
      </c>
      <c r="AM16" s="178">
        <f t="array" ref="AM16">IF(AND($L16&lt;&gt;"",AM$8&lt;&gt;""),COUNTIFS($C$9:$C$59,$L16,$J$9:$J$59,AM$8),0)</f>
        <v>0</v>
      </c>
      <c r="AN16" s="178">
        <f t="array" ref="AN16">IF(AND($L16&lt;&gt;"",AN$8&lt;&gt;""),COUNTIFS($C$9:$C$59,$L16,$J$9:$J$59,AN$8),0)</f>
        <v>0</v>
      </c>
      <c r="AO16" s="178">
        <f t="array" ref="AO16">IF(AND($L16&lt;&gt;"",AO$8&lt;&gt;""),COUNTIFS($C$9:$C$59,$L16,$J$9:$J$59,AO$8),0)</f>
        <v>0</v>
      </c>
      <c r="AP16" s="178">
        <f t="array" ref="AP16">IF(AND($L16&lt;&gt;"",AP$8&lt;&gt;""),COUNTIFS($C$9:$C$59,$L16,$J$9:$J$59,AP$8),0)</f>
        <v>0</v>
      </c>
      <c r="AQ16" s="178">
        <f t="array" ref="AQ16">IF(AND($L16&lt;&gt;"",AQ$8&lt;&gt;""),COUNTIFS($C$9:$C$59,$L16,$J$9:$J$59,AQ$8),0)</f>
        <v>0</v>
      </c>
      <c r="AR16" s="178">
        <f t="array" ref="AR16">IF(AND($L16&lt;&gt;"",AR$8&lt;&gt;""),COUNTIFS($C$9:$C$59,$L16,$J$9:$J$59,AR$8),0)</f>
        <v>0</v>
      </c>
      <c r="AS16" s="178">
        <f t="array" ref="AS16">IF(AND($L16&lt;&gt;"",AS$8&lt;&gt;""),COUNTIFS($C$9:$C$59,$L16,$J$9:$J$59,AS$8),0)</f>
        <v>0</v>
      </c>
      <c r="AT16" s="178">
        <f t="array" ref="AT16">IF(AND($L16&lt;&gt;"",AT$8&lt;&gt;""),COUNTIFS($C$9:$C$59,$L16,$J$9:$J$59,AT$8),0)</f>
        <v>0</v>
      </c>
      <c r="AU16" s="178">
        <f t="array" ref="AU16">IF(AND($L16&lt;&gt;"",AU$8&lt;&gt;""),COUNTIFS($C$9:$C$59,$L16,$J$9:$J$59,AU$8),0)</f>
        <v>0</v>
      </c>
      <c r="AV16" s="178">
        <f t="array" ref="AV16">IF(AND($L16&lt;&gt;"",AV$8&lt;&gt;""),COUNTIFS($C$9:$C$59,$L16,$J$9:$J$59,AV$8),0)</f>
        <v>0</v>
      </c>
      <c r="AW16" s="178">
        <f t="array" ref="AW16">IF(AND($L16&lt;&gt;"",AW$8&lt;&gt;""),COUNTIFS($C$9:$C$59,$L16,$J$9:$J$59,AW$8),0)</f>
        <v>0</v>
      </c>
      <c r="AX16" s="178">
        <f t="array" ref="AX16">IF(AND($L16&lt;&gt;"",AX$8&lt;&gt;""),COUNTIFS($C$9:$C$59,$L16,$J$9:$J$59,AX$8),0)</f>
        <v>0</v>
      </c>
      <c r="AY16" s="178">
        <f t="array" ref="AY16">IF(AND($L16&lt;&gt;"",AY$8&lt;&gt;""),COUNTIFS($C$9:$C$59,$L16,$J$9:$J$59,AY$8),0)</f>
        <v>0</v>
      </c>
      <c r="AZ16" s="178">
        <f t="array" ref="AZ16">IF(AND($L16&lt;&gt;"",AZ$8&lt;&gt;""),COUNTIFS($C$9:$C$59,$L16,$J$9:$J$59,AZ$8),0)</f>
        <v>0</v>
      </c>
      <c r="BA16" s="178">
        <f t="array" ref="BA16">IF(AND($L16&lt;&gt;"",BA$8&lt;&gt;""),COUNTIFS($C$9:$C$59,$L16,$J$9:$J$59,BA$8),0)</f>
        <v>0</v>
      </c>
      <c r="BB16" s="178">
        <f t="array" ref="BB16">IF(AND($L16&lt;&gt;"",BB$8&lt;&gt;""),COUNTIFS($C$9:$C$59,$L16,$J$9:$J$59,BB$8),0)</f>
        <v>0</v>
      </c>
      <c r="BC16" s="178">
        <f t="array" ref="BC16">IF(AND($L16&lt;&gt;"",BC$8&lt;&gt;""),COUNTIFS($C$9:$C$59,$L16,$J$9:$J$59,BC$8),0)</f>
        <v>0</v>
      </c>
      <c r="BD16" s="178">
        <f t="array" ref="BD16">IF(AND($L16&lt;&gt;"",BD$8&lt;&gt;""),COUNTIFS($C$9:$C$59,$L16,$J$9:$J$59,BD$8),0)</f>
        <v>0</v>
      </c>
      <c r="BE16" s="178">
        <f t="array" ref="BE16">IF(AND($L16&lt;&gt;"",BE$8&lt;&gt;""),COUNTIFS($C$9:$C$59,$L16,$J$9:$J$59,BE$8),0)</f>
        <v>0</v>
      </c>
      <c r="BF16" s="178">
        <f t="array" ref="BF16">IF(AND($L16&lt;&gt;"",BF$8&lt;&gt;""),COUNTIFS($C$9:$C$59,$L16,$J$9:$J$59,BF$8),0)</f>
        <v>0</v>
      </c>
      <c r="BG16" s="178">
        <f t="array" ref="BG16">IF(AND($L16&lt;&gt;"",BG$8&lt;&gt;""),COUNTIFS($C$9:$C$59,$L16,$J$9:$J$59,BG$8),0)</f>
        <v>0</v>
      </c>
      <c r="BH16" s="178">
        <f t="array" ref="BH16">IF(AND($L16&lt;&gt;"",BH$8&lt;&gt;""),COUNTIFS($C$9:$C$59,$L16,$J$9:$J$59,BH$8),0)</f>
        <v>0</v>
      </c>
      <c r="BI16" s="178">
        <f t="array" ref="BI16">IF(AND($L16&lt;&gt;"",BI$8&lt;&gt;""),COUNTIFS($C$9:$C$59,$L16,$J$9:$J$59,BI$8),0)</f>
        <v>0</v>
      </c>
      <c r="BJ16" s="178">
        <f t="array" ref="BJ16">IF(AND($L16&lt;&gt;"",BJ$8&lt;&gt;""),COUNTIFS($C$9:$C$59,$L16,$J$9:$J$59,BJ$8),0)</f>
        <v>0</v>
      </c>
    </row>
    <row r="17" spans="2:62" x14ac:dyDescent="0.2">
      <c r="B17" s="126" t="s">
        <v>152</v>
      </c>
      <c r="C17" s="267"/>
      <c r="D17" s="23"/>
      <c r="E17" s="118"/>
      <c r="F17" s="118"/>
      <c r="G17" s="118" t="s">
        <v>287</v>
      </c>
      <c r="H17" s="117" t="str">
        <f t="shared" si="0"/>
        <v>-</v>
      </c>
      <c r="I17" s="127"/>
      <c r="J17" s="171" t="str">
        <f t="shared" si="1"/>
        <v/>
      </c>
      <c r="L17" s="178" t="str">
        <f t="array" ref="L17">IFERROR(INDEX($C$9:$C$59,MATCH(0,COUNTIF($L$8:$L16,$C$9:$C$59),0)),"")</f>
        <v/>
      </c>
      <c r="M17" s="178">
        <f t="array" ref="M17">IF(AND($L17&lt;&gt;"",M$8&lt;&gt;""),COUNTIFS($C$9:$C$59,$L17,$J$9:$J$59,M$8),0)</f>
        <v>0</v>
      </c>
      <c r="N17" s="178">
        <f t="array" ref="N17">IF(AND($L17&lt;&gt;"",N$8&lt;&gt;""),COUNTIFS($C$9:$C$59,$L17,$J$9:$J$59,N$8),0)</f>
        <v>0</v>
      </c>
      <c r="O17" s="178">
        <f t="array" ref="O17">IF(AND($L17&lt;&gt;"",O$8&lt;&gt;""),COUNTIFS($C$9:$C$59,$L17,$J$9:$J$59,O$8),0)</f>
        <v>0</v>
      </c>
      <c r="P17" s="178">
        <f t="array" ref="P17">IF(AND($L17&lt;&gt;"",P$8&lt;&gt;""),COUNTIFS($C$9:$C$59,$L17,$J$9:$J$59,P$8),0)</f>
        <v>0</v>
      </c>
      <c r="Q17" s="178">
        <f t="array" ref="Q17">IF(AND($L17&lt;&gt;"",Q$8&lt;&gt;""),COUNTIFS($C$9:$C$59,$L17,$J$9:$J$59,Q$8),0)</f>
        <v>0</v>
      </c>
      <c r="R17" s="178">
        <f t="array" ref="R17">IF(AND($L17&lt;&gt;"",R$8&lt;&gt;""),COUNTIFS($C$9:$C$59,$L17,$J$9:$J$59,R$8),0)</f>
        <v>0</v>
      </c>
      <c r="S17" s="178">
        <f t="array" ref="S17">IF(AND($L17&lt;&gt;"",S$8&lt;&gt;""),COUNTIFS($C$9:$C$59,$L17,$J$9:$J$59,S$8),0)</f>
        <v>0</v>
      </c>
      <c r="T17" s="178">
        <f t="array" ref="T17">IF(AND($L17&lt;&gt;"",T$8&lt;&gt;""),COUNTIFS($C$9:$C$59,$L17,$J$9:$J$59,T$8),0)</f>
        <v>0</v>
      </c>
      <c r="U17" s="178">
        <f t="array" ref="U17">IF(AND($L17&lt;&gt;"",U$8&lt;&gt;""),COUNTIFS($C$9:$C$59,$L17,$J$9:$J$59,U$8),0)</f>
        <v>0</v>
      </c>
      <c r="V17" s="178">
        <f t="array" ref="V17">IF(AND($L17&lt;&gt;"",V$8&lt;&gt;""),COUNTIFS($C$9:$C$59,$L17,$J$9:$J$59,V$8),0)</f>
        <v>0</v>
      </c>
      <c r="W17" s="178">
        <f t="array" ref="W17">IF(AND($L17&lt;&gt;"",W$8&lt;&gt;""),COUNTIFS($C$9:$C$59,$L17,$J$9:$J$59,W$8),0)</f>
        <v>0</v>
      </c>
      <c r="X17" s="178">
        <f t="array" ref="X17">IF(AND($L17&lt;&gt;"",X$8&lt;&gt;""),COUNTIFS($C$9:$C$59,$L17,$J$9:$J$59,X$8),0)</f>
        <v>0</v>
      </c>
      <c r="Y17" s="178">
        <f t="array" ref="Y17">IF(AND($L17&lt;&gt;"",Y$8&lt;&gt;""),COUNTIFS($C$9:$C$59,$L17,$J$9:$J$59,Y$8),0)</f>
        <v>0</v>
      </c>
      <c r="Z17" s="178">
        <f t="array" ref="Z17">IF(AND($L17&lt;&gt;"",Z$8&lt;&gt;""),COUNTIFS($C$9:$C$59,$L17,$J$9:$J$59,Z$8),0)</f>
        <v>0</v>
      </c>
      <c r="AA17" s="178">
        <f t="array" ref="AA17">IF(AND($L17&lt;&gt;"",AA$8&lt;&gt;""),COUNTIFS($C$9:$C$59,$L17,$J$9:$J$59,AA$8),0)</f>
        <v>0</v>
      </c>
      <c r="AB17" s="178">
        <f t="array" ref="AB17">IF(AND($L17&lt;&gt;"",AB$8&lt;&gt;""),COUNTIFS($C$9:$C$59,$L17,$J$9:$J$59,AB$8),0)</f>
        <v>0</v>
      </c>
      <c r="AC17" s="178">
        <f t="array" ref="AC17">IF(AND($L17&lt;&gt;"",AC$8&lt;&gt;""),COUNTIFS($C$9:$C$59,$L17,$J$9:$J$59,AC$8),0)</f>
        <v>0</v>
      </c>
      <c r="AD17" s="178">
        <f t="array" ref="AD17">IF(AND($L17&lt;&gt;"",AD$8&lt;&gt;""),COUNTIFS($C$9:$C$59,$L17,$J$9:$J$59,AD$8),0)</f>
        <v>0</v>
      </c>
      <c r="AE17" s="178">
        <f t="array" ref="AE17">IF(AND($L17&lt;&gt;"",AE$8&lt;&gt;""),COUNTIFS($C$9:$C$59,$L17,$J$9:$J$59,AE$8),0)</f>
        <v>0</v>
      </c>
      <c r="AF17" s="178">
        <f t="array" ref="AF17">IF(AND($L17&lt;&gt;"",AF$8&lt;&gt;""),COUNTIFS($C$9:$C$59,$L17,$J$9:$J$59,AF$8),0)</f>
        <v>0</v>
      </c>
      <c r="AG17" s="178">
        <f t="array" ref="AG17">IF(AND($L17&lt;&gt;"",AG$8&lt;&gt;""),COUNTIFS($C$9:$C$59,$L17,$J$9:$J$59,AG$8),0)</f>
        <v>0</v>
      </c>
      <c r="AH17" s="178">
        <f t="array" ref="AH17">IF(AND($L17&lt;&gt;"",AH$8&lt;&gt;""),COUNTIFS($C$9:$C$59,$L17,$J$9:$J$59,AH$8),0)</f>
        <v>0</v>
      </c>
      <c r="AI17" s="178">
        <f t="array" ref="AI17">IF(AND($L17&lt;&gt;"",AI$8&lt;&gt;""),COUNTIFS($C$9:$C$59,$L17,$J$9:$J$59,AI$8),0)</f>
        <v>0</v>
      </c>
      <c r="AJ17" s="178">
        <f t="array" ref="AJ17">IF(AND($L17&lt;&gt;"",AJ$8&lt;&gt;""),COUNTIFS($C$9:$C$59,$L17,$J$9:$J$59,AJ$8),0)</f>
        <v>0</v>
      </c>
      <c r="AK17" s="178">
        <f t="array" ref="AK17">IF(AND($L17&lt;&gt;"",AK$8&lt;&gt;""),COUNTIFS($C$9:$C$59,$L17,$J$9:$J$59,AK$8),0)</f>
        <v>0</v>
      </c>
      <c r="AL17" s="178">
        <f t="array" ref="AL17">IF(AND($L17&lt;&gt;"",AL$8&lt;&gt;""),COUNTIFS($C$9:$C$59,$L17,$J$9:$J$59,AL$8),0)</f>
        <v>0</v>
      </c>
      <c r="AM17" s="178">
        <f t="array" ref="AM17">IF(AND($L17&lt;&gt;"",AM$8&lt;&gt;""),COUNTIFS($C$9:$C$59,$L17,$J$9:$J$59,AM$8),0)</f>
        <v>0</v>
      </c>
      <c r="AN17" s="178">
        <f t="array" ref="AN17">IF(AND($L17&lt;&gt;"",AN$8&lt;&gt;""),COUNTIFS($C$9:$C$59,$L17,$J$9:$J$59,AN$8),0)</f>
        <v>0</v>
      </c>
      <c r="AO17" s="178">
        <f t="array" ref="AO17">IF(AND($L17&lt;&gt;"",AO$8&lt;&gt;""),COUNTIFS($C$9:$C$59,$L17,$J$9:$J$59,AO$8),0)</f>
        <v>0</v>
      </c>
      <c r="AP17" s="178">
        <f t="array" ref="AP17">IF(AND($L17&lt;&gt;"",AP$8&lt;&gt;""),COUNTIFS($C$9:$C$59,$L17,$J$9:$J$59,AP$8),0)</f>
        <v>0</v>
      </c>
      <c r="AQ17" s="178">
        <f t="array" ref="AQ17">IF(AND($L17&lt;&gt;"",AQ$8&lt;&gt;""),COUNTIFS($C$9:$C$59,$L17,$J$9:$J$59,AQ$8),0)</f>
        <v>0</v>
      </c>
      <c r="AR17" s="178">
        <f t="array" ref="AR17">IF(AND($L17&lt;&gt;"",AR$8&lt;&gt;""),COUNTIFS($C$9:$C$59,$L17,$J$9:$J$59,AR$8),0)</f>
        <v>0</v>
      </c>
      <c r="AS17" s="178">
        <f t="array" ref="AS17">IF(AND($L17&lt;&gt;"",AS$8&lt;&gt;""),COUNTIFS($C$9:$C$59,$L17,$J$9:$J$59,AS$8),0)</f>
        <v>0</v>
      </c>
      <c r="AT17" s="178">
        <f t="array" ref="AT17">IF(AND($L17&lt;&gt;"",AT$8&lt;&gt;""),COUNTIFS($C$9:$C$59,$L17,$J$9:$J$59,AT$8),0)</f>
        <v>0</v>
      </c>
      <c r="AU17" s="178">
        <f t="array" ref="AU17">IF(AND($L17&lt;&gt;"",AU$8&lt;&gt;""),COUNTIFS($C$9:$C$59,$L17,$J$9:$J$59,AU$8),0)</f>
        <v>0</v>
      </c>
      <c r="AV17" s="178">
        <f t="array" ref="AV17">IF(AND($L17&lt;&gt;"",AV$8&lt;&gt;""),COUNTIFS($C$9:$C$59,$L17,$J$9:$J$59,AV$8),0)</f>
        <v>0</v>
      </c>
      <c r="AW17" s="178">
        <f t="array" ref="AW17">IF(AND($L17&lt;&gt;"",AW$8&lt;&gt;""),COUNTIFS($C$9:$C$59,$L17,$J$9:$J$59,AW$8),0)</f>
        <v>0</v>
      </c>
      <c r="AX17" s="178">
        <f t="array" ref="AX17">IF(AND($L17&lt;&gt;"",AX$8&lt;&gt;""),COUNTIFS($C$9:$C$59,$L17,$J$9:$J$59,AX$8),0)</f>
        <v>0</v>
      </c>
      <c r="AY17" s="178">
        <f t="array" ref="AY17">IF(AND($L17&lt;&gt;"",AY$8&lt;&gt;""),COUNTIFS($C$9:$C$59,$L17,$J$9:$J$59,AY$8),0)</f>
        <v>0</v>
      </c>
      <c r="AZ17" s="178">
        <f t="array" ref="AZ17">IF(AND($L17&lt;&gt;"",AZ$8&lt;&gt;""),COUNTIFS($C$9:$C$59,$L17,$J$9:$J$59,AZ$8),0)</f>
        <v>0</v>
      </c>
      <c r="BA17" s="178">
        <f t="array" ref="BA17">IF(AND($L17&lt;&gt;"",BA$8&lt;&gt;""),COUNTIFS($C$9:$C$59,$L17,$J$9:$J$59,BA$8),0)</f>
        <v>0</v>
      </c>
      <c r="BB17" s="178">
        <f t="array" ref="BB17">IF(AND($L17&lt;&gt;"",BB$8&lt;&gt;""),COUNTIFS($C$9:$C$59,$L17,$J$9:$J$59,BB$8),0)</f>
        <v>0</v>
      </c>
      <c r="BC17" s="178">
        <f t="array" ref="BC17">IF(AND($L17&lt;&gt;"",BC$8&lt;&gt;""),COUNTIFS($C$9:$C$59,$L17,$J$9:$J$59,BC$8),0)</f>
        <v>0</v>
      </c>
      <c r="BD17" s="178">
        <f t="array" ref="BD17">IF(AND($L17&lt;&gt;"",BD$8&lt;&gt;""),COUNTIFS($C$9:$C$59,$L17,$J$9:$J$59,BD$8),0)</f>
        <v>0</v>
      </c>
      <c r="BE17" s="178">
        <f t="array" ref="BE17">IF(AND($L17&lt;&gt;"",BE$8&lt;&gt;""),COUNTIFS($C$9:$C$59,$L17,$J$9:$J$59,BE$8),0)</f>
        <v>0</v>
      </c>
      <c r="BF17" s="178">
        <f t="array" ref="BF17">IF(AND($L17&lt;&gt;"",BF$8&lt;&gt;""),COUNTIFS($C$9:$C$59,$L17,$J$9:$J$59,BF$8),0)</f>
        <v>0</v>
      </c>
      <c r="BG17" s="178">
        <f t="array" ref="BG17">IF(AND($L17&lt;&gt;"",BG$8&lt;&gt;""),COUNTIFS($C$9:$C$59,$L17,$J$9:$J$59,BG$8),0)</f>
        <v>0</v>
      </c>
      <c r="BH17" s="178">
        <f t="array" ref="BH17">IF(AND($L17&lt;&gt;"",BH$8&lt;&gt;""),COUNTIFS($C$9:$C$59,$L17,$J$9:$J$59,BH$8),0)</f>
        <v>0</v>
      </c>
      <c r="BI17" s="178">
        <f t="array" ref="BI17">IF(AND($L17&lt;&gt;"",BI$8&lt;&gt;""),COUNTIFS($C$9:$C$59,$L17,$J$9:$J$59,BI$8),0)</f>
        <v>0</v>
      </c>
      <c r="BJ17" s="178">
        <f t="array" ref="BJ17">IF(AND($L17&lt;&gt;"",BJ$8&lt;&gt;""),COUNTIFS($C$9:$C$59,$L17,$J$9:$J$59,BJ$8),0)</f>
        <v>0</v>
      </c>
    </row>
    <row r="18" spans="2:62" x14ac:dyDescent="0.2">
      <c r="B18" s="126" t="s">
        <v>153</v>
      </c>
      <c r="C18" s="267"/>
      <c r="D18" s="23"/>
      <c r="E18" s="118"/>
      <c r="F18" s="118"/>
      <c r="G18" s="118" t="s">
        <v>287</v>
      </c>
      <c r="H18" s="117" t="str">
        <f t="shared" si="0"/>
        <v>-</v>
      </c>
      <c r="I18" s="127"/>
      <c r="J18" s="171" t="str">
        <f t="shared" si="1"/>
        <v/>
      </c>
      <c r="L18" s="178" t="str">
        <f t="array" ref="L18">IFERROR(INDEX($C$9:$C$59,MATCH(0,COUNTIF($L$8:$L17,$C$9:$C$59),0)),"")</f>
        <v/>
      </c>
      <c r="M18" s="178">
        <f t="array" ref="M18">IF(AND($L18&lt;&gt;"",M$8&lt;&gt;""),COUNTIFS($C$9:$C$59,$L18,$J$9:$J$59,M$8),0)</f>
        <v>0</v>
      </c>
      <c r="N18" s="178">
        <f t="array" ref="N18">IF(AND($L18&lt;&gt;"",N$8&lt;&gt;""),COUNTIFS($C$9:$C$59,$L18,$J$9:$J$59,N$8),0)</f>
        <v>0</v>
      </c>
      <c r="O18" s="178">
        <f t="array" ref="O18">IF(AND($L18&lt;&gt;"",O$8&lt;&gt;""),COUNTIFS($C$9:$C$59,$L18,$J$9:$J$59,O$8),0)</f>
        <v>0</v>
      </c>
      <c r="P18" s="178">
        <f t="array" ref="P18">IF(AND($L18&lt;&gt;"",P$8&lt;&gt;""),COUNTIFS($C$9:$C$59,$L18,$J$9:$J$59,P$8),0)</f>
        <v>0</v>
      </c>
      <c r="Q18" s="178">
        <f t="array" ref="Q18">IF(AND($L18&lt;&gt;"",Q$8&lt;&gt;""),COUNTIFS($C$9:$C$59,$L18,$J$9:$J$59,Q$8),0)</f>
        <v>0</v>
      </c>
      <c r="R18" s="178">
        <f t="array" ref="R18">IF(AND($L18&lt;&gt;"",R$8&lt;&gt;""),COUNTIFS($C$9:$C$59,$L18,$J$9:$J$59,R$8),0)</f>
        <v>0</v>
      </c>
      <c r="S18" s="178">
        <f t="array" ref="S18">IF(AND($L18&lt;&gt;"",S$8&lt;&gt;""),COUNTIFS($C$9:$C$59,$L18,$J$9:$J$59,S$8),0)</f>
        <v>0</v>
      </c>
      <c r="T18" s="178">
        <f t="array" ref="T18">IF(AND($L18&lt;&gt;"",T$8&lt;&gt;""),COUNTIFS($C$9:$C$59,$L18,$J$9:$J$59,T$8),0)</f>
        <v>0</v>
      </c>
      <c r="U18" s="178">
        <f t="array" ref="U18">IF(AND($L18&lt;&gt;"",U$8&lt;&gt;""),COUNTIFS($C$9:$C$59,$L18,$J$9:$J$59,U$8),0)</f>
        <v>0</v>
      </c>
      <c r="V18" s="178">
        <f t="array" ref="V18">IF(AND($L18&lt;&gt;"",V$8&lt;&gt;""),COUNTIFS($C$9:$C$59,$L18,$J$9:$J$59,V$8),0)</f>
        <v>0</v>
      </c>
      <c r="W18" s="178">
        <f t="array" ref="W18">IF(AND($L18&lt;&gt;"",W$8&lt;&gt;""),COUNTIFS($C$9:$C$59,$L18,$J$9:$J$59,W$8),0)</f>
        <v>0</v>
      </c>
      <c r="X18" s="178">
        <f t="array" ref="X18">IF(AND($L18&lt;&gt;"",X$8&lt;&gt;""),COUNTIFS($C$9:$C$59,$L18,$J$9:$J$59,X$8),0)</f>
        <v>0</v>
      </c>
      <c r="Y18" s="178">
        <f t="array" ref="Y18">IF(AND($L18&lt;&gt;"",Y$8&lt;&gt;""),COUNTIFS($C$9:$C$59,$L18,$J$9:$J$59,Y$8),0)</f>
        <v>0</v>
      </c>
      <c r="Z18" s="178">
        <f t="array" ref="Z18">IF(AND($L18&lt;&gt;"",Z$8&lt;&gt;""),COUNTIFS($C$9:$C$59,$L18,$J$9:$J$59,Z$8),0)</f>
        <v>0</v>
      </c>
      <c r="AA18" s="178">
        <f t="array" ref="AA18">IF(AND($L18&lt;&gt;"",AA$8&lt;&gt;""),COUNTIFS($C$9:$C$59,$L18,$J$9:$J$59,AA$8),0)</f>
        <v>0</v>
      </c>
      <c r="AB18" s="178">
        <f t="array" ref="AB18">IF(AND($L18&lt;&gt;"",AB$8&lt;&gt;""),COUNTIFS($C$9:$C$59,$L18,$J$9:$J$59,AB$8),0)</f>
        <v>0</v>
      </c>
      <c r="AC18" s="178">
        <f t="array" ref="AC18">IF(AND($L18&lt;&gt;"",AC$8&lt;&gt;""),COUNTIFS($C$9:$C$59,$L18,$J$9:$J$59,AC$8),0)</f>
        <v>0</v>
      </c>
      <c r="AD18" s="178">
        <f t="array" ref="AD18">IF(AND($L18&lt;&gt;"",AD$8&lt;&gt;""),COUNTIFS($C$9:$C$59,$L18,$J$9:$J$59,AD$8),0)</f>
        <v>0</v>
      </c>
      <c r="AE18" s="178">
        <f t="array" ref="AE18">IF(AND($L18&lt;&gt;"",AE$8&lt;&gt;""),COUNTIFS($C$9:$C$59,$L18,$J$9:$J$59,AE$8),0)</f>
        <v>0</v>
      </c>
      <c r="AF18" s="178">
        <f t="array" ref="AF18">IF(AND($L18&lt;&gt;"",AF$8&lt;&gt;""),COUNTIFS($C$9:$C$59,$L18,$J$9:$J$59,AF$8),0)</f>
        <v>0</v>
      </c>
      <c r="AG18" s="178">
        <f t="array" ref="AG18">IF(AND($L18&lt;&gt;"",AG$8&lt;&gt;""),COUNTIFS($C$9:$C$59,$L18,$J$9:$J$59,AG$8),0)</f>
        <v>0</v>
      </c>
      <c r="AH18" s="178">
        <f t="array" ref="AH18">IF(AND($L18&lt;&gt;"",AH$8&lt;&gt;""),COUNTIFS($C$9:$C$59,$L18,$J$9:$J$59,AH$8),0)</f>
        <v>0</v>
      </c>
      <c r="AI18" s="178">
        <f t="array" ref="AI18">IF(AND($L18&lt;&gt;"",AI$8&lt;&gt;""),COUNTIFS($C$9:$C$59,$L18,$J$9:$J$59,AI$8),0)</f>
        <v>0</v>
      </c>
      <c r="AJ18" s="178">
        <f t="array" ref="AJ18">IF(AND($L18&lt;&gt;"",AJ$8&lt;&gt;""),COUNTIFS($C$9:$C$59,$L18,$J$9:$J$59,AJ$8),0)</f>
        <v>0</v>
      </c>
      <c r="AK18" s="178">
        <f t="array" ref="AK18">IF(AND($L18&lt;&gt;"",AK$8&lt;&gt;""),COUNTIFS($C$9:$C$59,$L18,$J$9:$J$59,AK$8),0)</f>
        <v>0</v>
      </c>
      <c r="AL18" s="178">
        <f t="array" ref="AL18">IF(AND($L18&lt;&gt;"",AL$8&lt;&gt;""),COUNTIFS($C$9:$C$59,$L18,$J$9:$J$59,AL$8),0)</f>
        <v>0</v>
      </c>
      <c r="AM18" s="178">
        <f t="array" ref="AM18">IF(AND($L18&lt;&gt;"",AM$8&lt;&gt;""),COUNTIFS($C$9:$C$59,$L18,$J$9:$J$59,AM$8),0)</f>
        <v>0</v>
      </c>
      <c r="AN18" s="178">
        <f t="array" ref="AN18">IF(AND($L18&lt;&gt;"",AN$8&lt;&gt;""),COUNTIFS($C$9:$C$59,$L18,$J$9:$J$59,AN$8),0)</f>
        <v>0</v>
      </c>
      <c r="AO18" s="178">
        <f t="array" ref="AO18">IF(AND($L18&lt;&gt;"",AO$8&lt;&gt;""),COUNTIFS($C$9:$C$59,$L18,$J$9:$J$59,AO$8),0)</f>
        <v>0</v>
      </c>
      <c r="AP18" s="178">
        <f t="array" ref="AP18">IF(AND($L18&lt;&gt;"",AP$8&lt;&gt;""),COUNTIFS($C$9:$C$59,$L18,$J$9:$J$59,AP$8),0)</f>
        <v>0</v>
      </c>
      <c r="AQ18" s="178">
        <f t="array" ref="AQ18">IF(AND($L18&lt;&gt;"",AQ$8&lt;&gt;""),COUNTIFS($C$9:$C$59,$L18,$J$9:$J$59,AQ$8),0)</f>
        <v>0</v>
      </c>
      <c r="AR18" s="178">
        <f t="array" ref="AR18">IF(AND($L18&lt;&gt;"",AR$8&lt;&gt;""),COUNTIFS($C$9:$C$59,$L18,$J$9:$J$59,AR$8),0)</f>
        <v>0</v>
      </c>
      <c r="AS18" s="178">
        <f t="array" ref="AS18">IF(AND($L18&lt;&gt;"",AS$8&lt;&gt;""),COUNTIFS($C$9:$C$59,$L18,$J$9:$J$59,AS$8),0)</f>
        <v>0</v>
      </c>
      <c r="AT18" s="178">
        <f t="array" ref="AT18">IF(AND($L18&lt;&gt;"",AT$8&lt;&gt;""),COUNTIFS($C$9:$C$59,$L18,$J$9:$J$59,AT$8),0)</f>
        <v>0</v>
      </c>
      <c r="AU18" s="178">
        <f t="array" ref="AU18">IF(AND($L18&lt;&gt;"",AU$8&lt;&gt;""),COUNTIFS($C$9:$C$59,$L18,$J$9:$J$59,AU$8),0)</f>
        <v>0</v>
      </c>
      <c r="AV18" s="178">
        <f t="array" ref="AV18">IF(AND($L18&lt;&gt;"",AV$8&lt;&gt;""),COUNTIFS($C$9:$C$59,$L18,$J$9:$J$59,AV$8),0)</f>
        <v>0</v>
      </c>
      <c r="AW18" s="178">
        <f t="array" ref="AW18">IF(AND($L18&lt;&gt;"",AW$8&lt;&gt;""),COUNTIFS($C$9:$C$59,$L18,$J$9:$J$59,AW$8),0)</f>
        <v>0</v>
      </c>
      <c r="AX18" s="178">
        <f t="array" ref="AX18">IF(AND($L18&lt;&gt;"",AX$8&lt;&gt;""),COUNTIFS($C$9:$C$59,$L18,$J$9:$J$59,AX$8),0)</f>
        <v>0</v>
      </c>
      <c r="AY18" s="178">
        <f t="array" ref="AY18">IF(AND($L18&lt;&gt;"",AY$8&lt;&gt;""),COUNTIFS($C$9:$C$59,$L18,$J$9:$J$59,AY$8),0)</f>
        <v>0</v>
      </c>
      <c r="AZ18" s="178">
        <f t="array" ref="AZ18">IF(AND($L18&lt;&gt;"",AZ$8&lt;&gt;""),COUNTIFS($C$9:$C$59,$L18,$J$9:$J$59,AZ$8),0)</f>
        <v>0</v>
      </c>
      <c r="BA18" s="178">
        <f t="array" ref="BA18">IF(AND($L18&lt;&gt;"",BA$8&lt;&gt;""),COUNTIFS($C$9:$C$59,$L18,$J$9:$J$59,BA$8),0)</f>
        <v>0</v>
      </c>
      <c r="BB18" s="178">
        <f t="array" ref="BB18">IF(AND($L18&lt;&gt;"",BB$8&lt;&gt;""),COUNTIFS($C$9:$C$59,$L18,$J$9:$J$59,BB$8),0)</f>
        <v>0</v>
      </c>
      <c r="BC18" s="178">
        <f t="array" ref="BC18">IF(AND($L18&lt;&gt;"",BC$8&lt;&gt;""),COUNTIFS($C$9:$C$59,$L18,$J$9:$J$59,BC$8),0)</f>
        <v>0</v>
      </c>
      <c r="BD18" s="178">
        <f t="array" ref="BD18">IF(AND($L18&lt;&gt;"",BD$8&lt;&gt;""),COUNTIFS($C$9:$C$59,$L18,$J$9:$J$59,BD$8),0)</f>
        <v>0</v>
      </c>
      <c r="BE18" s="178">
        <f t="array" ref="BE18">IF(AND($L18&lt;&gt;"",BE$8&lt;&gt;""),COUNTIFS($C$9:$C$59,$L18,$J$9:$J$59,BE$8),0)</f>
        <v>0</v>
      </c>
      <c r="BF18" s="178">
        <f t="array" ref="BF18">IF(AND($L18&lt;&gt;"",BF$8&lt;&gt;""),COUNTIFS($C$9:$C$59,$L18,$J$9:$J$59,BF$8),0)</f>
        <v>0</v>
      </c>
      <c r="BG18" s="178">
        <f t="array" ref="BG18">IF(AND($L18&lt;&gt;"",BG$8&lt;&gt;""),COUNTIFS($C$9:$C$59,$L18,$J$9:$J$59,BG$8),0)</f>
        <v>0</v>
      </c>
      <c r="BH18" s="178">
        <f t="array" ref="BH18">IF(AND($L18&lt;&gt;"",BH$8&lt;&gt;""),COUNTIFS($C$9:$C$59,$L18,$J$9:$J$59,BH$8),0)</f>
        <v>0</v>
      </c>
      <c r="BI18" s="178">
        <f t="array" ref="BI18">IF(AND($L18&lt;&gt;"",BI$8&lt;&gt;""),COUNTIFS($C$9:$C$59,$L18,$J$9:$J$59,BI$8),0)</f>
        <v>0</v>
      </c>
      <c r="BJ18" s="178">
        <f t="array" ref="BJ18">IF(AND($L18&lt;&gt;"",BJ$8&lt;&gt;""),COUNTIFS($C$9:$C$59,$L18,$J$9:$J$59,BJ$8),0)</f>
        <v>0</v>
      </c>
    </row>
    <row r="19" spans="2:62" x14ac:dyDescent="0.2">
      <c r="B19" s="126" t="s">
        <v>154</v>
      </c>
      <c r="C19" s="267"/>
      <c r="D19" s="23"/>
      <c r="E19" s="118"/>
      <c r="F19" s="118"/>
      <c r="G19" s="118" t="s">
        <v>287</v>
      </c>
      <c r="H19" s="117" t="str">
        <f t="shared" si="0"/>
        <v>-</v>
      </c>
      <c r="I19" s="127"/>
      <c r="J19" s="171" t="str">
        <f t="shared" si="1"/>
        <v/>
      </c>
      <c r="L19" s="178" t="str">
        <f t="array" ref="L19">IFERROR(INDEX($C$9:$C$59,MATCH(0,COUNTIF($L$8:$L18,$C$9:$C$59),0)),"")</f>
        <v/>
      </c>
      <c r="M19" s="178">
        <f t="array" ref="M19">IF(AND($L19&lt;&gt;"",M$8&lt;&gt;""),COUNTIFS($C$9:$C$59,$L19,$J$9:$J$59,M$8),0)</f>
        <v>0</v>
      </c>
      <c r="N19" s="178">
        <f t="array" ref="N19">IF(AND($L19&lt;&gt;"",N$8&lt;&gt;""),COUNTIFS($C$9:$C$59,$L19,$J$9:$J$59,N$8),0)</f>
        <v>0</v>
      </c>
      <c r="O19" s="178">
        <f t="array" ref="O19">IF(AND($L19&lt;&gt;"",O$8&lt;&gt;""),COUNTIFS($C$9:$C$59,$L19,$J$9:$J$59,O$8),0)</f>
        <v>0</v>
      </c>
      <c r="P19" s="178">
        <f t="array" ref="P19">IF(AND($L19&lt;&gt;"",P$8&lt;&gt;""),COUNTIFS($C$9:$C$59,$L19,$J$9:$J$59,P$8),0)</f>
        <v>0</v>
      </c>
      <c r="Q19" s="178">
        <f t="array" ref="Q19">IF(AND($L19&lt;&gt;"",Q$8&lt;&gt;""),COUNTIFS($C$9:$C$59,$L19,$J$9:$J$59,Q$8),0)</f>
        <v>0</v>
      </c>
      <c r="R19" s="178">
        <f t="array" ref="R19">IF(AND($L19&lt;&gt;"",R$8&lt;&gt;""),COUNTIFS($C$9:$C$59,$L19,$J$9:$J$59,R$8),0)</f>
        <v>0</v>
      </c>
      <c r="S19" s="178">
        <f t="array" ref="S19">IF(AND($L19&lt;&gt;"",S$8&lt;&gt;""),COUNTIFS($C$9:$C$59,$L19,$J$9:$J$59,S$8),0)</f>
        <v>0</v>
      </c>
      <c r="T19" s="178">
        <f t="array" ref="T19">IF(AND($L19&lt;&gt;"",T$8&lt;&gt;""),COUNTIFS($C$9:$C$59,$L19,$J$9:$J$59,T$8),0)</f>
        <v>0</v>
      </c>
      <c r="U19" s="178">
        <f t="array" ref="U19">IF(AND($L19&lt;&gt;"",U$8&lt;&gt;""),COUNTIFS($C$9:$C$59,$L19,$J$9:$J$59,U$8),0)</f>
        <v>0</v>
      </c>
      <c r="V19" s="178">
        <f t="array" ref="V19">IF(AND($L19&lt;&gt;"",V$8&lt;&gt;""),COUNTIFS($C$9:$C$59,$L19,$J$9:$J$59,V$8),0)</f>
        <v>0</v>
      </c>
      <c r="W19" s="178">
        <f t="array" ref="W19">IF(AND($L19&lt;&gt;"",W$8&lt;&gt;""),COUNTIFS($C$9:$C$59,$L19,$J$9:$J$59,W$8),0)</f>
        <v>0</v>
      </c>
      <c r="X19" s="178">
        <f t="array" ref="X19">IF(AND($L19&lt;&gt;"",X$8&lt;&gt;""),COUNTIFS($C$9:$C$59,$L19,$J$9:$J$59,X$8),0)</f>
        <v>0</v>
      </c>
      <c r="Y19" s="178">
        <f t="array" ref="Y19">IF(AND($L19&lt;&gt;"",Y$8&lt;&gt;""),COUNTIFS($C$9:$C$59,$L19,$J$9:$J$59,Y$8),0)</f>
        <v>0</v>
      </c>
      <c r="Z19" s="178">
        <f t="array" ref="Z19">IF(AND($L19&lt;&gt;"",Z$8&lt;&gt;""),COUNTIFS($C$9:$C$59,$L19,$J$9:$J$59,Z$8),0)</f>
        <v>0</v>
      </c>
      <c r="AA19" s="178">
        <f t="array" ref="AA19">IF(AND($L19&lt;&gt;"",AA$8&lt;&gt;""),COUNTIFS($C$9:$C$59,$L19,$J$9:$J$59,AA$8),0)</f>
        <v>0</v>
      </c>
      <c r="AB19" s="178">
        <f t="array" ref="AB19">IF(AND($L19&lt;&gt;"",AB$8&lt;&gt;""),COUNTIFS($C$9:$C$59,$L19,$J$9:$J$59,AB$8),0)</f>
        <v>0</v>
      </c>
      <c r="AC19" s="178">
        <f t="array" ref="AC19">IF(AND($L19&lt;&gt;"",AC$8&lt;&gt;""),COUNTIFS($C$9:$C$59,$L19,$J$9:$J$59,AC$8),0)</f>
        <v>0</v>
      </c>
      <c r="AD19" s="178">
        <f t="array" ref="AD19">IF(AND($L19&lt;&gt;"",AD$8&lt;&gt;""),COUNTIFS($C$9:$C$59,$L19,$J$9:$J$59,AD$8),0)</f>
        <v>0</v>
      </c>
      <c r="AE19" s="178">
        <f t="array" ref="AE19">IF(AND($L19&lt;&gt;"",AE$8&lt;&gt;""),COUNTIFS($C$9:$C$59,$L19,$J$9:$J$59,AE$8),0)</f>
        <v>0</v>
      </c>
      <c r="AF19" s="178">
        <f t="array" ref="AF19">IF(AND($L19&lt;&gt;"",AF$8&lt;&gt;""),COUNTIFS($C$9:$C$59,$L19,$J$9:$J$59,AF$8),0)</f>
        <v>0</v>
      </c>
      <c r="AG19" s="178">
        <f t="array" ref="AG19">IF(AND($L19&lt;&gt;"",AG$8&lt;&gt;""),COUNTIFS($C$9:$C$59,$L19,$J$9:$J$59,AG$8),0)</f>
        <v>0</v>
      </c>
      <c r="AH19" s="178">
        <f t="array" ref="AH19">IF(AND($L19&lt;&gt;"",AH$8&lt;&gt;""),COUNTIFS($C$9:$C$59,$L19,$J$9:$J$59,AH$8),0)</f>
        <v>0</v>
      </c>
      <c r="AI19" s="178">
        <f t="array" ref="AI19">IF(AND($L19&lt;&gt;"",AI$8&lt;&gt;""),COUNTIFS($C$9:$C$59,$L19,$J$9:$J$59,AI$8),0)</f>
        <v>0</v>
      </c>
      <c r="AJ19" s="178">
        <f t="array" ref="AJ19">IF(AND($L19&lt;&gt;"",AJ$8&lt;&gt;""),COUNTIFS($C$9:$C$59,$L19,$J$9:$J$59,AJ$8),0)</f>
        <v>0</v>
      </c>
      <c r="AK19" s="178">
        <f t="array" ref="AK19">IF(AND($L19&lt;&gt;"",AK$8&lt;&gt;""),COUNTIFS($C$9:$C$59,$L19,$J$9:$J$59,AK$8),0)</f>
        <v>0</v>
      </c>
      <c r="AL19" s="178">
        <f t="array" ref="AL19">IF(AND($L19&lt;&gt;"",AL$8&lt;&gt;""),COUNTIFS($C$9:$C$59,$L19,$J$9:$J$59,AL$8),0)</f>
        <v>0</v>
      </c>
      <c r="AM19" s="178">
        <f t="array" ref="AM19">IF(AND($L19&lt;&gt;"",AM$8&lt;&gt;""),COUNTIFS($C$9:$C$59,$L19,$J$9:$J$59,AM$8),0)</f>
        <v>0</v>
      </c>
      <c r="AN19" s="178">
        <f t="array" ref="AN19">IF(AND($L19&lt;&gt;"",AN$8&lt;&gt;""),COUNTIFS($C$9:$C$59,$L19,$J$9:$J$59,AN$8),0)</f>
        <v>0</v>
      </c>
      <c r="AO19" s="178">
        <f t="array" ref="AO19">IF(AND($L19&lt;&gt;"",AO$8&lt;&gt;""),COUNTIFS($C$9:$C$59,$L19,$J$9:$J$59,AO$8),0)</f>
        <v>0</v>
      </c>
      <c r="AP19" s="178">
        <f t="array" ref="AP19">IF(AND($L19&lt;&gt;"",AP$8&lt;&gt;""),COUNTIFS($C$9:$C$59,$L19,$J$9:$J$59,AP$8),0)</f>
        <v>0</v>
      </c>
      <c r="AQ19" s="178">
        <f t="array" ref="AQ19">IF(AND($L19&lt;&gt;"",AQ$8&lt;&gt;""),COUNTIFS($C$9:$C$59,$L19,$J$9:$J$59,AQ$8),0)</f>
        <v>0</v>
      </c>
      <c r="AR19" s="178">
        <f t="array" ref="AR19">IF(AND($L19&lt;&gt;"",AR$8&lt;&gt;""),COUNTIFS($C$9:$C$59,$L19,$J$9:$J$59,AR$8),0)</f>
        <v>0</v>
      </c>
      <c r="AS19" s="178">
        <f t="array" ref="AS19">IF(AND($L19&lt;&gt;"",AS$8&lt;&gt;""),COUNTIFS($C$9:$C$59,$L19,$J$9:$J$59,AS$8),0)</f>
        <v>0</v>
      </c>
      <c r="AT19" s="178">
        <f t="array" ref="AT19">IF(AND($L19&lt;&gt;"",AT$8&lt;&gt;""),COUNTIFS($C$9:$C$59,$L19,$J$9:$J$59,AT$8),0)</f>
        <v>0</v>
      </c>
      <c r="AU19" s="178">
        <f t="array" ref="AU19">IF(AND($L19&lt;&gt;"",AU$8&lt;&gt;""),COUNTIFS($C$9:$C$59,$L19,$J$9:$J$59,AU$8),0)</f>
        <v>0</v>
      </c>
      <c r="AV19" s="178">
        <f t="array" ref="AV19">IF(AND($L19&lt;&gt;"",AV$8&lt;&gt;""),COUNTIFS($C$9:$C$59,$L19,$J$9:$J$59,AV$8),0)</f>
        <v>0</v>
      </c>
      <c r="AW19" s="178">
        <f t="array" ref="AW19">IF(AND($L19&lt;&gt;"",AW$8&lt;&gt;""),COUNTIFS($C$9:$C$59,$L19,$J$9:$J$59,AW$8),0)</f>
        <v>0</v>
      </c>
      <c r="AX19" s="178">
        <f t="array" ref="AX19">IF(AND($L19&lt;&gt;"",AX$8&lt;&gt;""),COUNTIFS($C$9:$C$59,$L19,$J$9:$J$59,AX$8),0)</f>
        <v>0</v>
      </c>
      <c r="AY19" s="178">
        <f t="array" ref="AY19">IF(AND($L19&lt;&gt;"",AY$8&lt;&gt;""),COUNTIFS($C$9:$C$59,$L19,$J$9:$J$59,AY$8),0)</f>
        <v>0</v>
      </c>
      <c r="AZ19" s="178">
        <f t="array" ref="AZ19">IF(AND($L19&lt;&gt;"",AZ$8&lt;&gt;""),COUNTIFS($C$9:$C$59,$L19,$J$9:$J$59,AZ$8),0)</f>
        <v>0</v>
      </c>
      <c r="BA19" s="178">
        <f t="array" ref="BA19">IF(AND($L19&lt;&gt;"",BA$8&lt;&gt;""),COUNTIFS($C$9:$C$59,$L19,$J$9:$J$59,BA$8),0)</f>
        <v>0</v>
      </c>
      <c r="BB19" s="178">
        <f t="array" ref="BB19">IF(AND($L19&lt;&gt;"",BB$8&lt;&gt;""),COUNTIFS($C$9:$C$59,$L19,$J$9:$J$59,BB$8),0)</f>
        <v>0</v>
      </c>
      <c r="BC19" s="178">
        <f t="array" ref="BC19">IF(AND($L19&lt;&gt;"",BC$8&lt;&gt;""),COUNTIFS($C$9:$C$59,$L19,$J$9:$J$59,BC$8),0)</f>
        <v>0</v>
      </c>
      <c r="BD19" s="178">
        <f t="array" ref="BD19">IF(AND($L19&lt;&gt;"",BD$8&lt;&gt;""),COUNTIFS($C$9:$C$59,$L19,$J$9:$J$59,BD$8),0)</f>
        <v>0</v>
      </c>
      <c r="BE19" s="178">
        <f t="array" ref="BE19">IF(AND($L19&lt;&gt;"",BE$8&lt;&gt;""),COUNTIFS($C$9:$C$59,$L19,$J$9:$J$59,BE$8),0)</f>
        <v>0</v>
      </c>
      <c r="BF19" s="178">
        <f t="array" ref="BF19">IF(AND($L19&lt;&gt;"",BF$8&lt;&gt;""),COUNTIFS($C$9:$C$59,$L19,$J$9:$J$59,BF$8),0)</f>
        <v>0</v>
      </c>
      <c r="BG19" s="178">
        <f t="array" ref="BG19">IF(AND($L19&lt;&gt;"",BG$8&lt;&gt;""),COUNTIFS($C$9:$C$59,$L19,$J$9:$J$59,BG$8),0)</f>
        <v>0</v>
      </c>
      <c r="BH19" s="178">
        <f t="array" ref="BH19">IF(AND($L19&lt;&gt;"",BH$8&lt;&gt;""),COUNTIFS($C$9:$C$59,$L19,$J$9:$J$59,BH$8),0)</f>
        <v>0</v>
      </c>
      <c r="BI19" s="178">
        <f t="array" ref="BI19">IF(AND($L19&lt;&gt;"",BI$8&lt;&gt;""),COUNTIFS($C$9:$C$59,$L19,$J$9:$J$59,BI$8),0)</f>
        <v>0</v>
      </c>
      <c r="BJ19" s="178">
        <f t="array" ref="BJ19">IF(AND($L19&lt;&gt;"",BJ$8&lt;&gt;""),COUNTIFS($C$9:$C$59,$L19,$J$9:$J$59,BJ$8),0)</f>
        <v>0</v>
      </c>
    </row>
    <row r="20" spans="2:62" x14ac:dyDescent="0.2">
      <c r="B20" s="126" t="s">
        <v>155</v>
      </c>
      <c r="C20" s="267"/>
      <c r="D20" s="277"/>
      <c r="E20" s="118"/>
      <c r="F20" s="118"/>
      <c r="G20" s="118" t="s">
        <v>287</v>
      </c>
      <c r="H20" s="116" t="str">
        <f t="shared" si="0"/>
        <v>-</v>
      </c>
      <c r="I20" s="127"/>
      <c r="J20" s="171" t="str">
        <f t="shared" si="1"/>
        <v/>
      </c>
      <c r="L20" s="178" t="str">
        <f t="array" ref="L20">IFERROR(INDEX($C$9:$C$59,MATCH(0,COUNTIF($L$8:$L19,$C$9:$C$59),0)),"")</f>
        <v/>
      </c>
      <c r="M20" s="178">
        <f t="array" ref="M20">IF(AND($L20&lt;&gt;"",M$8&lt;&gt;""),COUNTIFS($C$9:$C$59,$L20,$J$9:$J$59,M$8),0)</f>
        <v>0</v>
      </c>
      <c r="N20" s="178">
        <f t="array" ref="N20">IF(AND($L20&lt;&gt;"",N$8&lt;&gt;""),COUNTIFS($C$9:$C$59,$L20,$J$9:$J$59,N$8),0)</f>
        <v>0</v>
      </c>
      <c r="O20" s="178">
        <f t="array" ref="O20">IF(AND($L20&lt;&gt;"",O$8&lt;&gt;""),COUNTIFS($C$9:$C$59,$L20,$J$9:$J$59,O$8),0)</f>
        <v>0</v>
      </c>
      <c r="P20" s="178">
        <f t="array" ref="P20">IF(AND($L20&lt;&gt;"",P$8&lt;&gt;""),COUNTIFS($C$9:$C$59,$L20,$J$9:$J$59,P$8),0)</f>
        <v>0</v>
      </c>
      <c r="Q20" s="178">
        <f t="array" ref="Q20">IF(AND($L20&lt;&gt;"",Q$8&lt;&gt;""),COUNTIFS($C$9:$C$59,$L20,$J$9:$J$59,Q$8),0)</f>
        <v>0</v>
      </c>
      <c r="R20" s="178">
        <f t="array" ref="R20">IF(AND($L20&lt;&gt;"",R$8&lt;&gt;""),COUNTIFS($C$9:$C$59,$L20,$J$9:$J$59,R$8),0)</f>
        <v>0</v>
      </c>
      <c r="S20" s="178">
        <f t="array" ref="S20">IF(AND($L20&lt;&gt;"",S$8&lt;&gt;""),COUNTIFS($C$9:$C$59,$L20,$J$9:$J$59,S$8),0)</f>
        <v>0</v>
      </c>
      <c r="T20" s="178">
        <f t="array" ref="T20">IF(AND($L20&lt;&gt;"",T$8&lt;&gt;""),COUNTIFS($C$9:$C$59,$L20,$J$9:$J$59,T$8),0)</f>
        <v>0</v>
      </c>
      <c r="U20" s="178">
        <f t="array" ref="U20">IF(AND($L20&lt;&gt;"",U$8&lt;&gt;""),COUNTIFS($C$9:$C$59,$L20,$J$9:$J$59,U$8),0)</f>
        <v>0</v>
      </c>
      <c r="V20" s="178">
        <f t="array" ref="V20">IF(AND($L20&lt;&gt;"",V$8&lt;&gt;""),COUNTIFS($C$9:$C$59,$L20,$J$9:$J$59,V$8),0)</f>
        <v>0</v>
      </c>
      <c r="W20" s="178">
        <f t="array" ref="W20">IF(AND($L20&lt;&gt;"",W$8&lt;&gt;""),COUNTIFS($C$9:$C$59,$L20,$J$9:$J$59,W$8),0)</f>
        <v>0</v>
      </c>
      <c r="X20" s="178">
        <f t="array" ref="X20">IF(AND($L20&lt;&gt;"",X$8&lt;&gt;""),COUNTIFS($C$9:$C$59,$L20,$J$9:$J$59,X$8),0)</f>
        <v>0</v>
      </c>
      <c r="Y20" s="178">
        <f t="array" ref="Y20">IF(AND($L20&lt;&gt;"",Y$8&lt;&gt;""),COUNTIFS($C$9:$C$59,$L20,$J$9:$J$59,Y$8),0)</f>
        <v>0</v>
      </c>
      <c r="Z20" s="178">
        <f t="array" ref="Z20">IF(AND($L20&lt;&gt;"",Z$8&lt;&gt;""),COUNTIFS($C$9:$C$59,$L20,$J$9:$J$59,Z$8),0)</f>
        <v>0</v>
      </c>
      <c r="AA20" s="178">
        <f t="array" ref="AA20">IF(AND($L20&lt;&gt;"",AA$8&lt;&gt;""),COUNTIFS($C$9:$C$59,$L20,$J$9:$J$59,AA$8),0)</f>
        <v>0</v>
      </c>
      <c r="AB20" s="178">
        <f t="array" ref="AB20">IF(AND($L20&lt;&gt;"",AB$8&lt;&gt;""),COUNTIFS($C$9:$C$59,$L20,$J$9:$J$59,AB$8),0)</f>
        <v>0</v>
      </c>
      <c r="AC20" s="178">
        <f t="array" ref="AC20">IF(AND($L20&lt;&gt;"",AC$8&lt;&gt;""),COUNTIFS($C$9:$C$59,$L20,$J$9:$J$59,AC$8),0)</f>
        <v>0</v>
      </c>
      <c r="AD20" s="178">
        <f t="array" ref="AD20">IF(AND($L20&lt;&gt;"",AD$8&lt;&gt;""),COUNTIFS($C$9:$C$59,$L20,$J$9:$J$59,AD$8),0)</f>
        <v>0</v>
      </c>
      <c r="AE20" s="178">
        <f t="array" ref="AE20">IF(AND($L20&lt;&gt;"",AE$8&lt;&gt;""),COUNTIFS($C$9:$C$59,$L20,$J$9:$J$59,AE$8),0)</f>
        <v>0</v>
      </c>
      <c r="AF20" s="178">
        <f t="array" ref="AF20">IF(AND($L20&lt;&gt;"",AF$8&lt;&gt;""),COUNTIFS($C$9:$C$59,$L20,$J$9:$J$59,AF$8),0)</f>
        <v>0</v>
      </c>
      <c r="AG20" s="178">
        <f t="array" ref="AG20">IF(AND($L20&lt;&gt;"",AG$8&lt;&gt;""),COUNTIFS($C$9:$C$59,$L20,$J$9:$J$59,AG$8),0)</f>
        <v>0</v>
      </c>
      <c r="AH20" s="178">
        <f t="array" ref="AH20">IF(AND($L20&lt;&gt;"",AH$8&lt;&gt;""),COUNTIFS($C$9:$C$59,$L20,$J$9:$J$59,AH$8),0)</f>
        <v>0</v>
      </c>
      <c r="AI20" s="178">
        <f t="array" ref="AI20">IF(AND($L20&lt;&gt;"",AI$8&lt;&gt;""),COUNTIFS($C$9:$C$59,$L20,$J$9:$J$59,AI$8),0)</f>
        <v>0</v>
      </c>
      <c r="AJ20" s="178">
        <f t="array" ref="AJ20">IF(AND($L20&lt;&gt;"",AJ$8&lt;&gt;""),COUNTIFS($C$9:$C$59,$L20,$J$9:$J$59,AJ$8),0)</f>
        <v>0</v>
      </c>
      <c r="AK20" s="178">
        <f t="array" ref="AK20">IF(AND($L20&lt;&gt;"",AK$8&lt;&gt;""),COUNTIFS($C$9:$C$59,$L20,$J$9:$J$59,AK$8),0)</f>
        <v>0</v>
      </c>
      <c r="AL20" s="178">
        <f t="array" ref="AL20">IF(AND($L20&lt;&gt;"",AL$8&lt;&gt;""),COUNTIFS($C$9:$C$59,$L20,$J$9:$J$59,AL$8),0)</f>
        <v>0</v>
      </c>
      <c r="AM20" s="178">
        <f t="array" ref="AM20">IF(AND($L20&lt;&gt;"",AM$8&lt;&gt;""),COUNTIFS($C$9:$C$59,$L20,$J$9:$J$59,AM$8),0)</f>
        <v>0</v>
      </c>
      <c r="AN20" s="178">
        <f t="array" ref="AN20">IF(AND($L20&lt;&gt;"",AN$8&lt;&gt;""),COUNTIFS($C$9:$C$59,$L20,$J$9:$J$59,AN$8),0)</f>
        <v>0</v>
      </c>
      <c r="AO20" s="178">
        <f t="array" ref="AO20">IF(AND($L20&lt;&gt;"",AO$8&lt;&gt;""),COUNTIFS($C$9:$C$59,$L20,$J$9:$J$59,AO$8),0)</f>
        <v>0</v>
      </c>
      <c r="AP20" s="178">
        <f t="array" ref="AP20">IF(AND($L20&lt;&gt;"",AP$8&lt;&gt;""),COUNTIFS($C$9:$C$59,$L20,$J$9:$J$59,AP$8),0)</f>
        <v>0</v>
      </c>
      <c r="AQ20" s="178">
        <f t="array" ref="AQ20">IF(AND($L20&lt;&gt;"",AQ$8&lt;&gt;""),COUNTIFS($C$9:$C$59,$L20,$J$9:$J$59,AQ$8),0)</f>
        <v>0</v>
      </c>
      <c r="AR20" s="178">
        <f t="array" ref="AR20">IF(AND($L20&lt;&gt;"",AR$8&lt;&gt;""),COUNTIFS($C$9:$C$59,$L20,$J$9:$J$59,AR$8),0)</f>
        <v>0</v>
      </c>
      <c r="AS20" s="178">
        <f t="array" ref="AS20">IF(AND($L20&lt;&gt;"",AS$8&lt;&gt;""),COUNTIFS($C$9:$C$59,$L20,$J$9:$J$59,AS$8),0)</f>
        <v>0</v>
      </c>
      <c r="AT20" s="178">
        <f t="array" ref="AT20">IF(AND($L20&lt;&gt;"",AT$8&lt;&gt;""),COUNTIFS($C$9:$C$59,$L20,$J$9:$J$59,AT$8),0)</f>
        <v>0</v>
      </c>
      <c r="AU20" s="178">
        <f t="array" ref="AU20">IF(AND($L20&lt;&gt;"",AU$8&lt;&gt;""),COUNTIFS($C$9:$C$59,$L20,$J$9:$J$59,AU$8),0)</f>
        <v>0</v>
      </c>
      <c r="AV20" s="178">
        <f t="array" ref="AV20">IF(AND($L20&lt;&gt;"",AV$8&lt;&gt;""),COUNTIFS($C$9:$C$59,$L20,$J$9:$J$59,AV$8),0)</f>
        <v>0</v>
      </c>
      <c r="AW20" s="178">
        <f t="array" ref="AW20">IF(AND($L20&lt;&gt;"",AW$8&lt;&gt;""),COUNTIFS($C$9:$C$59,$L20,$J$9:$J$59,AW$8),0)</f>
        <v>0</v>
      </c>
      <c r="AX20" s="178">
        <f t="array" ref="AX20">IF(AND($L20&lt;&gt;"",AX$8&lt;&gt;""),COUNTIFS($C$9:$C$59,$L20,$J$9:$J$59,AX$8),0)</f>
        <v>0</v>
      </c>
      <c r="AY20" s="178">
        <f t="array" ref="AY20">IF(AND($L20&lt;&gt;"",AY$8&lt;&gt;""),COUNTIFS($C$9:$C$59,$L20,$J$9:$J$59,AY$8),0)</f>
        <v>0</v>
      </c>
      <c r="AZ20" s="178">
        <f t="array" ref="AZ20">IF(AND($L20&lt;&gt;"",AZ$8&lt;&gt;""),COUNTIFS($C$9:$C$59,$L20,$J$9:$J$59,AZ$8),0)</f>
        <v>0</v>
      </c>
      <c r="BA20" s="178">
        <f t="array" ref="BA20">IF(AND($L20&lt;&gt;"",BA$8&lt;&gt;""),COUNTIFS($C$9:$C$59,$L20,$J$9:$J$59,BA$8),0)</f>
        <v>0</v>
      </c>
      <c r="BB20" s="178">
        <f t="array" ref="BB20">IF(AND($L20&lt;&gt;"",BB$8&lt;&gt;""),COUNTIFS($C$9:$C$59,$L20,$J$9:$J$59,BB$8),0)</f>
        <v>0</v>
      </c>
      <c r="BC20" s="178">
        <f t="array" ref="BC20">IF(AND($L20&lt;&gt;"",BC$8&lt;&gt;""),COUNTIFS($C$9:$C$59,$L20,$J$9:$J$59,BC$8),0)</f>
        <v>0</v>
      </c>
      <c r="BD20" s="178">
        <f t="array" ref="BD20">IF(AND($L20&lt;&gt;"",BD$8&lt;&gt;""),COUNTIFS($C$9:$C$59,$L20,$J$9:$J$59,BD$8),0)</f>
        <v>0</v>
      </c>
      <c r="BE20" s="178">
        <f t="array" ref="BE20">IF(AND($L20&lt;&gt;"",BE$8&lt;&gt;""),COUNTIFS($C$9:$C$59,$L20,$J$9:$J$59,BE$8),0)</f>
        <v>0</v>
      </c>
      <c r="BF20" s="178">
        <f t="array" ref="BF20">IF(AND($L20&lt;&gt;"",BF$8&lt;&gt;""),COUNTIFS($C$9:$C$59,$L20,$J$9:$J$59,BF$8),0)</f>
        <v>0</v>
      </c>
      <c r="BG20" s="178">
        <f t="array" ref="BG20">IF(AND($L20&lt;&gt;"",BG$8&lt;&gt;""),COUNTIFS($C$9:$C$59,$L20,$J$9:$J$59,BG$8),0)</f>
        <v>0</v>
      </c>
      <c r="BH20" s="178">
        <f t="array" ref="BH20">IF(AND($L20&lt;&gt;"",BH$8&lt;&gt;""),COUNTIFS($C$9:$C$59,$L20,$J$9:$J$59,BH$8),0)</f>
        <v>0</v>
      </c>
      <c r="BI20" s="178">
        <f t="array" ref="BI20">IF(AND($L20&lt;&gt;"",BI$8&lt;&gt;""),COUNTIFS($C$9:$C$59,$L20,$J$9:$J$59,BI$8),0)</f>
        <v>0</v>
      </c>
      <c r="BJ20" s="178">
        <f t="array" ref="BJ20">IF(AND($L20&lt;&gt;"",BJ$8&lt;&gt;""),COUNTIFS($C$9:$C$59,$L20,$J$9:$J$59,BJ$8),0)</f>
        <v>0</v>
      </c>
    </row>
    <row r="21" spans="2:62" x14ac:dyDescent="0.2">
      <c r="B21" s="126" t="s">
        <v>156</v>
      </c>
      <c r="C21" s="267"/>
      <c r="D21" s="23"/>
      <c r="E21" s="118"/>
      <c r="F21" s="118"/>
      <c r="G21" s="118" t="s">
        <v>287</v>
      </c>
      <c r="H21" s="117" t="str">
        <f t="shared" si="0"/>
        <v>-</v>
      </c>
      <c r="I21" s="127"/>
      <c r="J21" s="171" t="str">
        <f t="shared" si="1"/>
        <v/>
      </c>
      <c r="L21" s="178" t="str">
        <f t="array" ref="L21">IFERROR(INDEX($C$9:$C$59,MATCH(0,COUNTIF($L$8:$L20,$C$9:$C$59),0)),"")</f>
        <v/>
      </c>
      <c r="M21" s="178">
        <f t="array" ref="M21">IF(AND($L21&lt;&gt;"",M$8&lt;&gt;""),COUNTIFS($C$9:$C$59,$L21,$J$9:$J$59,M$8),0)</f>
        <v>0</v>
      </c>
      <c r="N21" s="178">
        <f t="array" ref="N21">IF(AND($L21&lt;&gt;"",N$8&lt;&gt;""),COUNTIFS($C$9:$C$59,$L21,$J$9:$J$59,N$8),0)</f>
        <v>0</v>
      </c>
      <c r="O21" s="178">
        <f t="array" ref="O21">IF(AND($L21&lt;&gt;"",O$8&lt;&gt;""),COUNTIFS($C$9:$C$59,$L21,$J$9:$J$59,O$8),0)</f>
        <v>0</v>
      </c>
      <c r="P21" s="178">
        <f t="array" ref="P21">IF(AND($L21&lt;&gt;"",P$8&lt;&gt;""),COUNTIFS($C$9:$C$59,$L21,$J$9:$J$59,P$8),0)</f>
        <v>0</v>
      </c>
      <c r="Q21" s="178">
        <f t="array" ref="Q21">IF(AND($L21&lt;&gt;"",Q$8&lt;&gt;""),COUNTIFS($C$9:$C$59,$L21,$J$9:$J$59,Q$8),0)</f>
        <v>0</v>
      </c>
      <c r="R21" s="178">
        <f t="array" ref="R21">IF(AND($L21&lt;&gt;"",R$8&lt;&gt;""),COUNTIFS($C$9:$C$59,$L21,$J$9:$J$59,R$8),0)</f>
        <v>0</v>
      </c>
      <c r="S21" s="178">
        <f t="array" ref="S21">IF(AND($L21&lt;&gt;"",S$8&lt;&gt;""),COUNTIFS($C$9:$C$59,$L21,$J$9:$J$59,S$8),0)</f>
        <v>0</v>
      </c>
      <c r="T21" s="178">
        <f t="array" ref="T21">IF(AND($L21&lt;&gt;"",T$8&lt;&gt;""),COUNTIFS($C$9:$C$59,$L21,$J$9:$J$59,T$8),0)</f>
        <v>0</v>
      </c>
      <c r="U21" s="178">
        <f t="array" ref="U21">IF(AND($L21&lt;&gt;"",U$8&lt;&gt;""),COUNTIFS($C$9:$C$59,$L21,$J$9:$J$59,U$8),0)</f>
        <v>0</v>
      </c>
      <c r="V21" s="178">
        <f t="array" ref="V21">IF(AND($L21&lt;&gt;"",V$8&lt;&gt;""),COUNTIFS($C$9:$C$59,$L21,$J$9:$J$59,V$8),0)</f>
        <v>0</v>
      </c>
      <c r="W21" s="178">
        <f t="array" ref="W21">IF(AND($L21&lt;&gt;"",W$8&lt;&gt;""),COUNTIFS($C$9:$C$59,$L21,$J$9:$J$59,W$8),0)</f>
        <v>0</v>
      </c>
      <c r="X21" s="178">
        <f t="array" ref="X21">IF(AND($L21&lt;&gt;"",X$8&lt;&gt;""),COUNTIFS($C$9:$C$59,$L21,$J$9:$J$59,X$8),0)</f>
        <v>0</v>
      </c>
      <c r="Y21" s="178">
        <f t="array" ref="Y21">IF(AND($L21&lt;&gt;"",Y$8&lt;&gt;""),COUNTIFS($C$9:$C$59,$L21,$J$9:$J$59,Y$8),0)</f>
        <v>0</v>
      </c>
      <c r="Z21" s="178">
        <f t="array" ref="Z21">IF(AND($L21&lt;&gt;"",Z$8&lt;&gt;""),COUNTIFS($C$9:$C$59,$L21,$J$9:$J$59,Z$8),0)</f>
        <v>0</v>
      </c>
      <c r="AA21" s="178">
        <f t="array" ref="AA21">IF(AND($L21&lt;&gt;"",AA$8&lt;&gt;""),COUNTIFS($C$9:$C$59,$L21,$J$9:$J$59,AA$8),0)</f>
        <v>0</v>
      </c>
      <c r="AB21" s="178">
        <f t="array" ref="AB21">IF(AND($L21&lt;&gt;"",AB$8&lt;&gt;""),COUNTIFS($C$9:$C$59,$L21,$J$9:$J$59,AB$8),0)</f>
        <v>0</v>
      </c>
      <c r="AC21" s="178">
        <f t="array" ref="AC21">IF(AND($L21&lt;&gt;"",AC$8&lt;&gt;""),COUNTIFS($C$9:$C$59,$L21,$J$9:$J$59,AC$8),0)</f>
        <v>0</v>
      </c>
      <c r="AD21" s="178">
        <f t="array" ref="AD21">IF(AND($L21&lt;&gt;"",AD$8&lt;&gt;""),COUNTIFS($C$9:$C$59,$L21,$J$9:$J$59,AD$8),0)</f>
        <v>0</v>
      </c>
      <c r="AE21" s="178">
        <f t="array" ref="AE21">IF(AND($L21&lt;&gt;"",AE$8&lt;&gt;""),COUNTIFS($C$9:$C$59,$L21,$J$9:$J$59,AE$8),0)</f>
        <v>0</v>
      </c>
      <c r="AF21" s="178">
        <f t="array" ref="AF21">IF(AND($L21&lt;&gt;"",AF$8&lt;&gt;""),COUNTIFS($C$9:$C$59,$L21,$J$9:$J$59,AF$8),0)</f>
        <v>0</v>
      </c>
      <c r="AG21" s="178">
        <f t="array" ref="AG21">IF(AND($L21&lt;&gt;"",AG$8&lt;&gt;""),COUNTIFS($C$9:$C$59,$L21,$J$9:$J$59,AG$8),0)</f>
        <v>0</v>
      </c>
      <c r="AH21" s="178">
        <f t="array" ref="AH21">IF(AND($L21&lt;&gt;"",AH$8&lt;&gt;""),COUNTIFS($C$9:$C$59,$L21,$J$9:$J$59,AH$8),0)</f>
        <v>0</v>
      </c>
      <c r="AI21" s="178">
        <f t="array" ref="AI21">IF(AND($L21&lt;&gt;"",AI$8&lt;&gt;""),COUNTIFS($C$9:$C$59,$L21,$J$9:$J$59,AI$8),0)</f>
        <v>0</v>
      </c>
      <c r="AJ21" s="178">
        <f t="array" ref="AJ21">IF(AND($L21&lt;&gt;"",AJ$8&lt;&gt;""),COUNTIFS($C$9:$C$59,$L21,$J$9:$J$59,AJ$8),0)</f>
        <v>0</v>
      </c>
      <c r="AK21" s="178">
        <f t="array" ref="AK21">IF(AND($L21&lt;&gt;"",AK$8&lt;&gt;""),COUNTIFS($C$9:$C$59,$L21,$J$9:$J$59,AK$8),0)</f>
        <v>0</v>
      </c>
      <c r="AL21" s="178">
        <f t="array" ref="AL21">IF(AND($L21&lt;&gt;"",AL$8&lt;&gt;""),COUNTIFS($C$9:$C$59,$L21,$J$9:$J$59,AL$8),0)</f>
        <v>0</v>
      </c>
      <c r="AM21" s="178">
        <f t="array" ref="AM21">IF(AND($L21&lt;&gt;"",AM$8&lt;&gt;""),COUNTIFS($C$9:$C$59,$L21,$J$9:$J$59,AM$8),0)</f>
        <v>0</v>
      </c>
      <c r="AN21" s="178">
        <f t="array" ref="AN21">IF(AND($L21&lt;&gt;"",AN$8&lt;&gt;""),COUNTIFS($C$9:$C$59,$L21,$J$9:$J$59,AN$8),0)</f>
        <v>0</v>
      </c>
      <c r="AO21" s="178">
        <f t="array" ref="AO21">IF(AND($L21&lt;&gt;"",AO$8&lt;&gt;""),COUNTIFS($C$9:$C$59,$L21,$J$9:$J$59,AO$8),0)</f>
        <v>0</v>
      </c>
      <c r="AP21" s="178">
        <f t="array" ref="AP21">IF(AND($L21&lt;&gt;"",AP$8&lt;&gt;""),COUNTIFS($C$9:$C$59,$L21,$J$9:$J$59,AP$8),0)</f>
        <v>0</v>
      </c>
      <c r="AQ21" s="178">
        <f t="array" ref="AQ21">IF(AND($L21&lt;&gt;"",AQ$8&lt;&gt;""),COUNTIFS($C$9:$C$59,$L21,$J$9:$J$59,AQ$8),0)</f>
        <v>0</v>
      </c>
      <c r="AR21" s="178">
        <f t="array" ref="AR21">IF(AND($L21&lt;&gt;"",AR$8&lt;&gt;""),COUNTIFS($C$9:$C$59,$L21,$J$9:$J$59,AR$8),0)</f>
        <v>0</v>
      </c>
      <c r="AS21" s="178">
        <f t="array" ref="AS21">IF(AND($L21&lt;&gt;"",AS$8&lt;&gt;""),COUNTIFS($C$9:$C$59,$L21,$J$9:$J$59,AS$8),0)</f>
        <v>0</v>
      </c>
      <c r="AT21" s="178">
        <f t="array" ref="AT21">IF(AND($L21&lt;&gt;"",AT$8&lt;&gt;""),COUNTIFS($C$9:$C$59,$L21,$J$9:$J$59,AT$8),0)</f>
        <v>0</v>
      </c>
      <c r="AU21" s="178">
        <f t="array" ref="AU21">IF(AND($L21&lt;&gt;"",AU$8&lt;&gt;""),COUNTIFS($C$9:$C$59,$L21,$J$9:$J$59,AU$8),0)</f>
        <v>0</v>
      </c>
      <c r="AV21" s="178">
        <f t="array" ref="AV21">IF(AND($L21&lt;&gt;"",AV$8&lt;&gt;""),COUNTIFS($C$9:$C$59,$L21,$J$9:$J$59,AV$8),0)</f>
        <v>0</v>
      </c>
      <c r="AW21" s="178">
        <f t="array" ref="AW21">IF(AND($L21&lt;&gt;"",AW$8&lt;&gt;""),COUNTIFS($C$9:$C$59,$L21,$J$9:$J$59,AW$8),0)</f>
        <v>0</v>
      </c>
      <c r="AX21" s="178">
        <f t="array" ref="AX21">IF(AND($L21&lt;&gt;"",AX$8&lt;&gt;""),COUNTIFS($C$9:$C$59,$L21,$J$9:$J$59,AX$8),0)</f>
        <v>0</v>
      </c>
      <c r="AY21" s="178">
        <f t="array" ref="AY21">IF(AND($L21&lt;&gt;"",AY$8&lt;&gt;""),COUNTIFS($C$9:$C$59,$L21,$J$9:$J$59,AY$8),0)</f>
        <v>0</v>
      </c>
      <c r="AZ21" s="178">
        <f t="array" ref="AZ21">IF(AND($L21&lt;&gt;"",AZ$8&lt;&gt;""),COUNTIFS($C$9:$C$59,$L21,$J$9:$J$59,AZ$8),0)</f>
        <v>0</v>
      </c>
      <c r="BA21" s="178">
        <f t="array" ref="BA21">IF(AND($L21&lt;&gt;"",BA$8&lt;&gt;""),COUNTIFS($C$9:$C$59,$L21,$J$9:$J$59,BA$8),0)</f>
        <v>0</v>
      </c>
      <c r="BB21" s="178">
        <f t="array" ref="BB21">IF(AND($L21&lt;&gt;"",BB$8&lt;&gt;""),COUNTIFS($C$9:$C$59,$L21,$J$9:$J$59,BB$8),0)</f>
        <v>0</v>
      </c>
      <c r="BC21" s="178">
        <f t="array" ref="BC21">IF(AND($L21&lt;&gt;"",BC$8&lt;&gt;""),COUNTIFS($C$9:$C$59,$L21,$J$9:$J$59,BC$8),0)</f>
        <v>0</v>
      </c>
      <c r="BD21" s="178">
        <f t="array" ref="BD21">IF(AND($L21&lt;&gt;"",BD$8&lt;&gt;""),COUNTIFS($C$9:$C$59,$L21,$J$9:$J$59,BD$8),0)</f>
        <v>0</v>
      </c>
      <c r="BE21" s="178">
        <f t="array" ref="BE21">IF(AND($L21&lt;&gt;"",BE$8&lt;&gt;""),COUNTIFS($C$9:$C$59,$L21,$J$9:$J$59,BE$8),0)</f>
        <v>0</v>
      </c>
      <c r="BF21" s="178">
        <f t="array" ref="BF21">IF(AND($L21&lt;&gt;"",BF$8&lt;&gt;""),COUNTIFS($C$9:$C$59,$L21,$J$9:$J$59,BF$8),0)</f>
        <v>0</v>
      </c>
      <c r="BG21" s="178">
        <f t="array" ref="BG21">IF(AND($L21&lt;&gt;"",BG$8&lt;&gt;""),COUNTIFS($C$9:$C$59,$L21,$J$9:$J$59,BG$8),0)</f>
        <v>0</v>
      </c>
      <c r="BH21" s="178">
        <f t="array" ref="BH21">IF(AND($L21&lt;&gt;"",BH$8&lt;&gt;""),COUNTIFS($C$9:$C$59,$L21,$J$9:$J$59,BH$8),0)</f>
        <v>0</v>
      </c>
      <c r="BI21" s="178">
        <f t="array" ref="BI21">IF(AND($L21&lt;&gt;"",BI$8&lt;&gt;""),COUNTIFS($C$9:$C$59,$L21,$J$9:$J$59,BI$8),0)</f>
        <v>0</v>
      </c>
      <c r="BJ21" s="178">
        <f t="array" ref="BJ21">IF(AND($L21&lt;&gt;"",BJ$8&lt;&gt;""),COUNTIFS($C$9:$C$59,$L21,$J$9:$J$59,BJ$8),0)</f>
        <v>0</v>
      </c>
    </row>
    <row r="22" spans="2:62" x14ac:dyDescent="0.2">
      <c r="B22" s="126" t="s">
        <v>157</v>
      </c>
      <c r="C22" s="267"/>
      <c r="D22" s="23"/>
      <c r="E22" s="118"/>
      <c r="F22" s="118"/>
      <c r="G22" s="118" t="s">
        <v>287</v>
      </c>
      <c r="H22" s="117" t="str">
        <f t="shared" si="0"/>
        <v>-</v>
      </c>
      <c r="I22" s="127"/>
      <c r="J22" s="171" t="str">
        <f t="shared" si="1"/>
        <v/>
      </c>
      <c r="L22" s="178" t="str">
        <f t="array" ref="L22">IFERROR(INDEX($C$9:$C$59,MATCH(0,COUNTIF($L$8:$L21,$C$9:$C$59),0)),"")</f>
        <v/>
      </c>
      <c r="M22" s="178">
        <f t="array" ref="M22">IF(AND($L22&lt;&gt;"",M$8&lt;&gt;""),COUNTIFS($C$9:$C$59,$L22,$J$9:$J$59,M$8),0)</f>
        <v>0</v>
      </c>
      <c r="N22" s="178">
        <f t="array" ref="N22">IF(AND($L22&lt;&gt;"",N$8&lt;&gt;""),COUNTIFS($C$9:$C$59,$L22,$J$9:$J$59,N$8),0)</f>
        <v>0</v>
      </c>
      <c r="O22" s="178">
        <f t="array" ref="O22">IF(AND($L22&lt;&gt;"",O$8&lt;&gt;""),COUNTIFS($C$9:$C$59,$L22,$J$9:$J$59,O$8),0)</f>
        <v>0</v>
      </c>
      <c r="P22" s="178">
        <f t="array" ref="P22">IF(AND($L22&lt;&gt;"",P$8&lt;&gt;""),COUNTIFS($C$9:$C$59,$L22,$J$9:$J$59,P$8),0)</f>
        <v>0</v>
      </c>
      <c r="Q22" s="178">
        <f t="array" ref="Q22">IF(AND($L22&lt;&gt;"",Q$8&lt;&gt;""),COUNTIFS($C$9:$C$59,$L22,$J$9:$J$59,Q$8),0)</f>
        <v>0</v>
      </c>
      <c r="R22" s="178">
        <f t="array" ref="R22">IF(AND($L22&lt;&gt;"",R$8&lt;&gt;""),COUNTIFS($C$9:$C$59,$L22,$J$9:$J$59,R$8),0)</f>
        <v>0</v>
      </c>
      <c r="S22" s="178">
        <f t="array" ref="S22">IF(AND($L22&lt;&gt;"",S$8&lt;&gt;""),COUNTIFS($C$9:$C$59,$L22,$J$9:$J$59,S$8),0)</f>
        <v>0</v>
      </c>
      <c r="T22" s="178">
        <f t="array" ref="T22">IF(AND($L22&lt;&gt;"",T$8&lt;&gt;""),COUNTIFS($C$9:$C$59,$L22,$J$9:$J$59,T$8),0)</f>
        <v>0</v>
      </c>
      <c r="U22" s="178">
        <f t="array" ref="U22">IF(AND($L22&lt;&gt;"",U$8&lt;&gt;""),COUNTIFS($C$9:$C$59,$L22,$J$9:$J$59,U$8),0)</f>
        <v>0</v>
      </c>
      <c r="V22" s="178">
        <f t="array" ref="V22">IF(AND($L22&lt;&gt;"",V$8&lt;&gt;""),COUNTIFS($C$9:$C$59,$L22,$J$9:$J$59,V$8),0)</f>
        <v>0</v>
      </c>
      <c r="W22" s="178">
        <f t="array" ref="W22">IF(AND($L22&lt;&gt;"",W$8&lt;&gt;""),COUNTIFS($C$9:$C$59,$L22,$J$9:$J$59,W$8),0)</f>
        <v>0</v>
      </c>
      <c r="X22" s="178">
        <f t="array" ref="X22">IF(AND($L22&lt;&gt;"",X$8&lt;&gt;""),COUNTIFS($C$9:$C$59,$L22,$J$9:$J$59,X$8),0)</f>
        <v>0</v>
      </c>
      <c r="Y22" s="178">
        <f t="array" ref="Y22">IF(AND($L22&lt;&gt;"",Y$8&lt;&gt;""),COUNTIFS($C$9:$C$59,$L22,$J$9:$J$59,Y$8),0)</f>
        <v>0</v>
      </c>
      <c r="Z22" s="178">
        <f t="array" ref="Z22">IF(AND($L22&lt;&gt;"",Z$8&lt;&gt;""),COUNTIFS($C$9:$C$59,$L22,$J$9:$J$59,Z$8),0)</f>
        <v>0</v>
      </c>
      <c r="AA22" s="178">
        <f t="array" ref="AA22">IF(AND($L22&lt;&gt;"",AA$8&lt;&gt;""),COUNTIFS($C$9:$C$59,$L22,$J$9:$J$59,AA$8),0)</f>
        <v>0</v>
      </c>
      <c r="AB22" s="178">
        <f t="array" ref="AB22">IF(AND($L22&lt;&gt;"",AB$8&lt;&gt;""),COUNTIFS($C$9:$C$59,$L22,$J$9:$J$59,AB$8),0)</f>
        <v>0</v>
      </c>
      <c r="AC22" s="178">
        <f t="array" ref="AC22">IF(AND($L22&lt;&gt;"",AC$8&lt;&gt;""),COUNTIFS($C$9:$C$59,$L22,$J$9:$J$59,AC$8),0)</f>
        <v>0</v>
      </c>
      <c r="AD22" s="178">
        <f t="array" ref="AD22">IF(AND($L22&lt;&gt;"",AD$8&lt;&gt;""),COUNTIFS($C$9:$C$59,$L22,$J$9:$J$59,AD$8),0)</f>
        <v>0</v>
      </c>
      <c r="AE22" s="178">
        <f t="array" ref="AE22">IF(AND($L22&lt;&gt;"",AE$8&lt;&gt;""),COUNTIFS($C$9:$C$59,$L22,$J$9:$J$59,AE$8),0)</f>
        <v>0</v>
      </c>
      <c r="AF22" s="178">
        <f t="array" ref="AF22">IF(AND($L22&lt;&gt;"",AF$8&lt;&gt;""),COUNTIFS($C$9:$C$59,$L22,$J$9:$J$59,AF$8),0)</f>
        <v>0</v>
      </c>
      <c r="AG22" s="178">
        <f t="array" ref="AG22">IF(AND($L22&lt;&gt;"",AG$8&lt;&gt;""),COUNTIFS($C$9:$C$59,$L22,$J$9:$J$59,AG$8),0)</f>
        <v>0</v>
      </c>
      <c r="AH22" s="178">
        <f t="array" ref="AH22">IF(AND($L22&lt;&gt;"",AH$8&lt;&gt;""),COUNTIFS($C$9:$C$59,$L22,$J$9:$J$59,AH$8),0)</f>
        <v>0</v>
      </c>
      <c r="AI22" s="178">
        <f t="array" ref="AI22">IF(AND($L22&lt;&gt;"",AI$8&lt;&gt;""),COUNTIFS($C$9:$C$59,$L22,$J$9:$J$59,AI$8),0)</f>
        <v>0</v>
      </c>
      <c r="AJ22" s="178">
        <f t="array" ref="AJ22">IF(AND($L22&lt;&gt;"",AJ$8&lt;&gt;""),COUNTIFS($C$9:$C$59,$L22,$J$9:$J$59,AJ$8),0)</f>
        <v>0</v>
      </c>
      <c r="AK22" s="178">
        <f t="array" ref="AK22">IF(AND($L22&lt;&gt;"",AK$8&lt;&gt;""),COUNTIFS($C$9:$C$59,$L22,$J$9:$J$59,AK$8),0)</f>
        <v>0</v>
      </c>
      <c r="AL22" s="178">
        <f t="array" ref="AL22">IF(AND($L22&lt;&gt;"",AL$8&lt;&gt;""),COUNTIFS($C$9:$C$59,$L22,$J$9:$J$59,AL$8),0)</f>
        <v>0</v>
      </c>
      <c r="AM22" s="178">
        <f t="array" ref="AM22">IF(AND($L22&lt;&gt;"",AM$8&lt;&gt;""),COUNTIFS($C$9:$C$59,$L22,$J$9:$J$59,AM$8),0)</f>
        <v>0</v>
      </c>
      <c r="AN22" s="178">
        <f t="array" ref="AN22">IF(AND($L22&lt;&gt;"",AN$8&lt;&gt;""),COUNTIFS($C$9:$C$59,$L22,$J$9:$J$59,AN$8),0)</f>
        <v>0</v>
      </c>
      <c r="AO22" s="178">
        <f t="array" ref="AO22">IF(AND($L22&lt;&gt;"",AO$8&lt;&gt;""),COUNTIFS($C$9:$C$59,$L22,$J$9:$J$59,AO$8),0)</f>
        <v>0</v>
      </c>
      <c r="AP22" s="178">
        <f t="array" ref="AP22">IF(AND($L22&lt;&gt;"",AP$8&lt;&gt;""),COUNTIFS($C$9:$C$59,$L22,$J$9:$J$59,AP$8),0)</f>
        <v>0</v>
      </c>
      <c r="AQ22" s="178">
        <f t="array" ref="AQ22">IF(AND($L22&lt;&gt;"",AQ$8&lt;&gt;""),COUNTIFS($C$9:$C$59,$L22,$J$9:$J$59,AQ$8),0)</f>
        <v>0</v>
      </c>
      <c r="AR22" s="178">
        <f t="array" ref="AR22">IF(AND($L22&lt;&gt;"",AR$8&lt;&gt;""),COUNTIFS($C$9:$C$59,$L22,$J$9:$J$59,AR$8),0)</f>
        <v>0</v>
      </c>
      <c r="AS22" s="178">
        <f t="array" ref="AS22">IF(AND($L22&lt;&gt;"",AS$8&lt;&gt;""),COUNTIFS($C$9:$C$59,$L22,$J$9:$J$59,AS$8),0)</f>
        <v>0</v>
      </c>
      <c r="AT22" s="178">
        <f t="array" ref="AT22">IF(AND($L22&lt;&gt;"",AT$8&lt;&gt;""),COUNTIFS($C$9:$C$59,$L22,$J$9:$J$59,AT$8),0)</f>
        <v>0</v>
      </c>
      <c r="AU22" s="178">
        <f t="array" ref="AU22">IF(AND($L22&lt;&gt;"",AU$8&lt;&gt;""),COUNTIFS($C$9:$C$59,$L22,$J$9:$J$59,AU$8),0)</f>
        <v>0</v>
      </c>
      <c r="AV22" s="178">
        <f t="array" ref="AV22">IF(AND($L22&lt;&gt;"",AV$8&lt;&gt;""),COUNTIFS($C$9:$C$59,$L22,$J$9:$J$59,AV$8),0)</f>
        <v>0</v>
      </c>
      <c r="AW22" s="178">
        <f t="array" ref="AW22">IF(AND($L22&lt;&gt;"",AW$8&lt;&gt;""),COUNTIFS($C$9:$C$59,$L22,$J$9:$J$59,AW$8),0)</f>
        <v>0</v>
      </c>
      <c r="AX22" s="178">
        <f t="array" ref="AX22">IF(AND($L22&lt;&gt;"",AX$8&lt;&gt;""),COUNTIFS($C$9:$C$59,$L22,$J$9:$J$59,AX$8),0)</f>
        <v>0</v>
      </c>
      <c r="AY22" s="178">
        <f t="array" ref="AY22">IF(AND($L22&lt;&gt;"",AY$8&lt;&gt;""),COUNTIFS($C$9:$C$59,$L22,$J$9:$J$59,AY$8),0)</f>
        <v>0</v>
      </c>
      <c r="AZ22" s="178">
        <f t="array" ref="AZ22">IF(AND($L22&lt;&gt;"",AZ$8&lt;&gt;""),COUNTIFS($C$9:$C$59,$L22,$J$9:$J$59,AZ$8),0)</f>
        <v>0</v>
      </c>
      <c r="BA22" s="178">
        <f t="array" ref="BA22">IF(AND($L22&lt;&gt;"",BA$8&lt;&gt;""),COUNTIFS($C$9:$C$59,$L22,$J$9:$J$59,BA$8),0)</f>
        <v>0</v>
      </c>
      <c r="BB22" s="178">
        <f t="array" ref="BB22">IF(AND($L22&lt;&gt;"",BB$8&lt;&gt;""),COUNTIFS($C$9:$C$59,$L22,$J$9:$J$59,BB$8),0)</f>
        <v>0</v>
      </c>
      <c r="BC22" s="178">
        <f t="array" ref="BC22">IF(AND($L22&lt;&gt;"",BC$8&lt;&gt;""),COUNTIFS($C$9:$C$59,$L22,$J$9:$J$59,BC$8),0)</f>
        <v>0</v>
      </c>
      <c r="BD22" s="178">
        <f t="array" ref="BD22">IF(AND($L22&lt;&gt;"",BD$8&lt;&gt;""),COUNTIFS($C$9:$C$59,$L22,$J$9:$J$59,BD$8),0)</f>
        <v>0</v>
      </c>
      <c r="BE22" s="178">
        <f t="array" ref="BE22">IF(AND($L22&lt;&gt;"",BE$8&lt;&gt;""),COUNTIFS($C$9:$C$59,$L22,$J$9:$J$59,BE$8),0)</f>
        <v>0</v>
      </c>
      <c r="BF22" s="178">
        <f t="array" ref="BF22">IF(AND($L22&lt;&gt;"",BF$8&lt;&gt;""),COUNTIFS($C$9:$C$59,$L22,$J$9:$J$59,BF$8),0)</f>
        <v>0</v>
      </c>
      <c r="BG22" s="178">
        <f t="array" ref="BG22">IF(AND($L22&lt;&gt;"",BG$8&lt;&gt;""),COUNTIFS($C$9:$C$59,$L22,$J$9:$J$59,BG$8),0)</f>
        <v>0</v>
      </c>
      <c r="BH22" s="178">
        <f t="array" ref="BH22">IF(AND($L22&lt;&gt;"",BH$8&lt;&gt;""),COUNTIFS($C$9:$C$59,$L22,$J$9:$J$59,BH$8),0)</f>
        <v>0</v>
      </c>
      <c r="BI22" s="178">
        <f t="array" ref="BI22">IF(AND($L22&lt;&gt;"",BI$8&lt;&gt;""),COUNTIFS($C$9:$C$59,$L22,$J$9:$J$59,BI$8),0)</f>
        <v>0</v>
      </c>
      <c r="BJ22" s="178">
        <f t="array" ref="BJ22">IF(AND($L22&lt;&gt;"",BJ$8&lt;&gt;""),COUNTIFS($C$9:$C$59,$L22,$J$9:$J$59,BJ$8),0)</f>
        <v>0</v>
      </c>
    </row>
    <row r="23" spans="2:62" x14ac:dyDescent="0.2">
      <c r="B23" s="126" t="s">
        <v>158</v>
      </c>
      <c r="C23" s="267"/>
      <c r="D23" s="23"/>
      <c r="E23" s="118"/>
      <c r="F23" s="118"/>
      <c r="G23" s="118" t="s">
        <v>287</v>
      </c>
      <c r="H23" s="117" t="str">
        <f t="shared" si="0"/>
        <v>-</v>
      </c>
      <c r="I23" s="127"/>
      <c r="J23" s="171" t="str">
        <f t="shared" si="1"/>
        <v/>
      </c>
      <c r="L23" s="178" t="str">
        <f t="array" ref="L23">IFERROR(INDEX($C$9:$C$59,MATCH(0,COUNTIF($L$8:$L22,$C$9:$C$59),0)),"")</f>
        <v/>
      </c>
      <c r="M23" s="178">
        <f t="array" ref="M23">IF(AND($L23&lt;&gt;"",M$8&lt;&gt;""),COUNTIFS($C$9:$C$59,$L23,$J$9:$J$59,M$8),0)</f>
        <v>0</v>
      </c>
      <c r="N23" s="178">
        <f t="array" ref="N23">IF(AND($L23&lt;&gt;"",N$8&lt;&gt;""),COUNTIFS($C$9:$C$59,$L23,$J$9:$J$59,N$8),0)</f>
        <v>0</v>
      </c>
      <c r="O23" s="178">
        <f t="array" ref="O23">IF(AND($L23&lt;&gt;"",O$8&lt;&gt;""),COUNTIFS($C$9:$C$59,$L23,$J$9:$J$59,O$8),0)</f>
        <v>0</v>
      </c>
      <c r="P23" s="178">
        <f t="array" ref="P23">IF(AND($L23&lt;&gt;"",P$8&lt;&gt;""),COUNTIFS($C$9:$C$59,$L23,$J$9:$J$59,P$8),0)</f>
        <v>0</v>
      </c>
      <c r="Q23" s="178">
        <f t="array" ref="Q23">IF(AND($L23&lt;&gt;"",Q$8&lt;&gt;""),COUNTIFS($C$9:$C$59,$L23,$J$9:$J$59,Q$8),0)</f>
        <v>0</v>
      </c>
      <c r="R23" s="178">
        <f t="array" ref="R23">IF(AND($L23&lt;&gt;"",R$8&lt;&gt;""),COUNTIFS($C$9:$C$59,$L23,$J$9:$J$59,R$8),0)</f>
        <v>0</v>
      </c>
      <c r="S23" s="178">
        <f t="array" ref="S23">IF(AND($L23&lt;&gt;"",S$8&lt;&gt;""),COUNTIFS($C$9:$C$59,$L23,$J$9:$J$59,S$8),0)</f>
        <v>0</v>
      </c>
      <c r="T23" s="178">
        <f t="array" ref="T23">IF(AND($L23&lt;&gt;"",T$8&lt;&gt;""),COUNTIFS($C$9:$C$59,$L23,$J$9:$J$59,T$8),0)</f>
        <v>0</v>
      </c>
      <c r="U23" s="178">
        <f t="array" ref="U23">IF(AND($L23&lt;&gt;"",U$8&lt;&gt;""),COUNTIFS($C$9:$C$59,$L23,$J$9:$J$59,U$8),0)</f>
        <v>0</v>
      </c>
      <c r="V23" s="178">
        <f t="array" ref="V23">IF(AND($L23&lt;&gt;"",V$8&lt;&gt;""),COUNTIFS($C$9:$C$59,$L23,$J$9:$J$59,V$8),0)</f>
        <v>0</v>
      </c>
      <c r="W23" s="178">
        <f t="array" ref="W23">IF(AND($L23&lt;&gt;"",W$8&lt;&gt;""),COUNTIFS($C$9:$C$59,$L23,$J$9:$J$59,W$8),0)</f>
        <v>0</v>
      </c>
      <c r="X23" s="178">
        <f t="array" ref="X23">IF(AND($L23&lt;&gt;"",X$8&lt;&gt;""),COUNTIFS($C$9:$C$59,$L23,$J$9:$J$59,X$8),0)</f>
        <v>0</v>
      </c>
      <c r="Y23" s="178">
        <f t="array" ref="Y23">IF(AND($L23&lt;&gt;"",Y$8&lt;&gt;""),COUNTIFS($C$9:$C$59,$L23,$J$9:$J$59,Y$8),0)</f>
        <v>0</v>
      </c>
      <c r="Z23" s="178">
        <f t="array" ref="Z23">IF(AND($L23&lt;&gt;"",Z$8&lt;&gt;""),COUNTIFS($C$9:$C$59,$L23,$J$9:$J$59,Z$8),0)</f>
        <v>0</v>
      </c>
      <c r="AA23" s="178">
        <f t="array" ref="AA23">IF(AND($L23&lt;&gt;"",AA$8&lt;&gt;""),COUNTIFS($C$9:$C$59,$L23,$J$9:$J$59,AA$8),0)</f>
        <v>0</v>
      </c>
      <c r="AB23" s="178">
        <f t="array" ref="AB23">IF(AND($L23&lt;&gt;"",AB$8&lt;&gt;""),COUNTIFS($C$9:$C$59,$L23,$J$9:$J$59,AB$8),0)</f>
        <v>0</v>
      </c>
      <c r="AC23" s="178">
        <f t="array" ref="AC23">IF(AND($L23&lt;&gt;"",AC$8&lt;&gt;""),COUNTIFS($C$9:$C$59,$L23,$J$9:$J$59,AC$8),0)</f>
        <v>0</v>
      </c>
      <c r="AD23" s="178">
        <f t="array" ref="AD23">IF(AND($L23&lt;&gt;"",AD$8&lt;&gt;""),COUNTIFS($C$9:$C$59,$L23,$J$9:$J$59,AD$8),0)</f>
        <v>0</v>
      </c>
      <c r="AE23" s="178">
        <f t="array" ref="AE23">IF(AND($L23&lt;&gt;"",AE$8&lt;&gt;""),COUNTIFS($C$9:$C$59,$L23,$J$9:$J$59,AE$8),0)</f>
        <v>0</v>
      </c>
      <c r="AF23" s="178">
        <f t="array" ref="AF23">IF(AND($L23&lt;&gt;"",AF$8&lt;&gt;""),COUNTIFS($C$9:$C$59,$L23,$J$9:$J$59,AF$8),0)</f>
        <v>0</v>
      </c>
      <c r="AG23" s="178">
        <f t="array" ref="AG23">IF(AND($L23&lt;&gt;"",AG$8&lt;&gt;""),COUNTIFS($C$9:$C$59,$L23,$J$9:$J$59,AG$8),0)</f>
        <v>0</v>
      </c>
      <c r="AH23" s="178">
        <f t="array" ref="AH23">IF(AND($L23&lt;&gt;"",AH$8&lt;&gt;""),COUNTIFS($C$9:$C$59,$L23,$J$9:$J$59,AH$8),0)</f>
        <v>0</v>
      </c>
      <c r="AI23" s="178">
        <f t="array" ref="AI23">IF(AND($L23&lt;&gt;"",AI$8&lt;&gt;""),COUNTIFS($C$9:$C$59,$L23,$J$9:$J$59,AI$8),0)</f>
        <v>0</v>
      </c>
      <c r="AJ23" s="178">
        <f t="array" ref="AJ23">IF(AND($L23&lt;&gt;"",AJ$8&lt;&gt;""),COUNTIFS($C$9:$C$59,$L23,$J$9:$J$59,AJ$8),0)</f>
        <v>0</v>
      </c>
      <c r="AK23" s="178">
        <f t="array" ref="AK23">IF(AND($L23&lt;&gt;"",AK$8&lt;&gt;""),COUNTIFS($C$9:$C$59,$L23,$J$9:$J$59,AK$8),0)</f>
        <v>0</v>
      </c>
      <c r="AL23" s="178">
        <f t="array" ref="AL23">IF(AND($L23&lt;&gt;"",AL$8&lt;&gt;""),COUNTIFS($C$9:$C$59,$L23,$J$9:$J$59,AL$8),0)</f>
        <v>0</v>
      </c>
      <c r="AM23" s="178">
        <f t="array" ref="AM23">IF(AND($L23&lt;&gt;"",AM$8&lt;&gt;""),COUNTIFS($C$9:$C$59,$L23,$J$9:$J$59,AM$8),0)</f>
        <v>0</v>
      </c>
      <c r="AN23" s="178">
        <f t="array" ref="AN23">IF(AND($L23&lt;&gt;"",AN$8&lt;&gt;""),COUNTIFS($C$9:$C$59,$L23,$J$9:$J$59,AN$8),0)</f>
        <v>0</v>
      </c>
      <c r="AO23" s="178">
        <f t="array" ref="AO23">IF(AND($L23&lt;&gt;"",AO$8&lt;&gt;""),COUNTIFS($C$9:$C$59,$L23,$J$9:$J$59,AO$8),0)</f>
        <v>0</v>
      </c>
      <c r="AP23" s="178">
        <f t="array" ref="AP23">IF(AND($L23&lt;&gt;"",AP$8&lt;&gt;""),COUNTIFS($C$9:$C$59,$L23,$J$9:$J$59,AP$8),0)</f>
        <v>0</v>
      </c>
      <c r="AQ23" s="178">
        <f t="array" ref="AQ23">IF(AND($L23&lt;&gt;"",AQ$8&lt;&gt;""),COUNTIFS($C$9:$C$59,$L23,$J$9:$J$59,AQ$8),0)</f>
        <v>0</v>
      </c>
      <c r="AR23" s="178">
        <f t="array" ref="AR23">IF(AND($L23&lt;&gt;"",AR$8&lt;&gt;""),COUNTIFS($C$9:$C$59,$L23,$J$9:$J$59,AR$8),0)</f>
        <v>0</v>
      </c>
      <c r="AS23" s="178">
        <f t="array" ref="AS23">IF(AND($L23&lt;&gt;"",AS$8&lt;&gt;""),COUNTIFS($C$9:$C$59,$L23,$J$9:$J$59,AS$8),0)</f>
        <v>0</v>
      </c>
      <c r="AT23" s="178">
        <f t="array" ref="AT23">IF(AND($L23&lt;&gt;"",AT$8&lt;&gt;""),COUNTIFS($C$9:$C$59,$L23,$J$9:$J$59,AT$8),0)</f>
        <v>0</v>
      </c>
      <c r="AU23" s="178">
        <f t="array" ref="AU23">IF(AND($L23&lt;&gt;"",AU$8&lt;&gt;""),COUNTIFS($C$9:$C$59,$L23,$J$9:$J$59,AU$8),0)</f>
        <v>0</v>
      </c>
      <c r="AV23" s="178">
        <f t="array" ref="AV23">IF(AND($L23&lt;&gt;"",AV$8&lt;&gt;""),COUNTIFS($C$9:$C$59,$L23,$J$9:$J$59,AV$8),0)</f>
        <v>0</v>
      </c>
      <c r="AW23" s="178">
        <f t="array" ref="AW23">IF(AND($L23&lt;&gt;"",AW$8&lt;&gt;""),COUNTIFS($C$9:$C$59,$L23,$J$9:$J$59,AW$8),0)</f>
        <v>0</v>
      </c>
      <c r="AX23" s="178">
        <f t="array" ref="AX23">IF(AND($L23&lt;&gt;"",AX$8&lt;&gt;""),COUNTIFS($C$9:$C$59,$L23,$J$9:$J$59,AX$8),0)</f>
        <v>0</v>
      </c>
      <c r="AY23" s="178">
        <f t="array" ref="AY23">IF(AND($L23&lt;&gt;"",AY$8&lt;&gt;""),COUNTIFS($C$9:$C$59,$L23,$J$9:$J$59,AY$8),0)</f>
        <v>0</v>
      </c>
      <c r="AZ23" s="178">
        <f t="array" ref="AZ23">IF(AND($L23&lt;&gt;"",AZ$8&lt;&gt;""),COUNTIFS($C$9:$C$59,$L23,$J$9:$J$59,AZ$8),0)</f>
        <v>0</v>
      </c>
      <c r="BA23" s="178">
        <f t="array" ref="BA23">IF(AND($L23&lt;&gt;"",BA$8&lt;&gt;""),COUNTIFS($C$9:$C$59,$L23,$J$9:$J$59,BA$8),0)</f>
        <v>0</v>
      </c>
      <c r="BB23" s="178">
        <f t="array" ref="BB23">IF(AND($L23&lt;&gt;"",BB$8&lt;&gt;""),COUNTIFS($C$9:$C$59,$L23,$J$9:$J$59,BB$8),0)</f>
        <v>0</v>
      </c>
      <c r="BC23" s="178">
        <f t="array" ref="BC23">IF(AND($L23&lt;&gt;"",BC$8&lt;&gt;""),COUNTIFS($C$9:$C$59,$L23,$J$9:$J$59,BC$8),0)</f>
        <v>0</v>
      </c>
      <c r="BD23" s="178">
        <f t="array" ref="BD23">IF(AND($L23&lt;&gt;"",BD$8&lt;&gt;""),COUNTIFS($C$9:$C$59,$L23,$J$9:$J$59,BD$8),0)</f>
        <v>0</v>
      </c>
      <c r="BE23" s="178">
        <f t="array" ref="BE23">IF(AND($L23&lt;&gt;"",BE$8&lt;&gt;""),COUNTIFS($C$9:$C$59,$L23,$J$9:$J$59,BE$8),0)</f>
        <v>0</v>
      </c>
      <c r="BF23" s="178">
        <f t="array" ref="BF23">IF(AND($L23&lt;&gt;"",BF$8&lt;&gt;""),COUNTIFS($C$9:$C$59,$L23,$J$9:$J$59,BF$8),0)</f>
        <v>0</v>
      </c>
      <c r="BG23" s="178">
        <f t="array" ref="BG23">IF(AND($L23&lt;&gt;"",BG$8&lt;&gt;""),COUNTIFS($C$9:$C$59,$L23,$J$9:$J$59,BG$8),0)</f>
        <v>0</v>
      </c>
      <c r="BH23" s="178">
        <f t="array" ref="BH23">IF(AND($L23&lt;&gt;"",BH$8&lt;&gt;""),COUNTIFS($C$9:$C$59,$L23,$J$9:$J$59,BH$8),0)</f>
        <v>0</v>
      </c>
      <c r="BI23" s="178">
        <f t="array" ref="BI23">IF(AND($L23&lt;&gt;"",BI$8&lt;&gt;""),COUNTIFS($C$9:$C$59,$L23,$J$9:$J$59,BI$8),0)</f>
        <v>0</v>
      </c>
      <c r="BJ23" s="178">
        <f t="array" ref="BJ23">IF(AND($L23&lt;&gt;"",BJ$8&lt;&gt;""),COUNTIFS($C$9:$C$59,$L23,$J$9:$J$59,BJ$8),0)</f>
        <v>0</v>
      </c>
    </row>
    <row r="24" spans="2:62" x14ac:dyDescent="0.2">
      <c r="B24" s="126" t="s">
        <v>159</v>
      </c>
      <c r="C24" s="267"/>
      <c r="D24" s="23"/>
      <c r="E24" s="118"/>
      <c r="F24" s="118"/>
      <c r="G24" s="118" t="s">
        <v>287</v>
      </c>
      <c r="H24" s="117" t="str">
        <f t="shared" si="0"/>
        <v>-</v>
      </c>
      <c r="I24" s="127"/>
      <c r="J24" s="171" t="str">
        <f t="shared" si="1"/>
        <v/>
      </c>
      <c r="L24" s="178" t="str">
        <f t="array" ref="L24">IFERROR(INDEX($C$9:$C$59,MATCH(0,COUNTIF($L$8:$L23,$C$9:$C$59),0)),"")</f>
        <v/>
      </c>
      <c r="M24" s="178">
        <f t="array" ref="M24">IF(AND($L24&lt;&gt;"",M$8&lt;&gt;""),COUNTIFS($C$9:$C$59,$L24,$J$9:$J$59,M$8),0)</f>
        <v>0</v>
      </c>
      <c r="N24" s="178">
        <f t="array" ref="N24">IF(AND($L24&lt;&gt;"",N$8&lt;&gt;""),COUNTIFS($C$9:$C$59,$L24,$J$9:$J$59,N$8),0)</f>
        <v>0</v>
      </c>
      <c r="O24" s="178">
        <f t="array" ref="O24">IF(AND($L24&lt;&gt;"",O$8&lt;&gt;""),COUNTIFS($C$9:$C$59,$L24,$J$9:$J$59,O$8),0)</f>
        <v>0</v>
      </c>
      <c r="P24" s="178">
        <f t="array" ref="P24">IF(AND($L24&lt;&gt;"",P$8&lt;&gt;""),COUNTIFS($C$9:$C$59,$L24,$J$9:$J$59,P$8),0)</f>
        <v>0</v>
      </c>
      <c r="Q24" s="178">
        <f t="array" ref="Q24">IF(AND($L24&lt;&gt;"",Q$8&lt;&gt;""),COUNTIFS($C$9:$C$59,$L24,$J$9:$J$59,Q$8),0)</f>
        <v>0</v>
      </c>
      <c r="R24" s="178">
        <f t="array" ref="R24">IF(AND($L24&lt;&gt;"",R$8&lt;&gt;""),COUNTIFS($C$9:$C$59,$L24,$J$9:$J$59,R$8),0)</f>
        <v>0</v>
      </c>
      <c r="S24" s="178">
        <f t="array" ref="S24">IF(AND($L24&lt;&gt;"",S$8&lt;&gt;""),COUNTIFS($C$9:$C$59,$L24,$J$9:$J$59,S$8),0)</f>
        <v>0</v>
      </c>
      <c r="T24" s="178">
        <f t="array" ref="T24">IF(AND($L24&lt;&gt;"",T$8&lt;&gt;""),COUNTIFS($C$9:$C$59,$L24,$J$9:$J$59,T$8),0)</f>
        <v>0</v>
      </c>
      <c r="U24" s="178">
        <f t="array" ref="U24">IF(AND($L24&lt;&gt;"",U$8&lt;&gt;""),COUNTIFS($C$9:$C$59,$L24,$J$9:$J$59,U$8),0)</f>
        <v>0</v>
      </c>
      <c r="V24" s="178">
        <f t="array" ref="V24">IF(AND($L24&lt;&gt;"",V$8&lt;&gt;""),COUNTIFS($C$9:$C$59,$L24,$J$9:$J$59,V$8),0)</f>
        <v>0</v>
      </c>
      <c r="W24" s="178">
        <f t="array" ref="W24">IF(AND($L24&lt;&gt;"",W$8&lt;&gt;""),COUNTIFS($C$9:$C$59,$L24,$J$9:$J$59,W$8),0)</f>
        <v>0</v>
      </c>
      <c r="X24" s="178">
        <f t="array" ref="X24">IF(AND($L24&lt;&gt;"",X$8&lt;&gt;""),COUNTIFS($C$9:$C$59,$L24,$J$9:$J$59,X$8),0)</f>
        <v>0</v>
      </c>
      <c r="Y24" s="178">
        <f t="array" ref="Y24">IF(AND($L24&lt;&gt;"",Y$8&lt;&gt;""),COUNTIFS($C$9:$C$59,$L24,$J$9:$J$59,Y$8),0)</f>
        <v>0</v>
      </c>
      <c r="Z24" s="178">
        <f t="array" ref="Z24">IF(AND($L24&lt;&gt;"",Z$8&lt;&gt;""),COUNTIFS($C$9:$C$59,$L24,$J$9:$J$59,Z$8),0)</f>
        <v>0</v>
      </c>
      <c r="AA24" s="178">
        <f t="array" ref="AA24">IF(AND($L24&lt;&gt;"",AA$8&lt;&gt;""),COUNTIFS($C$9:$C$59,$L24,$J$9:$J$59,AA$8),0)</f>
        <v>0</v>
      </c>
      <c r="AB24" s="178">
        <f t="array" ref="AB24">IF(AND($L24&lt;&gt;"",AB$8&lt;&gt;""),COUNTIFS($C$9:$C$59,$L24,$J$9:$J$59,AB$8),0)</f>
        <v>0</v>
      </c>
      <c r="AC24" s="178">
        <f t="array" ref="AC24">IF(AND($L24&lt;&gt;"",AC$8&lt;&gt;""),COUNTIFS($C$9:$C$59,$L24,$J$9:$J$59,AC$8),0)</f>
        <v>0</v>
      </c>
      <c r="AD24" s="178">
        <f t="array" ref="AD24">IF(AND($L24&lt;&gt;"",AD$8&lt;&gt;""),COUNTIFS($C$9:$C$59,$L24,$J$9:$J$59,AD$8),0)</f>
        <v>0</v>
      </c>
      <c r="AE24" s="178">
        <f t="array" ref="AE24">IF(AND($L24&lt;&gt;"",AE$8&lt;&gt;""),COUNTIFS($C$9:$C$59,$L24,$J$9:$J$59,AE$8),0)</f>
        <v>0</v>
      </c>
      <c r="AF24" s="178">
        <f t="array" ref="AF24">IF(AND($L24&lt;&gt;"",AF$8&lt;&gt;""),COUNTIFS($C$9:$C$59,$L24,$J$9:$J$59,AF$8),0)</f>
        <v>0</v>
      </c>
      <c r="AG24" s="178">
        <f t="array" ref="AG24">IF(AND($L24&lt;&gt;"",AG$8&lt;&gt;""),COUNTIFS($C$9:$C$59,$L24,$J$9:$J$59,AG$8),0)</f>
        <v>0</v>
      </c>
      <c r="AH24" s="178">
        <f t="array" ref="AH24">IF(AND($L24&lt;&gt;"",AH$8&lt;&gt;""),COUNTIFS($C$9:$C$59,$L24,$J$9:$J$59,AH$8),0)</f>
        <v>0</v>
      </c>
      <c r="AI24" s="178">
        <f t="array" ref="AI24">IF(AND($L24&lt;&gt;"",AI$8&lt;&gt;""),COUNTIFS($C$9:$C$59,$L24,$J$9:$J$59,AI$8),0)</f>
        <v>0</v>
      </c>
      <c r="AJ24" s="178">
        <f t="array" ref="AJ24">IF(AND($L24&lt;&gt;"",AJ$8&lt;&gt;""),COUNTIFS($C$9:$C$59,$L24,$J$9:$J$59,AJ$8),0)</f>
        <v>0</v>
      </c>
      <c r="AK24" s="178">
        <f t="array" ref="AK24">IF(AND($L24&lt;&gt;"",AK$8&lt;&gt;""),COUNTIFS($C$9:$C$59,$L24,$J$9:$J$59,AK$8),0)</f>
        <v>0</v>
      </c>
      <c r="AL24" s="178">
        <f t="array" ref="AL24">IF(AND($L24&lt;&gt;"",AL$8&lt;&gt;""),COUNTIFS($C$9:$C$59,$L24,$J$9:$J$59,AL$8),0)</f>
        <v>0</v>
      </c>
      <c r="AM24" s="178">
        <f t="array" ref="AM24">IF(AND($L24&lt;&gt;"",AM$8&lt;&gt;""),COUNTIFS($C$9:$C$59,$L24,$J$9:$J$59,AM$8),0)</f>
        <v>0</v>
      </c>
      <c r="AN24" s="178">
        <f t="array" ref="AN24">IF(AND($L24&lt;&gt;"",AN$8&lt;&gt;""),COUNTIFS($C$9:$C$59,$L24,$J$9:$J$59,AN$8),0)</f>
        <v>0</v>
      </c>
      <c r="AO24" s="178">
        <f t="array" ref="AO24">IF(AND($L24&lt;&gt;"",AO$8&lt;&gt;""),COUNTIFS($C$9:$C$59,$L24,$J$9:$J$59,AO$8),0)</f>
        <v>0</v>
      </c>
      <c r="AP24" s="178">
        <f t="array" ref="AP24">IF(AND($L24&lt;&gt;"",AP$8&lt;&gt;""),COUNTIFS($C$9:$C$59,$L24,$J$9:$J$59,AP$8),0)</f>
        <v>0</v>
      </c>
      <c r="AQ24" s="178">
        <f t="array" ref="AQ24">IF(AND($L24&lt;&gt;"",AQ$8&lt;&gt;""),COUNTIFS($C$9:$C$59,$L24,$J$9:$J$59,AQ$8),0)</f>
        <v>0</v>
      </c>
      <c r="AR24" s="178">
        <f t="array" ref="AR24">IF(AND($L24&lt;&gt;"",AR$8&lt;&gt;""),COUNTIFS($C$9:$C$59,$L24,$J$9:$J$59,AR$8),0)</f>
        <v>0</v>
      </c>
      <c r="AS24" s="178">
        <f t="array" ref="AS24">IF(AND($L24&lt;&gt;"",AS$8&lt;&gt;""),COUNTIFS($C$9:$C$59,$L24,$J$9:$J$59,AS$8),0)</f>
        <v>0</v>
      </c>
      <c r="AT24" s="178">
        <f t="array" ref="AT24">IF(AND($L24&lt;&gt;"",AT$8&lt;&gt;""),COUNTIFS($C$9:$C$59,$L24,$J$9:$J$59,AT$8),0)</f>
        <v>0</v>
      </c>
      <c r="AU24" s="178">
        <f t="array" ref="AU24">IF(AND($L24&lt;&gt;"",AU$8&lt;&gt;""),COUNTIFS($C$9:$C$59,$L24,$J$9:$J$59,AU$8),0)</f>
        <v>0</v>
      </c>
      <c r="AV24" s="178">
        <f t="array" ref="AV24">IF(AND($L24&lt;&gt;"",AV$8&lt;&gt;""),COUNTIFS($C$9:$C$59,$L24,$J$9:$J$59,AV$8),0)</f>
        <v>0</v>
      </c>
      <c r="AW24" s="178">
        <f t="array" ref="AW24">IF(AND($L24&lt;&gt;"",AW$8&lt;&gt;""),COUNTIFS($C$9:$C$59,$L24,$J$9:$J$59,AW$8),0)</f>
        <v>0</v>
      </c>
      <c r="AX24" s="178">
        <f t="array" ref="AX24">IF(AND($L24&lt;&gt;"",AX$8&lt;&gt;""),COUNTIFS($C$9:$C$59,$L24,$J$9:$J$59,AX$8),0)</f>
        <v>0</v>
      </c>
      <c r="AY24" s="178">
        <f t="array" ref="AY24">IF(AND($L24&lt;&gt;"",AY$8&lt;&gt;""),COUNTIFS($C$9:$C$59,$L24,$J$9:$J$59,AY$8),0)</f>
        <v>0</v>
      </c>
      <c r="AZ24" s="178">
        <f t="array" ref="AZ24">IF(AND($L24&lt;&gt;"",AZ$8&lt;&gt;""),COUNTIFS($C$9:$C$59,$L24,$J$9:$J$59,AZ$8),0)</f>
        <v>0</v>
      </c>
      <c r="BA24" s="178">
        <f t="array" ref="BA24">IF(AND($L24&lt;&gt;"",BA$8&lt;&gt;""),COUNTIFS($C$9:$C$59,$L24,$J$9:$J$59,BA$8),0)</f>
        <v>0</v>
      </c>
      <c r="BB24" s="178">
        <f t="array" ref="BB24">IF(AND($L24&lt;&gt;"",BB$8&lt;&gt;""),COUNTIFS($C$9:$C$59,$L24,$J$9:$J$59,BB$8),0)</f>
        <v>0</v>
      </c>
      <c r="BC24" s="178">
        <f t="array" ref="BC24">IF(AND($L24&lt;&gt;"",BC$8&lt;&gt;""),COUNTIFS($C$9:$C$59,$L24,$J$9:$J$59,BC$8),0)</f>
        <v>0</v>
      </c>
      <c r="BD24" s="178">
        <f t="array" ref="BD24">IF(AND($L24&lt;&gt;"",BD$8&lt;&gt;""),COUNTIFS($C$9:$C$59,$L24,$J$9:$J$59,BD$8),0)</f>
        <v>0</v>
      </c>
      <c r="BE24" s="178">
        <f t="array" ref="BE24">IF(AND($L24&lt;&gt;"",BE$8&lt;&gt;""),COUNTIFS($C$9:$C$59,$L24,$J$9:$J$59,BE$8),0)</f>
        <v>0</v>
      </c>
      <c r="BF24" s="178">
        <f t="array" ref="BF24">IF(AND($L24&lt;&gt;"",BF$8&lt;&gt;""),COUNTIFS($C$9:$C$59,$L24,$J$9:$J$59,BF$8),0)</f>
        <v>0</v>
      </c>
      <c r="BG24" s="178">
        <f t="array" ref="BG24">IF(AND($L24&lt;&gt;"",BG$8&lt;&gt;""),COUNTIFS($C$9:$C$59,$L24,$J$9:$J$59,BG$8),0)</f>
        <v>0</v>
      </c>
      <c r="BH24" s="178">
        <f t="array" ref="BH24">IF(AND($L24&lt;&gt;"",BH$8&lt;&gt;""),COUNTIFS($C$9:$C$59,$L24,$J$9:$J$59,BH$8),0)</f>
        <v>0</v>
      </c>
      <c r="BI24" s="178">
        <f t="array" ref="BI24">IF(AND($L24&lt;&gt;"",BI$8&lt;&gt;""),COUNTIFS($C$9:$C$59,$L24,$J$9:$J$59,BI$8),0)</f>
        <v>0</v>
      </c>
      <c r="BJ24" s="178">
        <f t="array" ref="BJ24">IF(AND($L24&lt;&gt;"",BJ$8&lt;&gt;""),COUNTIFS($C$9:$C$59,$L24,$J$9:$J$59,BJ$8),0)</f>
        <v>0</v>
      </c>
    </row>
    <row r="25" spans="2:62" x14ac:dyDescent="0.2">
      <c r="B25" s="126" t="s">
        <v>160</v>
      </c>
      <c r="C25" s="267"/>
      <c r="D25" s="23"/>
      <c r="E25" s="118"/>
      <c r="F25" s="118"/>
      <c r="G25" s="118" t="s">
        <v>287</v>
      </c>
      <c r="H25" s="117" t="str">
        <f t="shared" si="0"/>
        <v>-</v>
      </c>
      <c r="I25" s="127"/>
      <c r="J25" s="171" t="str">
        <f t="shared" si="1"/>
        <v/>
      </c>
      <c r="L25" s="178" t="str">
        <f t="array" ref="L25">IFERROR(INDEX($C$9:$C$59,MATCH(0,COUNTIF($L$8:$L24,$C$9:$C$59),0)),"")</f>
        <v/>
      </c>
      <c r="M25" s="178">
        <f t="array" ref="M25">IF(AND($L25&lt;&gt;"",M$8&lt;&gt;""),COUNTIFS($C$9:$C$59,$L25,$J$9:$J$59,M$8),0)</f>
        <v>0</v>
      </c>
      <c r="N25" s="178">
        <f t="array" ref="N25">IF(AND($L25&lt;&gt;"",N$8&lt;&gt;""),COUNTIFS($C$9:$C$59,$L25,$J$9:$J$59,N$8),0)</f>
        <v>0</v>
      </c>
      <c r="O25" s="178">
        <f t="array" ref="O25">IF(AND($L25&lt;&gt;"",O$8&lt;&gt;""),COUNTIFS($C$9:$C$59,$L25,$J$9:$J$59,O$8),0)</f>
        <v>0</v>
      </c>
      <c r="P25" s="178">
        <f t="array" ref="P25">IF(AND($L25&lt;&gt;"",P$8&lt;&gt;""),COUNTIFS($C$9:$C$59,$L25,$J$9:$J$59,P$8),0)</f>
        <v>0</v>
      </c>
      <c r="Q25" s="178">
        <f t="array" ref="Q25">IF(AND($L25&lt;&gt;"",Q$8&lt;&gt;""),COUNTIFS($C$9:$C$59,$L25,$J$9:$J$59,Q$8),0)</f>
        <v>0</v>
      </c>
      <c r="R25" s="178">
        <f t="array" ref="R25">IF(AND($L25&lt;&gt;"",R$8&lt;&gt;""),COUNTIFS($C$9:$C$59,$L25,$J$9:$J$59,R$8),0)</f>
        <v>0</v>
      </c>
      <c r="S25" s="178">
        <f t="array" ref="S25">IF(AND($L25&lt;&gt;"",S$8&lt;&gt;""),COUNTIFS($C$9:$C$59,$L25,$J$9:$J$59,S$8),0)</f>
        <v>0</v>
      </c>
      <c r="T25" s="178">
        <f t="array" ref="T25">IF(AND($L25&lt;&gt;"",T$8&lt;&gt;""),COUNTIFS($C$9:$C$59,$L25,$J$9:$J$59,T$8),0)</f>
        <v>0</v>
      </c>
      <c r="U25" s="178">
        <f t="array" ref="U25">IF(AND($L25&lt;&gt;"",U$8&lt;&gt;""),COUNTIFS($C$9:$C$59,$L25,$J$9:$J$59,U$8),0)</f>
        <v>0</v>
      </c>
      <c r="V25" s="178">
        <f t="array" ref="V25">IF(AND($L25&lt;&gt;"",V$8&lt;&gt;""),COUNTIFS($C$9:$C$59,$L25,$J$9:$J$59,V$8),0)</f>
        <v>0</v>
      </c>
      <c r="W25" s="178">
        <f t="array" ref="W25">IF(AND($L25&lt;&gt;"",W$8&lt;&gt;""),COUNTIFS($C$9:$C$59,$L25,$J$9:$J$59,W$8),0)</f>
        <v>0</v>
      </c>
      <c r="X25" s="178">
        <f t="array" ref="X25">IF(AND($L25&lt;&gt;"",X$8&lt;&gt;""),COUNTIFS($C$9:$C$59,$L25,$J$9:$J$59,X$8),0)</f>
        <v>0</v>
      </c>
      <c r="Y25" s="178">
        <f t="array" ref="Y25">IF(AND($L25&lt;&gt;"",Y$8&lt;&gt;""),COUNTIFS($C$9:$C$59,$L25,$J$9:$J$59,Y$8),0)</f>
        <v>0</v>
      </c>
      <c r="Z25" s="178">
        <f t="array" ref="Z25">IF(AND($L25&lt;&gt;"",Z$8&lt;&gt;""),COUNTIFS($C$9:$C$59,$L25,$J$9:$J$59,Z$8),0)</f>
        <v>0</v>
      </c>
      <c r="AA25" s="178">
        <f t="array" ref="AA25">IF(AND($L25&lt;&gt;"",AA$8&lt;&gt;""),COUNTIFS($C$9:$C$59,$L25,$J$9:$J$59,AA$8),0)</f>
        <v>0</v>
      </c>
      <c r="AB25" s="178">
        <f t="array" ref="AB25">IF(AND($L25&lt;&gt;"",AB$8&lt;&gt;""),COUNTIFS($C$9:$C$59,$L25,$J$9:$J$59,AB$8),0)</f>
        <v>0</v>
      </c>
      <c r="AC25" s="178">
        <f t="array" ref="AC25">IF(AND($L25&lt;&gt;"",AC$8&lt;&gt;""),COUNTIFS($C$9:$C$59,$L25,$J$9:$J$59,AC$8),0)</f>
        <v>0</v>
      </c>
      <c r="AD25" s="178">
        <f t="array" ref="AD25">IF(AND($L25&lt;&gt;"",AD$8&lt;&gt;""),COUNTIFS($C$9:$C$59,$L25,$J$9:$J$59,AD$8),0)</f>
        <v>0</v>
      </c>
      <c r="AE25" s="178">
        <f t="array" ref="AE25">IF(AND($L25&lt;&gt;"",AE$8&lt;&gt;""),COUNTIFS($C$9:$C$59,$L25,$J$9:$J$59,AE$8),0)</f>
        <v>0</v>
      </c>
      <c r="AF25" s="178">
        <f t="array" ref="AF25">IF(AND($L25&lt;&gt;"",AF$8&lt;&gt;""),COUNTIFS($C$9:$C$59,$L25,$J$9:$J$59,AF$8),0)</f>
        <v>0</v>
      </c>
      <c r="AG25" s="178">
        <f t="array" ref="AG25">IF(AND($L25&lt;&gt;"",AG$8&lt;&gt;""),COUNTIFS($C$9:$C$59,$L25,$J$9:$J$59,AG$8),0)</f>
        <v>0</v>
      </c>
      <c r="AH25" s="178">
        <f t="array" ref="AH25">IF(AND($L25&lt;&gt;"",AH$8&lt;&gt;""),COUNTIFS($C$9:$C$59,$L25,$J$9:$J$59,AH$8),0)</f>
        <v>0</v>
      </c>
      <c r="AI25" s="178">
        <f t="array" ref="AI25">IF(AND($L25&lt;&gt;"",AI$8&lt;&gt;""),COUNTIFS($C$9:$C$59,$L25,$J$9:$J$59,AI$8),0)</f>
        <v>0</v>
      </c>
      <c r="AJ25" s="178">
        <f t="array" ref="AJ25">IF(AND($L25&lt;&gt;"",AJ$8&lt;&gt;""),COUNTIFS($C$9:$C$59,$L25,$J$9:$J$59,AJ$8),0)</f>
        <v>0</v>
      </c>
      <c r="AK25" s="178">
        <f t="array" ref="AK25">IF(AND($L25&lt;&gt;"",AK$8&lt;&gt;""),COUNTIFS($C$9:$C$59,$L25,$J$9:$J$59,AK$8),0)</f>
        <v>0</v>
      </c>
      <c r="AL25" s="178">
        <f t="array" ref="AL25">IF(AND($L25&lt;&gt;"",AL$8&lt;&gt;""),COUNTIFS($C$9:$C$59,$L25,$J$9:$J$59,AL$8),0)</f>
        <v>0</v>
      </c>
      <c r="AM25" s="178">
        <f t="array" ref="AM25">IF(AND($L25&lt;&gt;"",AM$8&lt;&gt;""),COUNTIFS($C$9:$C$59,$L25,$J$9:$J$59,AM$8),0)</f>
        <v>0</v>
      </c>
      <c r="AN25" s="178">
        <f t="array" ref="AN25">IF(AND($L25&lt;&gt;"",AN$8&lt;&gt;""),COUNTIFS($C$9:$C$59,$L25,$J$9:$J$59,AN$8),0)</f>
        <v>0</v>
      </c>
      <c r="AO25" s="178">
        <f t="array" ref="AO25">IF(AND($L25&lt;&gt;"",AO$8&lt;&gt;""),COUNTIFS($C$9:$C$59,$L25,$J$9:$J$59,AO$8),0)</f>
        <v>0</v>
      </c>
      <c r="AP25" s="178">
        <f t="array" ref="AP25">IF(AND($L25&lt;&gt;"",AP$8&lt;&gt;""),COUNTIFS($C$9:$C$59,$L25,$J$9:$J$59,AP$8),0)</f>
        <v>0</v>
      </c>
      <c r="AQ25" s="178">
        <f t="array" ref="AQ25">IF(AND($L25&lt;&gt;"",AQ$8&lt;&gt;""),COUNTIFS($C$9:$C$59,$L25,$J$9:$J$59,AQ$8),0)</f>
        <v>0</v>
      </c>
      <c r="AR25" s="178">
        <f t="array" ref="AR25">IF(AND($L25&lt;&gt;"",AR$8&lt;&gt;""),COUNTIFS($C$9:$C$59,$L25,$J$9:$J$59,AR$8),0)</f>
        <v>0</v>
      </c>
      <c r="AS25" s="178">
        <f t="array" ref="AS25">IF(AND($L25&lt;&gt;"",AS$8&lt;&gt;""),COUNTIFS($C$9:$C$59,$L25,$J$9:$J$59,AS$8),0)</f>
        <v>0</v>
      </c>
      <c r="AT25" s="178">
        <f t="array" ref="AT25">IF(AND($L25&lt;&gt;"",AT$8&lt;&gt;""),COUNTIFS($C$9:$C$59,$L25,$J$9:$J$59,AT$8),0)</f>
        <v>0</v>
      </c>
      <c r="AU25" s="178">
        <f t="array" ref="AU25">IF(AND($L25&lt;&gt;"",AU$8&lt;&gt;""),COUNTIFS($C$9:$C$59,$L25,$J$9:$J$59,AU$8),0)</f>
        <v>0</v>
      </c>
      <c r="AV25" s="178">
        <f t="array" ref="AV25">IF(AND($L25&lt;&gt;"",AV$8&lt;&gt;""),COUNTIFS($C$9:$C$59,$L25,$J$9:$J$59,AV$8),0)</f>
        <v>0</v>
      </c>
      <c r="AW25" s="178">
        <f t="array" ref="AW25">IF(AND($L25&lt;&gt;"",AW$8&lt;&gt;""),COUNTIFS($C$9:$C$59,$L25,$J$9:$J$59,AW$8),0)</f>
        <v>0</v>
      </c>
      <c r="AX25" s="178">
        <f t="array" ref="AX25">IF(AND($L25&lt;&gt;"",AX$8&lt;&gt;""),COUNTIFS($C$9:$C$59,$L25,$J$9:$J$59,AX$8),0)</f>
        <v>0</v>
      </c>
      <c r="AY25" s="178">
        <f t="array" ref="AY25">IF(AND($L25&lt;&gt;"",AY$8&lt;&gt;""),COUNTIFS($C$9:$C$59,$L25,$J$9:$J$59,AY$8),0)</f>
        <v>0</v>
      </c>
      <c r="AZ25" s="178">
        <f t="array" ref="AZ25">IF(AND($L25&lt;&gt;"",AZ$8&lt;&gt;""),COUNTIFS($C$9:$C$59,$L25,$J$9:$J$59,AZ$8),0)</f>
        <v>0</v>
      </c>
      <c r="BA25" s="178">
        <f t="array" ref="BA25">IF(AND($L25&lt;&gt;"",BA$8&lt;&gt;""),COUNTIFS($C$9:$C$59,$L25,$J$9:$J$59,BA$8),0)</f>
        <v>0</v>
      </c>
      <c r="BB25" s="178">
        <f t="array" ref="BB25">IF(AND($L25&lt;&gt;"",BB$8&lt;&gt;""),COUNTIFS($C$9:$C$59,$L25,$J$9:$J$59,BB$8),0)</f>
        <v>0</v>
      </c>
      <c r="BC25" s="178">
        <f t="array" ref="BC25">IF(AND($L25&lt;&gt;"",BC$8&lt;&gt;""),COUNTIFS($C$9:$C$59,$L25,$J$9:$J$59,BC$8),0)</f>
        <v>0</v>
      </c>
      <c r="BD25" s="178">
        <f t="array" ref="BD25">IF(AND($L25&lt;&gt;"",BD$8&lt;&gt;""),COUNTIFS($C$9:$C$59,$L25,$J$9:$J$59,BD$8),0)</f>
        <v>0</v>
      </c>
      <c r="BE25" s="178">
        <f t="array" ref="BE25">IF(AND($L25&lt;&gt;"",BE$8&lt;&gt;""),COUNTIFS($C$9:$C$59,$L25,$J$9:$J$59,BE$8),0)</f>
        <v>0</v>
      </c>
      <c r="BF25" s="178">
        <f t="array" ref="BF25">IF(AND($L25&lt;&gt;"",BF$8&lt;&gt;""),COUNTIFS($C$9:$C$59,$L25,$J$9:$J$59,BF$8),0)</f>
        <v>0</v>
      </c>
      <c r="BG25" s="178">
        <f t="array" ref="BG25">IF(AND($L25&lt;&gt;"",BG$8&lt;&gt;""),COUNTIFS($C$9:$C$59,$L25,$J$9:$J$59,BG$8),0)</f>
        <v>0</v>
      </c>
      <c r="BH25" s="178">
        <f t="array" ref="BH25">IF(AND($L25&lt;&gt;"",BH$8&lt;&gt;""),COUNTIFS($C$9:$C$59,$L25,$J$9:$J$59,BH$8),0)</f>
        <v>0</v>
      </c>
      <c r="BI25" s="178">
        <f t="array" ref="BI25">IF(AND($L25&lt;&gt;"",BI$8&lt;&gt;""),COUNTIFS($C$9:$C$59,$L25,$J$9:$J$59,BI$8),0)</f>
        <v>0</v>
      </c>
      <c r="BJ25" s="178">
        <f t="array" ref="BJ25">IF(AND($L25&lt;&gt;"",BJ$8&lt;&gt;""),COUNTIFS($C$9:$C$59,$L25,$J$9:$J$59,BJ$8),0)</f>
        <v>0</v>
      </c>
    </row>
    <row r="26" spans="2:62" x14ac:dyDescent="0.2">
      <c r="B26" s="126" t="s">
        <v>161</v>
      </c>
      <c r="C26" s="267"/>
      <c r="D26" s="23"/>
      <c r="E26" s="118"/>
      <c r="F26" s="118"/>
      <c r="G26" s="118" t="s">
        <v>287</v>
      </c>
      <c r="H26" s="117" t="str">
        <f t="shared" si="0"/>
        <v>-</v>
      </c>
      <c r="I26" s="127"/>
      <c r="J26" s="171" t="str">
        <f t="shared" si="1"/>
        <v/>
      </c>
      <c r="L26" s="178" t="str">
        <f t="array" ref="L26">IFERROR(INDEX($C$9:$C$59,MATCH(0,COUNTIF($L$8:$L25,$C$9:$C$59),0)),"")</f>
        <v/>
      </c>
      <c r="M26" s="178">
        <f t="array" ref="M26">IF(AND($L26&lt;&gt;"",M$8&lt;&gt;""),COUNTIFS($C$9:$C$59,$L26,$J$9:$J$59,M$8),0)</f>
        <v>0</v>
      </c>
      <c r="N26" s="178">
        <f t="array" ref="N26">IF(AND($L26&lt;&gt;"",N$8&lt;&gt;""),COUNTIFS($C$9:$C$59,$L26,$J$9:$J$59,N$8),0)</f>
        <v>0</v>
      </c>
      <c r="O26" s="178">
        <f t="array" ref="O26">IF(AND($L26&lt;&gt;"",O$8&lt;&gt;""),COUNTIFS($C$9:$C$59,$L26,$J$9:$J$59,O$8),0)</f>
        <v>0</v>
      </c>
      <c r="P26" s="178">
        <f t="array" ref="P26">IF(AND($L26&lt;&gt;"",P$8&lt;&gt;""),COUNTIFS($C$9:$C$59,$L26,$J$9:$J$59,P$8),0)</f>
        <v>0</v>
      </c>
      <c r="Q26" s="178">
        <f t="array" ref="Q26">IF(AND($L26&lt;&gt;"",Q$8&lt;&gt;""),COUNTIFS($C$9:$C$59,$L26,$J$9:$J$59,Q$8),0)</f>
        <v>0</v>
      </c>
      <c r="R26" s="178">
        <f t="array" ref="R26">IF(AND($L26&lt;&gt;"",R$8&lt;&gt;""),COUNTIFS($C$9:$C$59,$L26,$J$9:$J$59,R$8),0)</f>
        <v>0</v>
      </c>
      <c r="S26" s="178">
        <f t="array" ref="S26">IF(AND($L26&lt;&gt;"",S$8&lt;&gt;""),COUNTIFS($C$9:$C$59,$L26,$J$9:$J$59,S$8),0)</f>
        <v>0</v>
      </c>
      <c r="T26" s="178">
        <f t="array" ref="T26">IF(AND($L26&lt;&gt;"",T$8&lt;&gt;""),COUNTIFS($C$9:$C$59,$L26,$J$9:$J$59,T$8),0)</f>
        <v>0</v>
      </c>
      <c r="U26" s="178">
        <f t="array" ref="U26">IF(AND($L26&lt;&gt;"",U$8&lt;&gt;""),COUNTIFS($C$9:$C$59,$L26,$J$9:$J$59,U$8),0)</f>
        <v>0</v>
      </c>
      <c r="V26" s="178">
        <f t="array" ref="V26">IF(AND($L26&lt;&gt;"",V$8&lt;&gt;""),COUNTIFS($C$9:$C$59,$L26,$J$9:$J$59,V$8),0)</f>
        <v>0</v>
      </c>
      <c r="W26" s="178">
        <f t="array" ref="W26">IF(AND($L26&lt;&gt;"",W$8&lt;&gt;""),COUNTIFS($C$9:$C$59,$L26,$J$9:$J$59,W$8),0)</f>
        <v>0</v>
      </c>
      <c r="X26" s="178">
        <f t="array" ref="X26">IF(AND($L26&lt;&gt;"",X$8&lt;&gt;""),COUNTIFS($C$9:$C$59,$L26,$J$9:$J$59,X$8),0)</f>
        <v>0</v>
      </c>
      <c r="Y26" s="178">
        <f t="array" ref="Y26">IF(AND($L26&lt;&gt;"",Y$8&lt;&gt;""),COUNTIFS($C$9:$C$59,$L26,$J$9:$J$59,Y$8),0)</f>
        <v>0</v>
      </c>
      <c r="Z26" s="178">
        <f t="array" ref="Z26">IF(AND($L26&lt;&gt;"",Z$8&lt;&gt;""),COUNTIFS($C$9:$C$59,$L26,$J$9:$J$59,Z$8),0)</f>
        <v>0</v>
      </c>
      <c r="AA26" s="178">
        <f t="array" ref="AA26">IF(AND($L26&lt;&gt;"",AA$8&lt;&gt;""),COUNTIFS($C$9:$C$59,$L26,$J$9:$J$59,AA$8),0)</f>
        <v>0</v>
      </c>
      <c r="AB26" s="178">
        <f t="array" ref="AB26">IF(AND($L26&lt;&gt;"",AB$8&lt;&gt;""),COUNTIFS($C$9:$C$59,$L26,$J$9:$J$59,AB$8),0)</f>
        <v>0</v>
      </c>
      <c r="AC26" s="178">
        <f t="array" ref="AC26">IF(AND($L26&lt;&gt;"",AC$8&lt;&gt;""),COUNTIFS($C$9:$C$59,$L26,$J$9:$J$59,AC$8),0)</f>
        <v>0</v>
      </c>
      <c r="AD26" s="178">
        <f t="array" ref="AD26">IF(AND($L26&lt;&gt;"",AD$8&lt;&gt;""),COUNTIFS($C$9:$C$59,$L26,$J$9:$J$59,AD$8),0)</f>
        <v>0</v>
      </c>
      <c r="AE26" s="178">
        <f t="array" ref="AE26">IF(AND($L26&lt;&gt;"",AE$8&lt;&gt;""),COUNTIFS($C$9:$C$59,$L26,$J$9:$J$59,AE$8),0)</f>
        <v>0</v>
      </c>
      <c r="AF26" s="178">
        <f t="array" ref="AF26">IF(AND($L26&lt;&gt;"",AF$8&lt;&gt;""),COUNTIFS($C$9:$C$59,$L26,$J$9:$J$59,AF$8),0)</f>
        <v>0</v>
      </c>
      <c r="AG26" s="178">
        <f t="array" ref="AG26">IF(AND($L26&lt;&gt;"",AG$8&lt;&gt;""),COUNTIFS($C$9:$C$59,$L26,$J$9:$J$59,AG$8),0)</f>
        <v>0</v>
      </c>
      <c r="AH26" s="178">
        <f t="array" ref="AH26">IF(AND($L26&lt;&gt;"",AH$8&lt;&gt;""),COUNTIFS($C$9:$C$59,$L26,$J$9:$J$59,AH$8),0)</f>
        <v>0</v>
      </c>
      <c r="AI26" s="178">
        <f t="array" ref="AI26">IF(AND($L26&lt;&gt;"",AI$8&lt;&gt;""),COUNTIFS($C$9:$C$59,$L26,$J$9:$J$59,AI$8),0)</f>
        <v>0</v>
      </c>
      <c r="AJ26" s="178">
        <f t="array" ref="AJ26">IF(AND($L26&lt;&gt;"",AJ$8&lt;&gt;""),COUNTIFS($C$9:$C$59,$L26,$J$9:$J$59,AJ$8),0)</f>
        <v>0</v>
      </c>
      <c r="AK26" s="178">
        <f t="array" ref="AK26">IF(AND($L26&lt;&gt;"",AK$8&lt;&gt;""),COUNTIFS($C$9:$C$59,$L26,$J$9:$J$59,AK$8),0)</f>
        <v>0</v>
      </c>
      <c r="AL26" s="178">
        <f t="array" ref="AL26">IF(AND($L26&lt;&gt;"",AL$8&lt;&gt;""),COUNTIFS($C$9:$C$59,$L26,$J$9:$J$59,AL$8),0)</f>
        <v>0</v>
      </c>
      <c r="AM26" s="178">
        <f t="array" ref="AM26">IF(AND($L26&lt;&gt;"",AM$8&lt;&gt;""),COUNTIFS($C$9:$C$59,$L26,$J$9:$J$59,AM$8),0)</f>
        <v>0</v>
      </c>
      <c r="AN26" s="178">
        <f t="array" ref="AN26">IF(AND($L26&lt;&gt;"",AN$8&lt;&gt;""),COUNTIFS($C$9:$C$59,$L26,$J$9:$J$59,AN$8),0)</f>
        <v>0</v>
      </c>
      <c r="AO26" s="178">
        <f t="array" ref="AO26">IF(AND($L26&lt;&gt;"",AO$8&lt;&gt;""),COUNTIFS($C$9:$C$59,$L26,$J$9:$J$59,AO$8),0)</f>
        <v>0</v>
      </c>
      <c r="AP26" s="178">
        <f t="array" ref="AP26">IF(AND($L26&lt;&gt;"",AP$8&lt;&gt;""),COUNTIFS($C$9:$C$59,$L26,$J$9:$J$59,AP$8),0)</f>
        <v>0</v>
      </c>
      <c r="AQ26" s="178">
        <f t="array" ref="AQ26">IF(AND($L26&lt;&gt;"",AQ$8&lt;&gt;""),COUNTIFS($C$9:$C$59,$L26,$J$9:$J$59,AQ$8),0)</f>
        <v>0</v>
      </c>
      <c r="AR26" s="178">
        <f t="array" ref="AR26">IF(AND($L26&lt;&gt;"",AR$8&lt;&gt;""),COUNTIFS($C$9:$C$59,$L26,$J$9:$J$59,AR$8),0)</f>
        <v>0</v>
      </c>
      <c r="AS26" s="178">
        <f t="array" ref="AS26">IF(AND($L26&lt;&gt;"",AS$8&lt;&gt;""),COUNTIFS($C$9:$C$59,$L26,$J$9:$J$59,AS$8),0)</f>
        <v>0</v>
      </c>
      <c r="AT26" s="178">
        <f t="array" ref="AT26">IF(AND($L26&lt;&gt;"",AT$8&lt;&gt;""),COUNTIFS($C$9:$C$59,$L26,$J$9:$J$59,AT$8),0)</f>
        <v>0</v>
      </c>
      <c r="AU26" s="178">
        <f t="array" ref="AU26">IF(AND($L26&lt;&gt;"",AU$8&lt;&gt;""),COUNTIFS($C$9:$C$59,$L26,$J$9:$J$59,AU$8),0)</f>
        <v>0</v>
      </c>
      <c r="AV26" s="178">
        <f t="array" ref="AV26">IF(AND($L26&lt;&gt;"",AV$8&lt;&gt;""),COUNTIFS($C$9:$C$59,$L26,$J$9:$J$59,AV$8),0)</f>
        <v>0</v>
      </c>
      <c r="AW26" s="178">
        <f t="array" ref="AW26">IF(AND($L26&lt;&gt;"",AW$8&lt;&gt;""),COUNTIFS($C$9:$C$59,$L26,$J$9:$J$59,AW$8),0)</f>
        <v>0</v>
      </c>
      <c r="AX26" s="178">
        <f t="array" ref="AX26">IF(AND($L26&lt;&gt;"",AX$8&lt;&gt;""),COUNTIFS($C$9:$C$59,$L26,$J$9:$J$59,AX$8),0)</f>
        <v>0</v>
      </c>
      <c r="AY26" s="178">
        <f t="array" ref="AY26">IF(AND($L26&lt;&gt;"",AY$8&lt;&gt;""),COUNTIFS($C$9:$C$59,$L26,$J$9:$J$59,AY$8),0)</f>
        <v>0</v>
      </c>
      <c r="AZ26" s="178">
        <f t="array" ref="AZ26">IF(AND($L26&lt;&gt;"",AZ$8&lt;&gt;""),COUNTIFS($C$9:$C$59,$L26,$J$9:$J$59,AZ$8),0)</f>
        <v>0</v>
      </c>
      <c r="BA26" s="178">
        <f t="array" ref="BA26">IF(AND($L26&lt;&gt;"",BA$8&lt;&gt;""),COUNTIFS($C$9:$C$59,$L26,$J$9:$J$59,BA$8),0)</f>
        <v>0</v>
      </c>
      <c r="BB26" s="178">
        <f t="array" ref="BB26">IF(AND($L26&lt;&gt;"",BB$8&lt;&gt;""),COUNTIFS($C$9:$C$59,$L26,$J$9:$J$59,BB$8),0)</f>
        <v>0</v>
      </c>
      <c r="BC26" s="178">
        <f t="array" ref="BC26">IF(AND($L26&lt;&gt;"",BC$8&lt;&gt;""),COUNTIFS($C$9:$C$59,$L26,$J$9:$J$59,BC$8),0)</f>
        <v>0</v>
      </c>
      <c r="BD26" s="178">
        <f t="array" ref="BD26">IF(AND($L26&lt;&gt;"",BD$8&lt;&gt;""),COUNTIFS($C$9:$C$59,$L26,$J$9:$J$59,BD$8),0)</f>
        <v>0</v>
      </c>
      <c r="BE26" s="178">
        <f t="array" ref="BE26">IF(AND($L26&lt;&gt;"",BE$8&lt;&gt;""),COUNTIFS($C$9:$C$59,$L26,$J$9:$J$59,BE$8),0)</f>
        <v>0</v>
      </c>
      <c r="BF26" s="178">
        <f t="array" ref="BF26">IF(AND($L26&lt;&gt;"",BF$8&lt;&gt;""),COUNTIFS($C$9:$C$59,$L26,$J$9:$J$59,BF$8),0)</f>
        <v>0</v>
      </c>
      <c r="BG26" s="178">
        <f t="array" ref="BG26">IF(AND($L26&lt;&gt;"",BG$8&lt;&gt;""),COUNTIFS($C$9:$C$59,$L26,$J$9:$J$59,BG$8),0)</f>
        <v>0</v>
      </c>
      <c r="BH26" s="178">
        <f t="array" ref="BH26">IF(AND($L26&lt;&gt;"",BH$8&lt;&gt;""),COUNTIFS($C$9:$C$59,$L26,$J$9:$J$59,BH$8),0)</f>
        <v>0</v>
      </c>
      <c r="BI26" s="178">
        <f t="array" ref="BI26">IF(AND($L26&lt;&gt;"",BI$8&lt;&gt;""),COUNTIFS($C$9:$C$59,$L26,$J$9:$J$59,BI$8),0)</f>
        <v>0</v>
      </c>
      <c r="BJ26" s="178">
        <f t="array" ref="BJ26">IF(AND($L26&lt;&gt;"",BJ$8&lt;&gt;""),COUNTIFS($C$9:$C$59,$L26,$J$9:$J$59,BJ$8),0)</f>
        <v>0</v>
      </c>
    </row>
    <row r="27" spans="2:62" x14ac:dyDescent="0.2">
      <c r="B27" s="126" t="s">
        <v>162</v>
      </c>
      <c r="C27" s="267"/>
      <c r="D27" s="23"/>
      <c r="E27" s="118"/>
      <c r="F27" s="118"/>
      <c r="G27" s="118" t="s">
        <v>287</v>
      </c>
      <c r="H27" s="117" t="str">
        <f t="shared" si="0"/>
        <v>-</v>
      </c>
      <c r="I27" s="127"/>
      <c r="J27" s="171" t="str">
        <f t="shared" si="1"/>
        <v/>
      </c>
      <c r="L27" s="178" t="str">
        <f t="array" ref="L27">IFERROR(INDEX($C$9:$C$59,MATCH(0,COUNTIF($L$8:$L26,$C$9:$C$59),0)),"")</f>
        <v/>
      </c>
      <c r="M27" s="178">
        <f t="array" ref="M27">IF(AND($L27&lt;&gt;"",M$8&lt;&gt;""),COUNTIFS($C$9:$C$59,$L27,$J$9:$J$59,M$8),0)</f>
        <v>0</v>
      </c>
      <c r="N27" s="178">
        <f t="array" ref="N27">IF(AND($L27&lt;&gt;"",N$8&lt;&gt;""),COUNTIFS($C$9:$C$59,$L27,$J$9:$J$59,N$8),0)</f>
        <v>0</v>
      </c>
      <c r="O27" s="178">
        <f t="array" ref="O27">IF(AND($L27&lt;&gt;"",O$8&lt;&gt;""),COUNTIFS($C$9:$C$59,$L27,$J$9:$J$59,O$8),0)</f>
        <v>0</v>
      </c>
      <c r="P27" s="178">
        <f t="array" ref="P27">IF(AND($L27&lt;&gt;"",P$8&lt;&gt;""),COUNTIFS($C$9:$C$59,$L27,$J$9:$J$59,P$8),0)</f>
        <v>0</v>
      </c>
      <c r="Q27" s="178">
        <f t="array" ref="Q27">IF(AND($L27&lt;&gt;"",Q$8&lt;&gt;""),COUNTIFS($C$9:$C$59,$L27,$J$9:$J$59,Q$8),0)</f>
        <v>0</v>
      </c>
      <c r="R27" s="178">
        <f t="array" ref="R27">IF(AND($L27&lt;&gt;"",R$8&lt;&gt;""),COUNTIFS($C$9:$C$59,$L27,$J$9:$J$59,R$8),0)</f>
        <v>0</v>
      </c>
      <c r="S27" s="178">
        <f t="array" ref="S27">IF(AND($L27&lt;&gt;"",S$8&lt;&gt;""),COUNTIFS($C$9:$C$59,$L27,$J$9:$J$59,S$8),0)</f>
        <v>0</v>
      </c>
      <c r="T27" s="178">
        <f t="array" ref="T27">IF(AND($L27&lt;&gt;"",T$8&lt;&gt;""),COUNTIFS($C$9:$C$59,$L27,$J$9:$J$59,T$8),0)</f>
        <v>0</v>
      </c>
      <c r="U27" s="178">
        <f t="array" ref="U27">IF(AND($L27&lt;&gt;"",U$8&lt;&gt;""),COUNTIFS($C$9:$C$59,$L27,$J$9:$J$59,U$8),0)</f>
        <v>0</v>
      </c>
      <c r="V27" s="178">
        <f t="array" ref="V27">IF(AND($L27&lt;&gt;"",V$8&lt;&gt;""),COUNTIFS($C$9:$C$59,$L27,$J$9:$J$59,V$8),0)</f>
        <v>0</v>
      </c>
      <c r="W27" s="178">
        <f t="array" ref="W27">IF(AND($L27&lt;&gt;"",W$8&lt;&gt;""),COUNTIFS($C$9:$C$59,$L27,$J$9:$J$59,W$8),0)</f>
        <v>0</v>
      </c>
      <c r="X27" s="178">
        <f t="array" ref="X27">IF(AND($L27&lt;&gt;"",X$8&lt;&gt;""),COUNTIFS($C$9:$C$59,$L27,$J$9:$J$59,X$8),0)</f>
        <v>0</v>
      </c>
      <c r="Y27" s="178">
        <f t="array" ref="Y27">IF(AND($L27&lt;&gt;"",Y$8&lt;&gt;""),COUNTIFS($C$9:$C$59,$L27,$J$9:$J$59,Y$8),0)</f>
        <v>0</v>
      </c>
      <c r="Z27" s="178">
        <f t="array" ref="Z27">IF(AND($L27&lt;&gt;"",Z$8&lt;&gt;""),COUNTIFS($C$9:$C$59,$L27,$J$9:$J$59,Z$8),0)</f>
        <v>0</v>
      </c>
      <c r="AA27" s="178">
        <f t="array" ref="AA27">IF(AND($L27&lt;&gt;"",AA$8&lt;&gt;""),COUNTIFS($C$9:$C$59,$L27,$J$9:$J$59,AA$8),0)</f>
        <v>0</v>
      </c>
      <c r="AB27" s="178">
        <f t="array" ref="AB27">IF(AND($L27&lt;&gt;"",AB$8&lt;&gt;""),COUNTIFS($C$9:$C$59,$L27,$J$9:$J$59,AB$8),0)</f>
        <v>0</v>
      </c>
      <c r="AC27" s="178">
        <f t="array" ref="AC27">IF(AND($L27&lt;&gt;"",AC$8&lt;&gt;""),COUNTIFS($C$9:$C$59,$L27,$J$9:$J$59,AC$8),0)</f>
        <v>0</v>
      </c>
      <c r="AD27" s="178">
        <f t="array" ref="AD27">IF(AND($L27&lt;&gt;"",AD$8&lt;&gt;""),COUNTIFS($C$9:$C$59,$L27,$J$9:$J$59,AD$8),0)</f>
        <v>0</v>
      </c>
      <c r="AE27" s="178">
        <f t="array" ref="AE27">IF(AND($L27&lt;&gt;"",AE$8&lt;&gt;""),COUNTIFS($C$9:$C$59,$L27,$J$9:$J$59,AE$8),0)</f>
        <v>0</v>
      </c>
      <c r="AF27" s="178">
        <f t="array" ref="AF27">IF(AND($L27&lt;&gt;"",AF$8&lt;&gt;""),COUNTIFS($C$9:$C$59,$L27,$J$9:$J$59,AF$8),0)</f>
        <v>0</v>
      </c>
      <c r="AG27" s="178">
        <f t="array" ref="AG27">IF(AND($L27&lt;&gt;"",AG$8&lt;&gt;""),COUNTIFS($C$9:$C$59,$L27,$J$9:$J$59,AG$8),0)</f>
        <v>0</v>
      </c>
      <c r="AH27" s="178">
        <f t="array" ref="AH27">IF(AND($L27&lt;&gt;"",AH$8&lt;&gt;""),COUNTIFS($C$9:$C$59,$L27,$J$9:$J$59,AH$8),0)</f>
        <v>0</v>
      </c>
      <c r="AI27" s="178">
        <f t="array" ref="AI27">IF(AND($L27&lt;&gt;"",AI$8&lt;&gt;""),COUNTIFS($C$9:$C$59,$L27,$J$9:$J$59,AI$8),0)</f>
        <v>0</v>
      </c>
      <c r="AJ27" s="178">
        <f t="array" ref="AJ27">IF(AND($L27&lt;&gt;"",AJ$8&lt;&gt;""),COUNTIFS($C$9:$C$59,$L27,$J$9:$J$59,AJ$8),0)</f>
        <v>0</v>
      </c>
      <c r="AK27" s="178">
        <f t="array" ref="AK27">IF(AND($L27&lt;&gt;"",AK$8&lt;&gt;""),COUNTIFS($C$9:$C$59,$L27,$J$9:$J$59,AK$8),0)</f>
        <v>0</v>
      </c>
      <c r="AL27" s="178">
        <f t="array" ref="AL27">IF(AND($L27&lt;&gt;"",AL$8&lt;&gt;""),COUNTIFS($C$9:$C$59,$L27,$J$9:$J$59,AL$8),0)</f>
        <v>0</v>
      </c>
      <c r="AM27" s="178">
        <f t="array" ref="AM27">IF(AND($L27&lt;&gt;"",AM$8&lt;&gt;""),COUNTIFS($C$9:$C$59,$L27,$J$9:$J$59,AM$8),0)</f>
        <v>0</v>
      </c>
      <c r="AN27" s="178">
        <f t="array" ref="AN27">IF(AND($L27&lt;&gt;"",AN$8&lt;&gt;""),COUNTIFS($C$9:$C$59,$L27,$J$9:$J$59,AN$8),0)</f>
        <v>0</v>
      </c>
      <c r="AO27" s="178">
        <f t="array" ref="AO27">IF(AND($L27&lt;&gt;"",AO$8&lt;&gt;""),COUNTIFS($C$9:$C$59,$L27,$J$9:$J$59,AO$8),0)</f>
        <v>0</v>
      </c>
      <c r="AP27" s="178">
        <f t="array" ref="AP27">IF(AND($L27&lt;&gt;"",AP$8&lt;&gt;""),COUNTIFS($C$9:$C$59,$L27,$J$9:$J$59,AP$8),0)</f>
        <v>0</v>
      </c>
      <c r="AQ27" s="178">
        <f t="array" ref="AQ27">IF(AND($L27&lt;&gt;"",AQ$8&lt;&gt;""),COUNTIFS($C$9:$C$59,$L27,$J$9:$J$59,AQ$8),0)</f>
        <v>0</v>
      </c>
      <c r="AR27" s="178">
        <f t="array" ref="AR27">IF(AND($L27&lt;&gt;"",AR$8&lt;&gt;""),COUNTIFS($C$9:$C$59,$L27,$J$9:$J$59,AR$8),0)</f>
        <v>0</v>
      </c>
      <c r="AS27" s="178">
        <f t="array" ref="AS27">IF(AND($L27&lt;&gt;"",AS$8&lt;&gt;""),COUNTIFS($C$9:$C$59,$L27,$J$9:$J$59,AS$8),0)</f>
        <v>0</v>
      </c>
      <c r="AT27" s="178">
        <f t="array" ref="AT27">IF(AND($L27&lt;&gt;"",AT$8&lt;&gt;""),COUNTIFS($C$9:$C$59,$L27,$J$9:$J$59,AT$8),0)</f>
        <v>0</v>
      </c>
      <c r="AU27" s="178">
        <f t="array" ref="AU27">IF(AND($L27&lt;&gt;"",AU$8&lt;&gt;""),COUNTIFS($C$9:$C$59,$L27,$J$9:$J$59,AU$8),0)</f>
        <v>0</v>
      </c>
      <c r="AV27" s="178">
        <f t="array" ref="AV27">IF(AND($L27&lt;&gt;"",AV$8&lt;&gt;""),COUNTIFS($C$9:$C$59,$L27,$J$9:$J$59,AV$8),0)</f>
        <v>0</v>
      </c>
      <c r="AW27" s="178">
        <f t="array" ref="AW27">IF(AND($L27&lt;&gt;"",AW$8&lt;&gt;""),COUNTIFS($C$9:$C$59,$L27,$J$9:$J$59,AW$8),0)</f>
        <v>0</v>
      </c>
      <c r="AX27" s="178">
        <f t="array" ref="AX27">IF(AND($L27&lt;&gt;"",AX$8&lt;&gt;""),COUNTIFS($C$9:$C$59,$L27,$J$9:$J$59,AX$8),0)</f>
        <v>0</v>
      </c>
      <c r="AY27" s="178">
        <f t="array" ref="AY27">IF(AND($L27&lt;&gt;"",AY$8&lt;&gt;""),COUNTIFS($C$9:$C$59,$L27,$J$9:$J$59,AY$8),0)</f>
        <v>0</v>
      </c>
      <c r="AZ27" s="178">
        <f t="array" ref="AZ27">IF(AND($L27&lt;&gt;"",AZ$8&lt;&gt;""),COUNTIFS($C$9:$C$59,$L27,$J$9:$J$59,AZ$8),0)</f>
        <v>0</v>
      </c>
      <c r="BA27" s="178">
        <f t="array" ref="BA27">IF(AND($L27&lt;&gt;"",BA$8&lt;&gt;""),COUNTIFS($C$9:$C$59,$L27,$J$9:$J$59,BA$8),0)</f>
        <v>0</v>
      </c>
      <c r="BB27" s="178">
        <f t="array" ref="BB27">IF(AND($L27&lt;&gt;"",BB$8&lt;&gt;""),COUNTIFS($C$9:$C$59,$L27,$J$9:$J$59,BB$8),0)</f>
        <v>0</v>
      </c>
      <c r="BC27" s="178">
        <f t="array" ref="BC27">IF(AND($L27&lt;&gt;"",BC$8&lt;&gt;""),COUNTIFS($C$9:$C$59,$L27,$J$9:$J$59,BC$8),0)</f>
        <v>0</v>
      </c>
      <c r="BD27" s="178">
        <f t="array" ref="BD27">IF(AND($L27&lt;&gt;"",BD$8&lt;&gt;""),COUNTIFS($C$9:$C$59,$L27,$J$9:$J$59,BD$8),0)</f>
        <v>0</v>
      </c>
      <c r="BE27" s="178">
        <f t="array" ref="BE27">IF(AND($L27&lt;&gt;"",BE$8&lt;&gt;""),COUNTIFS($C$9:$C$59,$L27,$J$9:$J$59,BE$8),0)</f>
        <v>0</v>
      </c>
      <c r="BF27" s="178">
        <f t="array" ref="BF27">IF(AND($L27&lt;&gt;"",BF$8&lt;&gt;""),COUNTIFS($C$9:$C$59,$L27,$J$9:$J$59,BF$8),0)</f>
        <v>0</v>
      </c>
      <c r="BG27" s="178">
        <f t="array" ref="BG27">IF(AND($L27&lt;&gt;"",BG$8&lt;&gt;""),COUNTIFS($C$9:$C$59,$L27,$J$9:$J$59,BG$8),0)</f>
        <v>0</v>
      </c>
      <c r="BH27" s="178">
        <f t="array" ref="BH27">IF(AND($L27&lt;&gt;"",BH$8&lt;&gt;""),COUNTIFS($C$9:$C$59,$L27,$J$9:$J$59,BH$8),0)</f>
        <v>0</v>
      </c>
      <c r="BI27" s="178">
        <f t="array" ref="BI27">IF(AND($L27&lt;&gt;"",BI$8&lt;&gt;""),COUNTIFS($C$9:$C$59,$L27,$J$9:$J$59,BI$8),0)</f>
        <v>0</v>
      </c>
      <c r="BJ27" s="178">
        <f t="array" ref="BJ27">IF(AND($L27&lt;&gt;"",BJ$8&lt;&gt;""),COUNTIFS($C$9:$C$59,$L27,$J$9:$J$59,BJ$8),0)</f>
        <v>0</v>
      </c>
    </row>
    <row r="28" spans="2:62" x14ac:dyDescent="0.2">
      <c r="B28" s="126" t="s">
        <v>163</v>
      </c>
      <c r="C28" s="267"/>
      <c r="D28" s="23"/>
      <c r="E28" s="118"/>
      <c r="F28" s="118"/>
      <c r="G28" s="118" t="s">
        <v>287</v>
      </c>
      <c r="H28" s="117" t="str">
        <f t="shared" si="0"/>
        <v>-</v>
      </c>
      <c r="I28" s="127"/>
      <c r="J28" s="171" t="str">
        <f t="shared" si="1"/>
        <v/>
      </c>
      <c r="L28" s="178" t="str">
        <f t="array" ref="L28">IFERROR(INDEX($C$9:$C$59,MATCH(0,COUNTIF($L$8:$L27,$C$9:$C$59),0)),"")</f>
        <v/>
      </c>
      <c r="M28" s="178">
        <f t="array" ref="M28">IF(AND($L28&lt;&gt;"",M$8&lt;&gt;""),COUNTIFS($C$9:$C$59,$L28,$J$9:$J$59,M$8),0)</f>
        <v>0</v>
      </c>
      <c r="N28" s="178">
        <f t="array" ref="N28">IF(AND($L28&lt;&gt;"",N$8&lt;&gt;""),COUNTIFS($C$9:$C$59,$L28,$J$9:$J$59,N$8),0)</f>
        <v>0</v>
      </c>
      <c r="O28" s="178">
        <f t="array" ref="O28">IF(AND($L28&lt;&gt;"",O$8&lt;&gt;""),COUNTIFS($C$9:$C$59,$L28,$J$9:$J$59,O$8),0)</f>
        <v>0</v>
      </c>
      <c r="P28" s="178">
        <f t="array" ref="P28">IF(AND($L28&lt;&gt;"",P$8&lt;&gt;""),COUNTIFS($C$9:$C$59,$L28,$J$9:$J$59,P$8),0)</f>
        <v>0</v>
      </c>
      <c r="Q28" s="178">
        <f t="array" ref="Q28">IF(AND($L28&lt;&gt;"",Q$8&lt;&gt;""),COUNTIFS($C$9:$C$59,$L28,$J$9:$J$59,Q$8),0)</f>
        <v>0</v>
      </c>
      <c r="R28" s="178">
        <f t="array" ref="R28">IF(AND($L28&lt;&gt;"",R$8&lt;&gt;""),COUNTIFS($C$9:$C$59,$L28,$J$9:$J$59,R$8),0)</f>
        <v>0</v>
      </c>
      <c r="S28" s="178">
        <f t="array" ref="S28">IF(AND($L28&lt;&gt;"",S$8&lt;&gt;""),COUNTIFS($C$9:$C$59,$L28,$J$9:$J$59,S$8),0)</f>
        <v>0</v>
      </c>
      <c r="T28" s="178">
        <f t="array" ref="T28">IF(AND($L28&lt;&gt;"",T$8&lt;&gt;""),COUNTIFS($C$9:$C$59,$L28,$J$9:$J$59,T$8),0)</f>
        <v>0</v>
      </c>
      <c r="U28" s="178">
        <f t="array" ref="U28">IF(AND($L28&lt;&gt;"",U$8&lt;&gt;""),COUNTIFS($C$9:$C$59,$L28,$J$9:$J$59,U$8),0)</f>
        <v>0</v>
      </c>
      <c r="V28" s="178">
        <f t="array" ref="V28">IF(AND($L28&lt;&gt;"",V$8&lt;&gt;""),COUNTIFS($C$9:$C$59,$L28,$J$9:$J$59,V$8),0)</f>
        <v>0</v>
      </c>
      <c r="W28" s="178">
        <f t="array" ref="W28">IF(AND($L28&lt;&gt;"",W$8&lt;&gt;""),COUNTIFS($C$9:$C$59,$L28,$J$9:$J$59,W$8),0)</f>
        <v>0</v>
      </c>
      <c r="X28" s="178">
        <f t="array" ref="X28">IF(AND($L28&lt;&gt;"",X$8&lt;&gt;""),COUNTIFS($C$9:$C$59,$L28,$J$9:$J$59,X$8),0)</f>
        <v>0</v>
      </c>
      <c r="Y28" s="178">
        <f t="array" ref="Y28">IF(AND($L28&lt;&gt;"",Y$8&lt;&gt;""),COUNTIFS($C$9:$C$59,$L28,$J$9:$J$59,Y$8),0)</f>
        <v>0</v>
      </c>
      <c r="Z28" s="178">
        <f t="array" ref="Z28">IF(AND($L28&lt;&gt;"",Z$8&lt;&gt;""),COUNTIFS($C$9:$C$59,$L28,$J$9:$J$59,Z$8),0)</f>
        <v>0</v>
      </c>
      <c r="AA28" s="178">
        <f t="array" ref="AA28">IF(AND($L28&lt;&gt;"",AA$8&lt;&gt;""),COUNTIFS($C$9:$C$59,$L28,$J$9:$J$59,AA$8),0)</f>
        <v>0</v>
      </c>
      <c r="AB28" s="178">
        <f t="array" ref="AB28">IF(AND($L28&lt;&gt;"",AB$8&lt;&gt;""),COUNTIFS($C$9:$C$59,$L28,$J$9:$J$59,AB$8),0)</f>
        <v>0</v>
      </c>
      <c r="AC28" s="178">
        <f t="array" ref="AC28">IF(AND($L28&lt;&gt;"",AC$8&lt;&gt;""),COUNTIFS($C$9:$C$59,$L28,$J$9:$J$59,AC$8),0)</f>
        <v>0</v>
      </c>
      <c r="AD28" s="178">
        <f t="array" ref="AD28">IF(AND($L28&lt;&gt;"",AD$8&lt;&gt;""),COUNTIFS($C$9:$C$59,$L28,$J$9:$J$59,AD$8),0)</f>
        <v>0</v>
      </c>
      <c r="AE28" s="178">
        <f t="array" ref="AE28">IF(AND($L28&lt;&gt;"",AE$8&lt;&gt;""),COUNTIFS($C$9:$C$59,$L28,$J$9:$J$59,AE$8),0)</f>
        <v>0</v>
      </c>
      <c r="AF28" s="178">
        <f t="array" ref="AF28">IF(AND($L28&lt;&gt;"",AF$8&lt;&gt;""),COUNTIFS($C$9:$C$59,$L28,$J$9:$J$59,AF$8),0)</f>
        <v>0</v>
      </c>
      <c r="AG28" s="178">
        <f t="array" ref="AG28">IF(AND($L28&lt;&gt;"",AG$8&lt;&gt;""),COUNTIFS($C$9:$C$59,$L28,$J$9:$J$59,AG$8),0)</f>
        <v>0</v>
      </c>
      <c r="AH28" s="178">
        <f t="array" ref="AH28">IF(AND($L28&lt;&gt;"",AH$8&lt;&gt;""),COUNTIFS($C$9:$C$59,$L28,$J$9:$J$59,AH$8),0)</f>
        <v>0</v>
      </c>
      <c r="AI28" s="178">
        <f t="array" ref="AI28">IF(AND($L28&lt;&gt;"",AI$8&lt;&gt;""),COUNTIFS($C$9:$C$59,$L28,$J$9:$J$59,AI$8),0)</f>
        <v>0</v>
      </c>
      <c r="AJ28" s="178">
        <f t="array" ref="AJ28">IF(AND($L28&lt;&gt;"",AJ$8&lt;&gt;""),COUNTIFS($C$9:$C$59,$L28,$J$9:$J$59,AJ$8),0)</f>
        <v>0</v>
      </c>
      <c r="AK28" s="178">
        <f t="array" ref="AK28">IF(AND($L28&lt;&gt;"",AK$8&lt;&gt;""),COUNTIFS($C$9:$C$59,$L28,$J$9:$J$59,AK$8),0)</f>
        <v>0</v>
      </c>
      <c r="AL28" s="178">
        <f t="array" ref="AL28">IF(AND($L28&lt;&gt;"",AL$8&lt;&gt;""),COUNTIFS($C$9:$C$59,$L28,$J$9:$J$59,AL$8),0)</f>
        <v>0</v>
      </c>
      <c r="AM28" s="178">
        <f t="array" ref="AM28">IF(AND($L28&lt;&gt;"",AM$8&lt;&gt;""),COUNTIFS($C$9:$C$59,$L28,$J$9:$J$59,AM$8),0)</f>
        <v>0</v>
      </c>
      <c r="AN28" s="178">
        <f t="array" ref="AN28">IF(AND($L28&lt;&gt;"",AN$8&lt;&gt;""),COUNTIFS($C$9:$C$59,$L28,$J$9:$J$59,AN$8),0)</f>
        <v>0</v>
      </c>
      <c r="AO28" s="178">
        <f t="array" ref="AO28">IF(AND($L28&lt;&gt;"",AO$8&lt;&gt;""),COUNTIFS($C$9:$C$59,$L28,$J$9:$J$59,AO$8),0)</f>
        <v>0</v>
      </c>
      <c r="AP28" s="178">
        <f t="array" ref="AP28">IF(AND($L28&lt;&gt;"",AP$8&lt;&gt;""),COUNTIFS($C$9:$C$59,$L28,$J$9:$J$59,AP$8),0)</f>
        <v>0</v>
      </c>
      <c r="AQ28" s="178">
        <f t="array" ref="AQ28">IF(AND($L28&lt;&gt;"",AQ$8&lt;&gt;""),COUNTIFS($C$9:$C$59,$L28,$J$9:$J$59,AQ$8),0)</f>
        <v>0</v>
      </c>
      <c r="AR28" s="178">
        <f t="array" ref="AR28">IF(AND($L28&lt;&gt;"",AR$8&lt;&gt;""),COUNTIFS($C$9:$C$59,$L28,$J$9:$J$59,AR$8),0)</f>
        <v>0</v>
      </c>
      <c r="AS28" s="178">
        <f t="array" ref="AS28">IF(AND($L28&lt;&gt;"",AS$8&lt;&gt;""),COUNTIFS($C$9:$C$59,$L28,$J$9:$J$59,AS$8),0)</f>
        <v>0</v>
      </c>
      <c r="AT28" s="178">
        <f t="array" ref="AT28">IF(AND($L28&lt;&gt;"",AT$8&lt;&gt;""),COUNTIFS($C$9:$C$59,$L28,$J$9:$J$59,AT$8),0)</f>
        <v>0</v>
      </c>
      <c r="AU28" s="178">
        <f t="array" ref="AU28">IF(AND($L28&lt;&gt;"",AU$8&lt;&gt;""),COUNTIFS($C$9:$C$59,$L28,$J$9:$J$59,AU$8),0)</f>
        <v>0</v>
      </c>
      <c r="AV28" s="178">
        <f t="array" ref="AV28">IF(AND($L28&lt;&gt;"",AV$8&lt;&gt;""),COUNTIFS($C$9:$C$59,$L28,$J$9:$J$59,AV$8),0)</f>
        <v>0</v>
      </c>
      <c r="AW28" s="178">
        <f t="array" ref="AW28">IF(AND($L28&lt;&gt;"",AW$8&lt;&gt;""),COUNTIFS($C$9:$C$59,$L28,$J$9:$J$59,AW$8),0)</f>
        <v>0</v>
      </c>
      <c r="AX28" s="178">
        <f t="array" ref="AX28">IF(AND($L28&lt;&gt;"",AX$8&lt;&gt;""),COUNTIFS($C$9:$C$59,$L28,$J$9:$J$59,AX$8),0)</f>
        <v>0</v>
      </c>
      <c r="AY28" s="178">
        <f t="array" ref="AY28">IF(AND($L28&lt;&gt;"",AY$8&lt;&gt;""),COUNTIFS($C$9:$C$59,$L28,$J$9:$J$59,AY$8),0)</f>
        <v>0</v>
      </c>
      <c r="AZ28" s="178">
        <f t="array" ref="AZ28">IF(AND($L28&lt;&gt;"",AZ$8&lt;&gt;""),COUNTIFS($C$9:$C$59,$L28,$J$9:$J$59,AZ$8),0)</f>
        <v>0</v>
      </c>
      <c r="BA28" s="178">
        <f t="array" ref="BA28">IF(AND($L28&lt;&gt;"",BA$8&lt;&gt;""),COUNTIFS($C$9:$C$59,$L28,$J$9:$J$59,BA$8),0)</f>
        <v>0</v>
      </c>
      <c r="BB28" s="178">
        <f t="array" ref="BB28">IF(AND($L28&lt;&gt;"",BB$8&lt;&gt;""),COUNTIFS($C$9:$C$59,$L28,$J$9:$J$59,BB$8),0)</f>
        <v>0</v>
      </c>
      <c r="BC28" s="178">
        <f t="array" ref="BC28">IF(AND($L28&lt;&gt;"",BC$8&lt;&gt;""),COUNTIFS($C$9:$C$59,$L28,$J$9:$J$59,BC$8),0)</f>
        <v>0</v>
      </c>
      <c r="BD28" s="178">
        <f t="array" ref="BD28">IF(AND($L28&lt;&gt;"",BD$8&lt;&gt;""),COUNTIFS($C$9:$C$59,$L28,$J$9:$J$59,BD$8),0)</f>
        <v>0</v>
      </c>
      <c r="BE28" s="178">
        <f t="array" ref="BE28">IF(AND($L28&lt;&gt;"",BE$8&lt;&gt;""),COUNTIFS($C$9:$C$59,$L28,$J$9:$J$59,BE$8),0)</f>
        <v>0</v>
      </c>
      <c r="BF28" s="178">
        <f t="array" ref="BF28">IF(AND($L28&lt;&gt;"",BF$8&lt;&gt;""),COUNTIFS($C$9:$C$59,$L28,$J$9:$J$59,BF$8),0)</f>
        <v>0</v>
      </c>
      <c r="BG28" s="178">
        <f t="array" ref="BG28">IF(AND($L28&lt;&gt;"",BG$8&lt;&gt;""),COUNTIFS($C$9:$C$59,$L28,$J$9:$J$59,BG$8),0)</f>
        <v>0</v>
      </c>
      <c r="BH28" s="178">
        <f t="array" ref="BH28">IF(AND($L28&lt;&gt;"",BH$8&lt;&gt;""),COUNTIFS($C$9:$C$59,$L28,$J$9:$J$59,BH$8),0)</f>
        <v>0</v>
      </c>
      <c r="BI28" s="178">
        <f t="array" ref="BI28">IF(AND($L28&lt;&gt;"",BI$8&lt;&gt;""),COUNTIFS($C$9:$C$59,$L28,$J$9:$J$59,BI$8),0)</f>
        <v>0</v>
      </c>
      <c r="BJ28" s="178">
        <f t="array" ref="BJ28">IF(AND($L28&lt;&gt;"",BJ$8&lt;&gt;""),COUNTIFS($C$9:$C$59,$L28,$J$9:$J$59,BJ$8),0)</f>
        <v>0</v>
      </c>
    </row>
    <row r="29" spans="2:62" x14ac:dyDescent="0.2">
      <c r="B29" s="126" t="s">
        <v>164</v>
      </c>
      <c r="C29" s="267"/>
      <c r="D29" s="23"/>
      <c r="E29" s="128"/>
      <c r="F29" s="118"/>
      <c r="G29" s="118" t="s">
        <v>287</v>
      </c>
      <c r="H29" s="117" t="str">
        <f t="shared" si="0"/>
        <v>-</v>
      </c>
      <c r="I29" s="127"/>
      <c r="J29" s="171" t="str">
        <f t="shared" si="1"/>
        <v/>
      </c>
      <c r="L29" s="178" t="str">
        <f t="array" ref="L29">IFERROR(INDEX($C$9:$C$59,MATCH(0,COUNTIF($L$8:$L28,$C$9:$C$59),0)),"")</f>
        <v/>
      </c>
      <c r="M29" s="178">
        <f t="array" ref="M29">IF(AND($L29&lt;&gt;"",M$8&lt;&gt;""),COUNTIFS($C$9:$C$59,$L29,$J$9:$J$59,M$8),0)</f>
        <v>0</v>
      </c>
      <c r="N29" s="178">
        <f t="array" ref="N29">IF(AND($L29&lt;&gt;"",N$8&lt;&gt;""),COUNTIFS($C$9:$C$59,$L29,$J$9:$J$59,N$8),0)</f>
        <v>0</v>
      </c>
      <c r="O29" s="178">
        <f t="array" ref="O29">IF(AND($L29&lt;&gt;"",O$8&lt;&gt;""),COUNTIFS($C$9:$C$59,$L29,$J$9:$J$59,O$8),0)</f>
        <v>0</v>
      </c>
      <c r="P29" s="178">
        <f t="array" ref="P29">IF(AND($L29&lt;&gt;"",P$8&lt;&gt;""),COUNTIFS($C$9:$C$59,$L29,$J$9:$J$59,P$8),0)</f>
        <v>0</v>
      </c>
      <c r="Q29" s="178">
        <f t="array" ref="Q29">IF(AND($L29&lt;&gt;"",Q$8&lt;&gt;""),COUNTIFS($C$9:$C$59,$L29,$J$9:$J$59,Q$8),0)</f>
        <v>0</v>
      </c>
      <c r="R29" s="178">
        <f t="array" ref="R29">IF(AND($L29&lt;&gt;"",R$8&lt;&gt;""),COUNTIFS($C$9:$C$59,$L29,$J$9:$J$59,R$8),0)</f>
        <v>0</v>
      </c>
      <c r="S29" s="178">
        <f t="array" ref="S29">IF(AND($L29&lt;&gt;"",S$8&lt;&gt;""),COUNTIFS($C$9:$C$59,$L29,$J$9:$J$59,S$8),0)</f>
        <v>0</v>
      </c>
      <c r="T29" s="178">
        <f t="array" ref="T29">IF(AND($L29&lt;&gt;"",T$8&lt;&gt;""),COUNTIFS($C$9:$C$59,$L29,$J$9:$J$59,T$8),0)</f>
        <v>0</v>
      </c>
      <c r="U29" s="178">
        <f t="array" ref="U29">IF(AND($L29&lt;&gt;"",U$8&lt;&gt;""),COUNTIFS($C$9:$C$59,$L29,$J$9:$J$59,U$8),0)</f>
        <v>0</v>
      </c>
      <c r="V29" s="178">
        <f t="array" ref="V29">IF(AND($L29&lt;&gt;"",V$8&lt;&gt;""),COUNTIFS($C$9:$C$59,$L29,$J$9:$J$59,V$8),0)</f>
        <v>0</v>
      </c>
      <c r="W29" s="178">
        <f t="array" ref="W29">IF(AND($L29&lt;&gt;"",W$8&lt;&gt;""),COUNTIFS($C$9:$C$59,$L29,$J$9:$J$59,W$8),0)</f>
        <v>0</v>
      </c>
      <c r="X29" s="178">
        <f t="array" ref="X29">IF(AND($L29&lt;&gt;"",X$8&lt;&gt;""),COUNTIFS($C$9:$C$59,$L29,$J$9:$J$59,X$8),0)</f>
        <v>0</v>
      </c>
      <c r="Y29" s="178">
        <f t="array" ref="Y29">IF(AND($L29&lt;&gt;"",Y$8&lt;&gt;""),COUNTIFS($C$9:$C$59,$L29,$J$9:$J$59,Y$8),0)</f>
        <v>0</v>
      </c>
      <c r="Z29" s="178">
        <f t="array" ref="Z29">IF(AND($L29&lt;&gt;"",Z$8&lt;&gt;""),COUNTIFS($C$9:$C$59,$L29,$J$9:$J$59,Z$8),0)</f>
        <v>0</v>
      </c>
      <c r="AA29" s="178">
        <f t="array" ref="AA29">IF(AND($L29&lt;&gt;"",AA$8&lt;&gt;""),COUNTIFS($C$9:$C$59,$L29,$J$9:$J$59,AA$8),0)</f>
        <v>0</v>
      </c>
      <c r="AB29" s="178">
        <f t="array" ref="AB29">IF(AND($L29&lt;&gt;"",AB$8&lt;&gt;""),COUNTIFS($C$9:$C$59,$L29,$J$9:$J$59,AB$8),0)</f>
        <v>0</v>
      </c>
      <c r="AC29" s="178">
        <f t="array" ref="AC29">IF(AND($L29&lt;&gt;"",AC$8&lt;&gt;""),COUNTIFS($C$9:$C$59,$L29,$J$9:$J$59,AC$8),0)</f>
        <v>0</v>
      </c>
      <c r="AD29" s="178">
        <f t="array" ref="AD29">IF(AND($L29&lt;&gt;"",AD$8&lt;&gt;""),COUNTIFS($C$9:$C$59,$L29,$J$9:$J$59,AD$8),0)</f>
        <v>0</v>
      </c>
      <c r="AE29" s="178">
        <f t="array" ref="AE29">IF(AND($L29&lt;&gt;"",AE$8&lt;&gt;""),COUNTIFS($C$9:$C$59,$L29,$J$9:$J$59,AE$8),0)</f>
        <v>0</v>
      </c>
      <c r="AF29" s="178">
        <f t="array" ref="AF29">IF(AND($L29&lt;&gt;"",AF$8&lt;&gt;""),COUNTIFS($C$9:$C$59,$L29,$J$9:$J$59,AF$8),0)</f>
        <v>0</v>
      </c>
      <c r="AG29" s="178">
        <f t="array" ref="AG29">IF(AND($L29&lt;&gt;"",AG$8&lt;&gt;""),COUNTIFS($C$9:$C$59,$L29,$J$9:$J$59,AG$8),0)</f>
        <v>0</v>
      </c>
      <c r="AH29" s="178">
        <f t="array" ref="AH29">IF(AND($L29&lt;&gt;"",AH$8&lt;&gt;""),COUNTIFS($C$9:$C$59,$L29,$J$9:$J$59,AH$8),0)</f>
        <v>0</v>
      </c>
      <c r="AI29" s="178">
        <f t="array" ref="AI29">IF(AND($L29&lt;&gt;"",AI$8&lt;&gt;""),COUNTIFS($C$9:$C$59,$L29,$J$9:$J$59,AI$8),0)</f>
        <v>0</v>
      </c>
      <c r="AJ29" s="178">
        <f t="array" ref="AJ29">IF(AND($L29&lt;&gt;"",AJ$8&lt;&gt;""),COUNTIFS($C$9:$C$59,$L29,$J$9:$J$59,AJ$8),0)</f>
        <v>0</v>
      </c>
      <c r="AK29" s="178">
        <f t="array" ref="AK29">IF(AND($L29&lt;&gt;"",AK$8&lt;&gt;""),COUNTIFS($C$9:$C$59,$L29,$J$9:$J$59,AK$8),0)</f>
        <v>0</v>
      </c>
      <c r="AL29" s="178">
        <f t="array" ref="AL29">IF(AND($L29&lt;&gt;"",AL$8&lt;&gt;""),COUNTIFS($C$9:$C$59,$L29,$J$9:$J$59,AL$8),0)</f>
        <v>0</v>
      </c>
      <c r="AM29" s="178">
        <f t="array" ref="AM29">IF(AND($L29&lt;&gt;"",AM$8&lt;&gt;""),COUNTIFS($C$9:$C$59,$L29,$J$9:$J$59,AM$8),0)</f>
        <v>0</v>
      </c>
      <c r="AN29" s="178">
        <f t="array" ref="AN29">IF(AND($L29&lt;&gt;"",AN$8&lt;&gt;""),COUNTIFS($C$9:$C$59,$L29,$J$9:$J$59,AN$8),0)</f>
        <v>0</v>
      </c>
      <c r="AO29" s="178">
        <f t="array" ref="AO29">IF(AND($L29&lt;&gt;"",AO$8&lt;&gt;""),COUNTIFS($C$9:$C$59,$L29,$J$9:$J$59,AO$8),0)</f>
        <v>0</v>
      </c>
      <c r="AP29" s="178">
        <f t="array" ref="AP29">IF(AND($L29&lt;&gt;"",AP$8&lt;&gt;""),COUNTIFS($C$9:$C$59,$L29,$J$9:$J$59,AP$8),0)</f>
        <v>0</v>
      </c>
      <c r="AQ29" s="178">
        <f t="array" ref="AQ29">IF(AND($L29&lt;&gt;"",AQ$8&lt;&gt;""),COUNTIFS($C$9:$C$59,$L29,$J$9:$J$59,AQ$8),0)</f>
        <v>0</v>
      </c>
      <c r="AR29" s="178">
        <f t="array" ref="AR29">IF(AND($L29&lt;&gt;"",AR$8&lt;&gt;""),COUNTIFS($C$9:$C$59,$L29,$J$9:$J$59,AR$8),0)</f>
        <v>0</v>
      </c>
      <c r="AS29" s="178">
        <f t="array" ref="AS29">IF(AND($L29&lt;&gt;"",AS$8&lt;&gt;""),COUNTIFS($C$9:$C$59,$L29,$J$9:$J$59,AS$8),0)</f>
        <v>0</v>
      </c>
      <c r="AT29" s="178">
        <f t="array" ref="AT29">IF(AND($L29&lt;&gt;"",AT$8&lt;&gt;""),COUNTIFS($C$9:$C$59,$L29,$J$9:$J$59,AT$8),0)</f>
        <v>0</v>
      </c>
      <c r="AU29" s="178">
        <f t="array" ref="AU29">IF(AND($L29&lt;&gt;"",AU$8&lt;&gt;""),COUNTIFS($C$9:$C$59,$L29,$J$9:$J$59,AU$8),0)</f>
        <v>0</v>
      </c>
      <c r="AV29" s="178">
        <f t="array" ref="AV29">IF(AND($L29&lt;&gt;"",AV$8&lt;&gt;""),COUNTIFS($C$9:$C$59,$L29,$J$9:$J$59,AV$8),0)</f>
        <v>0</v>
      </c>
      <c r="AW29" s="178">
        <f t="array" ref="AW29">IF(AND($L29&lt;&gt;"",AW$8&lt;&gt;""),COUNTIFS($C$9:$C$59,$L29,$J$9:$J$59,AW$8),0)</f>
        <v>0</v>
      </c>
      <c r="AX29" s="178">
        <f t="array" ref="AX29">IF(AND($L29&lt;&gt;"",AX$8&lt;&gt;""),COUNTIFS($C$9:$C$59,$L29,$J$9:$J$59,AX$8),0)</f>
        <v>0</v>
      </c>
      <c r="AY29" s="178">
        <f t="array" ref="AY29">IF(AND($L29&lt;&gt;"",AY$8&lt;&gt;""),COUNTIFS($C$9:$C$59,$L29,$J$9:$J$59,AY$8),0)</f>
        <v>0</v>
      </c>
      <c r="AZ29" s="178">
        <f t="array" ref="AZ29">IF(AND($L29&lt;&gt;"",AZ$8&lt;&gt;""),COUNTIFS($C$9:$C$59,$L29,$J$9:$J$59,AZ$8),0)</f>
        <v>0</v>
      </c>
      <c r="BA29" s="178">
        <f t="array" ref="BA29">IF(AND($L29&lt;&gt;"",BA$8&lt;&gt;""),COUNTIFS($C$9:$C$59,$L29,$J$9:$J$59,BA$8),0)</f>
        <v>0</v>
      </c>
      <c r="BB29" s="178">
        <f t="array" ref="BB29">IF(AND($L29&lt;&gt;"",BB$8&lt;&gt;""),COUNTIFS($C$9:$C$59,$L29,$J$9:$J$59,BB$8),0)</f>
        <v>0</v>
      </c>
      <c r="BC29" s="178">
        <f t="array" ref="BC29">IF(AND($L29&lt;&gt;"",BC$8&lt;&gt;""),COUNTIFS($C$9:$C$59,$L29,$J$9:$J$59,BC$8),0)</f>
        <v>0</v>
      </c>
      <c r="BD29" s="178">
        <f t="array" ref="BD29">IF(AND($L29&lt;&gt;"",BD$8&lt;&gt;""),COUNTIFS($C$9:$C$59,$L29,$J$9:$J$59,BD$8),0)</f>
        <v>0</v>
      </c>
      <c r="BE29" s="178">
        <f t="array" ref="BE29">IF(AND($L29&lt;&gt;"",BE$8&lt;&gt;""),COUNTIFS($C$9:$C$59,$L29,$J$9:$J$59,BE$8),0)</f>
        <v>0</v>
      </c>
      <c r="BF29" s="178">
        <f t="array" ref="BF29">IF(AND($L29&lt;&gt;"",BF$8&lt;&gt;""),COUNTIFS($C$9:$C$59,$L29,$J$9:$J$59,BF$8),0)</f>
        <v>0</v>
      </c>
      <c r="BG29" s="178">
        <f t="array" ref="BG29">IF(AND($L29&lt;&gt;"",BG$8&lt;&gt;""),COUNTIFS($C$9:$C$59,$L29,$J$9:$J$59,BG$8),0)</f>
        <v>0</v>
      </c>
      <c r="BH29" s="178">
        <f t="array" ref="BH29">IF(AND($L29&lt;&gt;"",BH$8&lt;&gt;""),COUNTIFS($C$9:$C$59,$L29,$J$9:$J$59,BH$8),0)</f>
        <v>0</v>
      </c>
      <c r="BI29" s="178">
        <f t="array" ref="BI29">IF(AND($L29&lt;&gt;"",BI$8&lt;&gt;""),COUNTIFS($C$9:$C$59,$L29,$J$9:$J$59,BI$8),0)</f>
        <v>0</v>
      </c>
      <c r="BJ29" s="178">
        <f t="array" ref="BJ29">IF(AND($L29&lt;&gt;"",BJ$8&lt;&gt;""),COUNTIFS($C$9:$C$59,$L29,$J$9:$J$59,BJ$8),0)</f>
        <v>0</v>
      </c>
    </row>
    <row r="30" spans="2:62" x14ac:dyDescent="0.2">
      <c r="B30" s="126" t="s">
        <v>165</v>
      </c>
      <c r="C30" s="267"/>
      <c r="D30" s="23"/>
      <c r="E30" s="128"/>
      <c r="F30" s="118"/>
      <c r="G30" s="118" t="s">
        <v>287</v>
      </c>
      <c r="H30" s="117" t="str">
        <f t="shared" si="0"/>
        <v>-</v>
      </c>
      <c r="I30" s="127"/>
      <c r="J30" s="171" t="str">
        <f t="shared" si="1"/>
        <v/>
      </c>
      <c r="L30" s="178" t="str">
        <f t="array" ref="L30">IFERROR(INDEX($C$9:$C$59,MATCH(0,COUNTIF($L$8:$L29,$C$9:$C$59),0)),"")</f>
        <v/>
      </c>
      <c r="M30" s="178">
        <f t="array" ref="M30">IF(AND($L30&lt;&gt;"",M$8&lt;&gt;""),COUNTIFS($C$9:$C$59,$L30,$J$9:$J$59,M$8),0)</f>
        <v>0</v>
      </c>
      <c r="N30" s="178">
        <f t="array" ref="N30">IF(AND($L30&lt;&gt;"",N$8&lt;&gt;""),COUNTIFS($C$9:$C$59,$L30,$J$9:$J$59,N$8),0)</f>
        <v>0</v>
      </c>
      <c r="O30" s="178">
        <f t="array" ref="O30">IF(AND($L30&lt;&gt;"",O$8&lt;&gt;""),COUNTIFS($C$9:$C$59,$L30,$J$9:$J$59,O$8),0)</f>
        <v>0</v>
      </c>
      <c r="P30" s="178">
        <f t="array" ref="P30">IF(AND($L30&lt;&gt;"",P$8&lt;&gt;""),COUNTIFS($C$9:$C$59,$L30,$J$9:$J$59,P$8),0)</f>
        <v>0</v>
      </c>
      <c r="Q30" s="178">
        <f t="array" ref="Q30">IF(AND($L30&lt;&gt;"",Q$8&lt;&gt;""),COUNTIFS($C$9:$C$59,$L30,$J$9:$J$59,Q$8),0)</f>
        <v>0</v>
      </c>
      <c r="R30" s="178">
        <f t="array" ref="R30">IF(AND($L30&lt;&gt;"",R$8&lt;&gt;""),COUNTIFS($C$9:$C$59,$L30,$J$9:$J$59,R$8),0)</f>
        <v>0</v>
      </c>
      <c r="S30" s="178">
        <f t="array" ref="S30">IF(AND($L30&lt;&gt;"",S$8&lt;&gt;""),COUNTIFS($C$9:$C$59,$L30,$J$9:$J$59,S$8),0)</f>
        <v>0</v>
      </c>
      <c r="T30" s="178">
        <f t="array" ref="T30">IF(AND($L30&lt;&gt;"",T$8&lt;&gt;""),COUNTIFS($C$9:$C$59,$L30,$J$9:$J$59,T$8),0)</f>
        <v>0</v>
      </c>
      <c r="U30" s="178">
        <f t="array" ref="U30">IF(AND($L30&lt;&gt;"",U$8&lt;&gt;""),COUNTIFS($C$9:$C$59,$L30,$J$9:$J$59,U$8),0)</f>
        <v>0</v>
      </c>
      <c r="V30" s="178">
        <f t="array" ref="V30">IF(AND($L30&lt;&gt;"",V$8&lt;&gt;""),COUNTIFS($C$9:$C$59,$L30,$J$9:$J$59,V$8),0)</f>
        <v>0</v>
      </c>
      <c r="W30" s="178">
        <f t="array" ref="W30">IF(AND($L30&lt;&gt;"",W$8&lt;&gt;""),COUNTIFS($C$9:$C$59,$L30,$J$9:$J$59,W$8),0)</f>
        <v>0</v>
      </c>
      <c r="X30" s="178">
        <f t="array" ref="X30">IF(AND($L30&lt;&gt;"",X$8&lt;&gt;""),COUNTIFS($C$9:$C$59,$L30,$J$9:$J$59,X$8),0)</f>
        <v>0</v>
      </c>
      <c r="Y30" s="178">
        <f t="array" ref="Y30">IF(AND($L30&lt;&gt;"",Y$8&lt;&gt;""),COUNTIFS($C$9:$C$59,$L30,$J$9:$J$59,Y$8),0)</f>
        <v>0</v>
      </c>
      <c r="Z30" s="178">
        <f t="array" ref="Z30">IF(AND($L30&lt;&gt;"",Z$8&lt;&gt;""),COUNTIFS($C$9:$C$59,$L30,$J$9:$J$59,Z$8),0)</f>
        <v>0</v>
      </c>
      <c r="AA30" s="178">
        <f t="array" ref="AA30">IF(AND($L30&lt;&gt;"",AA$8&lt;&gt;""),COUNTIFS($C$9:$C$59,$L30,$J$9:$J$59,AA$8),0)</f>
        <v>0</v>
      </c>
      <c r="AB30" s="178">
        <f t="array" ref="AB30">IF(AND($L30&lt;&gt;"",AB$8&lt;&gt;""),COUNTIFS($C$9:$C$59,$L30,$J$9:$J$59,AB$8),0)</f>
        <v>0</v>
      </c>
      <c r="AC30" s="178">
        <f t="array" ref="AC30">IF(AND($L30&lt;&gt;"",AC$8&lt;&gt;""),COUNTIFS($C$9:$C$59,$L30,$J$9:$J$59,AC$8),0)</f>
        <v>0</v>
      </c>
      <c r="AD30" s="178">
        <f t="array" ref="AD30">IF(AND($L30&lt;&gt;"",AD$8&lt;&gt;""),COUNTIFS($C$9:$C$59,$L30,$J$9:$J$59,AD$8),0)</f>
        <v>0</v>
      </c>
      <c r="AE30" s="178">
        <f t="array" ref="AE30">IF(AND($L30&lt;&gt;"",AE$8&lt;&gt;""),COUNTIFS($C$9:$C$59,$L30,$J$9:$J$59,AE$8),0)</f>
        <v>0</v>
      </c>
      <c r="AF30" s="178">
        <f t="array" ref="AF30">IF(AND($L30&lt;&gt;"",AF$8&lt;&gt;""),COUNTIFS($C$9:$C$59,$L30,$J$9:$J$59,AF$8),0)</f>
        <v>0</v>
      </c>
      <c r="AG30" s="178">
        <f t="array" ref="AG30">IF(AND($L30&lt;&gt;"",AG$8&lt;&gt;""),COUNTIFS($C$9:$C$59,$L30,$J$9:$J$59,AG$8),0)</f>
        <v>0</v>
      </c>
      <c r="AH30" s="178">
        <f t="array" ref="AH30">IF(AND($L30&lt;&gt;"",AH$8&lt;&gt;""),COUNTIFS($C$9:$C$59,$L30,$J$9:$J$59,AH$8),0)</f>
        <v>0</v>
      </c>
      <c r="AI30" s="178">
        <f t="array" ref="AI30">IF(AND($L30&lt;&gt;"",AI$8&lt;&gt;""),COUNTIFS($C$9:$C$59,$L30,$J$9:$J$59,AI$8),0)</f>
        <v>0</v>
      </c>
      <c r="AJ30" s="178">
        <f t="array" ref="AJ30">IF(AND($L30&lt;&gt;"",AJ$8&lt;&gt;""),COUNTIFS($C$9:$C$59,$L30,$J$9:$J$59,AJ$8),0)</f>
        <v>0</v>
      </c>
      <c r="AK30" s="178">
        <f t="array" ref="AK30">IF(AND($L30&lt;&gt;"",AK$8&lt;&gt;""),COUNTIFS($C$9:$C$59,$L30,$J$9:$J$59,AK$8),0)</f>
        <v>0</v>
      </c>
      <c r="AL30" s="178">
        <f t="array" ref="AL30">IF(AND($L30&lt;&gt;"",AL$8&lt;&gt;""),COUNTIFS($C$9:$C$59,$L30,$J$9:$J$59,AL$8),0)</f>
        <v>0</v>
      </c>
      <c r="AM30" s="178">
        <f t="array" ref="AM30">IF(AND($L30&lt;&gt;"",AM$8&lt;&gt;""),COUNTIFS($C$9:$C$59,$L30,$J$9:$J$59,AM$8),0)</f>
        <v>0</v>
      </c>
      <c r="AN30" s="178">
        <f t="array" ref="AN30">IF(AND($L30&lt;&gt;"",AN$8&lt;&gt;""),COUNTIFS($C$9:$C$59,$L30,$J$9:$J$59,AN$8),0)</f>
        <v>0</v>
      </c>
      <c r="AO30" s="178">
        <f t="array" ref="AO30">IF(AND($L30&lt;&gt;"",AO$8&lt;&gt;""),COUNTIFS($C$9:$C$59,$L30,$J$9:$J$59,AO$8),0)</f>
        <v>0</v>
      </c>
      <c r="AP30" s="178">
        <f t="array" ref="AP30">IF(AND($L30&lt;&gt;"",AP$8&lt;&gt;""),COUNTIFS($C$9:$C$59,$L30,$J$9:$J$59,AP$8),0)</f>
        <v>0</v>
      </c>
      <c r="AQ30" s="178">
        <f t="array" ref="AQ30">IF(AND($L30&lt;&gt;"",AQ$8&lt;&gt;""),COUNTIFS($C$9:$C$59,$L30,$J$9:$J$59,AQ$8),0)</f>
        <v>0</v>
      </c>
      <c r="AR30" s="178">
        <f t="array" ref="AR30">IF(AND($L30&lt;&gt;"",AR$8&lt;&gt;""),COUNTIFS($C$9:$C$59,$L30,$J$9:$J$59,AR$8),0)</f>
        <v>0</v>
      </c>
      <c r="AS30" s="178">
        <f t="array" ref="AS30">IF(AND($L30&lt;&gt;"",AS$8&lt;&gt;""),COUNTIFS($C$9:$C$59,$L30,$J$9:$J$59,AS$8),0)</f>
        <v>0</v>
      </c>
      <c r="AT30" s="178">
        <f t="array" ref="AT30">IF(AND($L30&lt;&gt;"",AT$8&lt;&gt;""),COUNTIFS($C$9:$C$59,$L30,$J$9:$J$59,AT$8),0)</f>
        <v>0</v>
      </c>
      <c r="AU30" s="178">
        <f t="array" ref="AU30">IF(AND($L30&lt;&gt;"",AU$8&lt;&gt;""),COUNTIFS($C$9:$C$59,$L30,$J$9:$J$59,AU$8),0)</f>
        <v>0</v>
      </c>
      <c r="AV30" s="178">
        <f t="array" ref="AV30">IF(AND($L30&lt;&gt;"",AV$8&lt;&gt;""),COUNTIFS($C$9:$C$59,$L30,$J$9:$J$59,AV$8),0)</f>
        <v>0</v>
      </c>
      <c r="AW30" s="178">
        <f t="array" ref="AW30">IF(AND($L30&lt;&gt;"",AW$8&lt;&gt;""),COUNTIFS($C$9:$C$59,$L30,$J$9:$J$59,AW$8),0)</f>
        <v>0</v>
      </c>
      <c r="AX30" s="178">
        <f t="array" ref="AX30">IF(AND($L30&lt;&gt;"",AX$8&lt;&gt;""),COUNTIFS($C$9:$C$59,$L30,$J$9:$J$59,AX$8),0)</f>
        <v>0</v>
      </c>
      <c r="AY30" s="178">
        <f t="array" ref="AY30">IF(AND($L30&lt;&gt;"",AY$8&lt;&gt;""),COUNTIFS($C$9:$C$59,$L30,$J$9:$J$59,AY$8),0)</f>
        <v>0</v>
      </c>
      <c r="AZ30" s="178">
        <f t="array" ref="AZ30">IF(AND($L30&lt;&gt;"",AZ$8&lt;&gt;""),COUNTIFS($C$9:$C$59,$L30,$J$9:$J$59,AZ$8),0)</f>
        <v>0</v>
      </c>
      <c r="BA30" s="178">
        <f t="array" ref="BA30">IF(AND($L30&lt;&gt;"",BA$8&lt;&gt;""),COUNTIFS($C$9:$C$59,$L30,$J$9:$J$59,BA$8),0)</f>
        <v>0</v>
      </c>
      <c r="BB30" s="178">
        <f t="array" ref="BB30">IF(AND($L30&lt;&gt;"",BB$8&lt;&gt;""),COUNTIFS($C$9:$C$59,$L30,$J$9:$J$59,BB$8),0)</f>
        <v>0</v>
      </c>
      <c r="BC30" s="178">
        <f t="array" ref="BC30">IF(AND($L30&lt;&gt;"",BC$8&lt;&gt;""),COUNTIFS($C$9:$C$59,$L30,$J$9:$J$59,BC$8),0)</f>
        <v>0</v>
      </c>
      <c r="BD30" s="178">
        <f t="array" ref="BD30">IF(AND($L30&lt;&gt;"",BD$8&lt;&gt;""),COUNTIFS($C$9:$C$59,$L30,$J$9:$J$59,BD$8),0)</f>
        <v>0</v>
      </c>
      <c r="BE30" s="178">
        <f t="array" ref="BE30">IF(AND($L30&lt;&gt;"",BE$8&lt;&gt;""),COUNTIFS($C$9:$C$59,$L30,$J$9:$J$59,BE$8),0)</f>
        <v>0</v>
      </c>
      <c r="BF30" s="178">
        <f t="array" ref="BF30">IF(AND($L30&lt;&gt;"",BF$8&lt;&gt;""),COUNTIFS($C$9:$C$59,$L30,$J$9:$J$59,BF$8),0)</f>
        <v>0</v>
      </c>
      <c r="BG30" s="178">
        <f t="array" ref="BG30">IF(AND($L30&lt;&gt;"",BG$8&lt;&gt;""),COUNTIFS($C$9:$C$59,$L30,$J$9:$J$59,BG$8),0)</f>
        <v>0</v>
      </c>
      <c r="BH30" s="178">
        <f t="array" ref="BH30">IF(AND($L30&lt;&gt;"",BH$8&lt;&gt;""),COUNTIFS($C$9:$C$59,$L30,$J$9:$J$59,BH$8),0)</f>
        <v>0</v>
      </c>
      <c r="BI30" s="178">
        <f t="array" ref="BI30">IF(AND($L30&lt;&gt;"",BI$8&lt;&gt;""),COUNTIFS($C$9:$C$59,$L30,$J$9:$J$59,BI$8),0)</f>
        <v>0</v>
      </c>
      <c r="BJ30" s="178">
        <f t="array" ref="BJ30">IF(AND($L30&lt;&gt;"",BJ$8&lt;&gt;""),COUNTIFS($C$9:$C$59,$L30,$J$9:$J$59,BJ$8),0)</f>
        <v>0</v>
      </c>
    </row>
    <row r="31" spans="2:62" x14ac:dyDescent="0.2">
      <c r="B31" s="126" t="s">
        <v>166</v>
      </c>
      <c r="C31" s="267"/>
      <c r="D31" s="23"/>
      <c r="E31" s="128"/>
      <c r="F31" s="118"/>
      <c r="G31" s="118" t="s">
        <v>287</v>
      </c>
      <c r="H31" s="117" t="str">
        <f t="shared" si="0"/>
        <v>-</v>
      </c>
      <c r="I31" s="127"/>
      <c r="J31" s="171" t="str">
        <f t="shared" si="1"/>
        <v/>
      </c>
      <c r="L31" s="178" t="str">
        <f t="array" ref="L31">IFERROR(INDEX($C$9:$C$59,MATCH(0,COUNTIF($L$8:$L30,$C$9:$C$59),0)),"")</f>
        <v/>
      </c>
      <c r="M31" s="178">
        <f t="array" ref="M31">IF(AND($L31&lt;&gt;"",M$8&lt;&gt;""),COUNTIFS($C$9:$C$59,$L31,$J$9:$J$59,M$8),0)</f>
        <v>0</v>
      </c>
      <c r="N31" s="178">
        <f t="array" ref="N31">IF(AND($L31&lt;&gt;"",N$8&lt;&gt;""),COUNTIFS($C$9:$C$59,$L31,$J$9:$J$59,N$8),0)</f>
        <v>0</v>
      </c>
      <c r="O31" s="178">
        <f t="array" ref="O31">IF(AND($L31&lt;&gt;"",O$8&lt;&gt;""),COUNTIFS($C$9:$C$59,$L31,$J$9:$J$59,O$8),0)</f>
        <v>0</v>
      </c>
      <c r="P31" s="178">
        <f t="array" ref="P31">IF(AND($L31&lt;&gt;"",P$8&lt;&gt;""),COUNTIFS($C$9:$C$59,$L31,$J$9:$J$59,P$8),0)</f>
        <v>0</v>
      </c>
      <c r="Q31" s="178">
        <f t="array" ref="Q31">IF(AND($L31&lt;&gt;"",Q$8&lt;&gt;""),COUNTIFS($C$9:$C$59,$L31,$J$9:$J$59,Q$8),0)</f>
        <v>0</v>
      </c>
      <c r="R31" s="178">
        <f t="array" ref="R31">IF(AND($L31&lt;&gt;"",R$8&lt;&gt;""),COUNTIFS($C$9:$C$59,$L31,$J$9:$J$59,R$8),0)</f>
        <v>0</v>
      </c>
      <c r="S31" s="178">
        <f t="array" ref="S31">IF(AND($L31&lt;&gt;"",S$8&lt;&gt;""),COUNTIFS($C$9:$C$59,$L31,$J$9:$J$59,S$8),0)</f>
        <v>0</v>
      </c>
      <c r="T31" s="178">
        <f t="array" ref="T31">IF(AND($L31&lt;&gt;"",T$8&lt;&gt;""),COUNTIFS($C$9:$C$59,$L31,$J$9:$J$59,T$8),0)</f>
        <v>0</v>
      </c>
      <c r="U31" s="178">
        <f t="array" ref="U31">IF(AND($L31&lt;&gt;"",U$8&lt;&gt;""),COUNTIFS($C$9:$C$59,$L31,$J$9:$J$59,U$8),0)</f>
        <v>0</v>
      </c>
      <c r="V31" s="178">
        <f t="array" ref="V31">IF(AND($L31&lt;&gt;"",V$8&lt;&gt;""),COUNTIFS($C$9:$C$59,$L31,$J$9:$J$59,V$8),0)</f>
        <v>0</v>
      </c>
      <c r="W31" s="178">
        <f t="array" ref="W31">IF(AND($L31&lt;&gt;"",W$8&lt;&gt;""),COUNTIFS($C$9:$C$59,$L31,$J$9:$J$59,W$8),0)</f>
        <v>0</v>
      </c>
      <c r="X31" s="178">
        <f t="array" ref="X31">IF(AND($L31&lt;&gt;"",X$8&lt;&gt;""),COUNTIFS($C$9:$C$59,$L31,$J$9:$J$59,X$8),0)</f>
        <v>0</v>
      </c>
      <c r="Y31" s="178">
        <f t="array" ref="Y31">IF(AND($L31&lt;&gt;"",Y$8&lt;&gt;""),COUNTIFS($C$9:$C$59,$L31,$J$9:$J$59,Y$8),0)</f>
        <v>0</v>
      </c>
      <c r="Z31" s="178">
        <f t="array" ref="Z31">IF(AND($L31&lt;&gt;"",Z$8&lt;&gt;""),COUNTIFS($C$9:$C$59,$L31,$J$9:$J$59,Z$8),0)</f>
        <v>0</v>
      </c>
      <c r="AA31" s="178">
        <f t="array" ref="AA31">IF(AND($L31&lt;&gt;"",AA$8&lt;&gt;""),COUNTIFS($C$9:$C$59,$L31,$J$9:$J$59,AA$8),0)</f>
        <v>0</v>
      </c>
      <c r="AB31" s="178">
        <f t="array" ref="AB31">IF(AND($L31&lt;&gt;"",AB$8&lt;&gt;""),COUNTIFS($C$9:$C$59,$L31,$J$9:$J$59,AB$8),0)</f>
        <v>0</v>
      </c>
      <c r="AC31" s="178">
        <f t="array" ref="AC31">IF(AND($L31&lt;&gt;"",AC$8&lt;&gt;""),COUNTIFS($C$9:$C$59,$L31,$J$9:$J$59,AC$8),0)</f>
        <v>0</v>
      </c>
      <c r="AD31" s="178">
        <f t="array" ref="AD31">IF(AND($L31&lt;&gt;"",AD$8&lt;&gt;""),COUNTIFS($C$9:$C$59,$L31,$J$9:$J$59,AD$8),0)</f>
        <v>0</v>
      </c>
      <c r="AE31" s="178">
        <f t="array" ref="AE31">IF(AND($L31&lt;&gt;"",AE$8&lt;&gt;""),COUNTIFS($C$9:$C$59,$L31,$J$9:$J$59,AE$8),0)</f>
        <v>0</v>
      </c>
      <c r="AF31" s="178">
        <f t="array" ref="AF31">IF(AND($L31&lt;&gt;"",AF$8&lt;&gt;""),COUNTIFS($C$9:$C$59,$L31,$J$9:$J$59,AF$8),0)</f>
        <v>0</v>
      </c>
      <c r="AG31" s="178">
        <f t="array" ref="AG31">IF(AND($L31&lt;&gt;"",AG$8&lt;&gt;""),COUNTIFS($C$9:$C$59,$L31,$J$9:$J$59,AG$8),0)</f>
        <v>0</v>
      </c>
      <c r="AH31" s="178">
        <f t="array" ref="AH31">IF(AND($L31&lt;&gt;"",AH$8&lt;&gt;""),COUNTIFS($C$9:$C$59,$L31,$J$9:$J$59,AH$8),0)</f>
        <v>0</v>
      </c>
      <c r="AI31" s="178">
        <f t="array" ref="AI31">IF(AND($L31&lt;&gt;"",AI$8&lt;&gt;""),COUNTIFS($C$9:$C$59,$L31,$J$9:$J$59,AI$8),0)</f>
        <v>0</v>
      </c>
      <c r="AJ31" s="178">
        <f t="array" ref="AJ31">IF(AND($L31&lt;&gt;"",AJ$8&lt;&gt;""),COUNTIFS($C$9:$C$59,$L31,$J$9:$J$59,AJ$8),0)</f>
        <v>0</v>
      </c>
      <c r="AK31" s="178">
        <f t="array" ref="AK31">IF(AND($L31&lt;&gt;"",AK$8&lt;&gt;""),COUNTIFS($C$9:$C$59,$L31,$J$9:$J$59,AK$8),0)</f>
        <v>0</v>
      </c>
      <c r="AL31" s="178">
        <f t="array" ref="AL31">IF(AND($L31&lt;&gt;"",AL$8&lt;&gt;""),COUNTIFS($C$9:$C$59,$L31,$J$9:$J$59,AL$8),0)</f>
        <v>0</v>
      </c>
      <c r="AM31" s="178">
        <f t="array" ref="AM31">IF(AND($L31&lt;&gt;"",AM$8&lt;&gt;""),COUNTIFS($C$9:$C$59,$L31,$J$9:$J$59,AM$8),0)</f>
        <v>0</v>
      </c>
      <c r="AN31" s="178">
        <f t="array" ref="AN31">IF(AND($L31&lt;&gt;"",AN$8&lt;&gt;""),COUNTIFS($C$9:$C$59,$L31,$J$9:$J$59,AN$8),0)</f>
        <v>0</v>
      </c>
      <c r="AO31" s="178">
        <f t="array" ref="AO31">IF(AND($L31&lt;&gt;"",AO$8&lt;&gt;""),COUNTIFS($C$9:$C$59,$L31,$J$9:$J$59,AO$8),0)</f>
        <v>0</v>
      </c>
      <c r="AP31" s="178">
        <f t="array" ref="AP31">IF(AND($L31&lt;&gt;"",AP$8&lt;&gt;""),COUNTIFS($C$9:$C$59,$L31,$J$9:$J$59,AP$8),0)</f>
        <v>0</v>
      </c>
      <c r="AQ31" s="178">
        <f t="array" ref="AQ31">IF(AND($L31&lt;&gt;"",AQ$8&lt;&gt;""),COUNTIFS($C$9:$C$59,$L31,$J$9:$J$59,AQ$8),0)</f>
        <v>0</v>
      </c>
      <c r="AR31" s="178">
        <f t="array" ref="AR31">IF(AND($L31&lt;&gt;"",AR$8&lt;&gt;""),COUNTIFS($C$9:$C$59,$L31,$J$9:$J$59,AR$8),0)</f>
        <v>0</v>
      </c>
      <c r="AS31" s="178">
        <f t="array" ref="AS31">IF(AND($L31&lt;&gt;"",AS$8&lt;&gt;""),COUNTIFS($C$9:$C$59,$L31,$J$9:$J$59,AS$8),0)</f>
        <v>0</v>
      </c>
      <c r="AT31" s="178">
        <f t="array" ref="AT31">IF(AND($L31&lt;&gt;"",AT$8&lt;&gt;""),COUNTIFS($C$9:$C$59,$L31,$J$9:$J$59,AT$8),0)</f>
        <v>0</v>
      </c>
      <c r="AU31" s="178">
        <f t="array" ref="AU31">IF(AND($L31&lt;&gt;"",AU$8&lt;&gt;""),COUNTIFS($C$9:$C$59,$L31,$J$9:$J$59,AU$8),0)</f>
        <v>0</v>
      </c>
      <c r="AV31" s="178">
        <f t="array" ref="AV31">IF(AND($L31&lt;&gt;"",AV$8&lt;&gt;""),COUNTIFS($C$9:$C$59,$L31,$J$9:$J$59,AV$8),0)</f>
        <v>0</v>
      </c>
      <c r="AW31" s="178">
        <f t="array" ref="AW31">IF(AND($L31&lt;&gt;"",AW$8&lt;&gt;""),COUNTIFS($C$9:$C$59,$L31,$J$9:$J$59,AW$8),0)</f>
        <v>0</v>
      </c>
      <c r="AX31" s="178">
        <f t="array" ref="AX31">IF(AND($L31&lt;&gt;"",AX$8&lt;&gt;""),COUNTIFS($C$9:$C$59,$L31,$J$9:$J$59,AX$8),0)</f>
        <v>0</v>
      </c>
      <c r="AY31" s="178">
        <f t="array" ref="AY31">IF(AND($L31&lt;&gt;"",AY$8&lt;&gt;""),COUNTIFS($C$9:$C$59,$L31,$J$9:$J$59,AY$8),0)</f>
        <v>0</v>
      </c>
      <c r="AZ31" s="178">
        <f t="array" ref="AZ31">IF(AND($L31&lt;&gt;"",AZ$8&lt;&gt;""),COUNTIFS($C$9:$C$59,$L31,$J$9:$J$59,AZ$8),0)</f>
        <v>0</v>
      </c>
      <c r="BA31" s="178">
        <f t="array" ref="BA31">IF(AND($L31&lt;&gt;"",BA$8&lt;&gt;""),COUNTIFS($C$9:$C$59,$L31,$J$9:$J$59,BA$8),0)</f>
        <v>0</v>
      </c>
      <c r="BB31" s="178">
        <f t="array" ref="BB31">IF(AND($L31&lt;&gt;"",BB$8&lt;&gt;""),COUNTIFS($C$9:$C$59,$L31,$J$9:$J$59,BB$8),0)</f>
        <v>0</v>
      </c>
      <c r="BC31" s="178">
        <f t="array" ref="BC31">IF(AND($L31&lt;&gt;"",BC$8&lt;&gt;""),COUNTIFS($C$9:$C$59,$L31,$J$9:$J$59,BC$8),0)</f>
        <v>0</v>
      </c>
      <c r="BD31" s="178">
        <f t="array" ref="BD31">IF(AND($L31&lt;&gt;"",BD$8&lt;&gt;""),COUNTIFS($C$9:$C$59,$L31,$J$9:$J$59,BD$8),0)</f>
        <v>0</v>
      </c>
      <c r="BE31" s="178">
        <f t="array" ref="BE31">IF(AND($L31&lt;&gt;"",BE$8&lt;&gt;""),COUNTIFS($C$9:$C$59,$L31,$J$9:$J$59,BE$8),0)</f>
        <v>0</v>
      </c>
      <c r="BF31" s="178">
        <f t="array" ref="BF31">IF(AND($L31&lt;&gt;"",BF$8&lt;&gt;""),COUNTIFS($C$9:$C$59,$L31,$J$9:$J$59,BF$8),0)</f>
        <v>0</v>
      </c>
      <c r="BG31" s="178">
        <f t="array" ref="BG31">IF(AND($L31&lt;&gt;"",BG$8&lt;&gt;""),COUNTIFS($C$9:$C$59,$L31,$J$9:$J$59,BG$8),0)</f>
        <v>0</v>
      </c>
      <c r="BH31" s="178">
        <f t="array" ref="BH31">IF(AND($L31&lt;&gt;"",BH$8&lt;&gt;""),COUNTIFS($C$9:$C$59,$L31,$J$9:$J$59,BH$8),0)</f>
        <v>0</v>
      </c>
      <c r="BI31" s="178">
        <f t="array" ref="BI31">IF(AND($L31&lt;&gt;"",BI$8&lt;&gt;""),COUNTIFS($C$9:$C$59,$L31,$J$9:$J$59,BI$8),0)</f>
        <v>0</v>
      </c>
      <c r="BJ31" s="178">
        <f t="array" ref="BJ31">IF(AND($L31&lt;&gt;"",BJ$8&lt;&gt;""),COUNTIFS($C$9:$C$59,$L31,$J$9:$J$59,BJ$8),0)</f>
        <v>0</v>
      </c>
    </row>
    <row r="32" spans="2:62" x14ac:dyDescent="0.2">
      <c r="B32" s="126" t="s">
        <v>167</v>
      </c>
      <c r="C32" s="267"/>
      <c r="D32" s="23"/>
      <c r="E32" s="128"/>
      <c r="F32" s="118"/>
      <c r="G32" s="118" t="s">
        <v>287</v>
      </c>
      <c r="H32" s="117" t="str">
        <f t="shared" si="0"/>
        <v>-</v>
      </c>
      <c r="I32" s="127"/>
      <c r="J32" s="171" t="str">
        <f t="shared" si="1"/>
        <v/>
      </c>
      <c r="L32" s="178" t="str">
        <f t="array" ref="L32">IFERROR(INDEX($C$9:$C$59,MATCH(0,COUNTIF($L$8:$L31,$C$9:$C$59),0)),"")</f>
        <v/>
      </c>
      <c r="M32" s="178">
        <f t="array" ref="M32">IF(AND($L32&lt;&gt;"",M$8&lt;&gt;""),COUNTIFS($C$9:$C$59,$L32,$J$9:$J$59,M$8),0)</f>
        <v>0</v>
      </c>
      <c r="N32" s="178">
        <f t="array" ref="N32">IF(AND($L32&lt;&gt;"",N$8&lt;&gt;""),COUNTIFS($C$9:$C$59,$L32,$J$9:$J$59,N$8),0)</f>
        <v>0</v>
      </c>
      <c r="O32" s="178">
        <f t="array" ref="O32">IF(AND($L32&lt;&gt;"",O$8&lt;&gt;""),COUNTIFS($C$9:$C$59,$L32,$J$9:$J$59,O$8),0)</f>
        <v>0</v>
      </c>
      <c r="P32" s="178">
        <f t="array" ref="P32">IF(AND($L32&lt;&gt;"",P$8&lt;&gt;""),COUNTIFS($C$9:$C$59,$L32,$J$9:$J$59,P$8),0)</f>
        <v>0</v>
      </c>
      <c r="Q32" s="178">
        <f t="array" ref="Q32">IF(AND($L32&lt;&gt;"",Q$8&lt;&gt;""),COUNTIFS($C$9:$C$59,$L32,$J$9:$J$59,Q$8),0)</f>
        <v>0</v>
      </c>
      <c r="R32" s="178">
        <f t="array" ref="R32">IF(AND($L32&lt;&gt;"",R$8&lt;&gt;""),COUNTIFS($C$9:$C$59,$L32,$J$9:$J$59,R$8),0)</f>
        <v>0</v>
      </c>
      <c r="S32" s="178">
        <f t="array" ref="S32">IF(AND($L32&lt;&gt;"",S$8&lt;&gt;""),COUNTIFS($C$9:$C$59,$L32,$J$9:$J$59,S$8),0)</f>
        <v>0</v>
      </c>
      <c r="T32" s="178">
        <f t="array" ref="T32">IF(AND($L32&lt;&gt;"",T$8&lt;&gt;""),COUNTIFS($C$9:$C$59,$L32,$J$9:$J$59,T$8),0)</f>
        <v>0</v>
      </c>
      <c r="U32" s="178">
        <f t="array" ref="U32">IF(AND($L32&lt;&gt;"",U$8&lt;&gt;""),COUNTIFS($C$9:$C$59,$L32,$J$9:$J$59,U$8),0)</f>
        <v>0</v>
      </c>
      <c r="V32" s="178">
        <f t="array" ref="V32">IF(AND($L32&lt;&gt;"",V$8&lt;&gt;""),COUNTIFS($C$9:$C$59,$L32,$J$9:$J$59,V$8),0)</f>
        <v>0</v>
      </c>
      <c r="W32" s="178">
        <f t="array" ref="W32">IF(AND($L32&lt;&gt;"",W$8&lt;&gt;""),COUNTIFS($C$9:$C$59,$L32,$J$9:$J$59,W$8),0)</f>
        <v>0</v>
      </c>
      <c r="X32" s="178">
        <f t="array" ref="X32">IF(AND($L32&lt;&gt;"",X$8&lt;&gt;""),COUNTIFS($C$9:$C$59,$L32,$J$9:$J$59,X$8),0)</f>
        <v>0</v>
      </c>
      <c r="Y32" s="178">
        <f t="array" ref="Y32">IF(AND($L32&lt;&gt;"",Y$8&lt;&gt;""),COUNTIFS($C$9:$C$59,$L32,$J$9:$J$59,Y$8),0)</f>
        <v>0</v>
      </c>
      <c r="Z32" s="178">
        <f t="array" ref="Z32">IF(AND($L32&lt;&gt;"",Z$8&lt;&gt;""),COUNTIFS($C$9:$C$59,$L32,$J$9:$J$59,Z$8),0)</f>
        <v>0</v>
      </c>
      <c r="AA32" s="178">
        <f t="array" ref="AA32">IF(AND($L32&lt;&gt;"",AA$8&lt;&gt;""),COUNTIFS($C$9:$C$59,$L32,$J$9:$J$59,AA$8),0)</f>
        <v>0</v>
      </c>
      <c r="AB32" s="178">
        <f t="array" ref="AB32">IF(AND($L32&lt;&gt;"",AB$8&lt;&gt;""),COUNTIFS($C$9:$C$59,$L32,$J$9:$J$59,AB$8),0)</f>
        <v>0</v>
      </c>
      <c r="AC32" s="178">
        <f t="array" ref="AC32">IF(AND($L32&lt;&gt;"",AC$8&lt;&gt;""),COUNTIFS($C$9:$C$59,$L32,$J$9:$J$59,AC$8),0)</f>
        <v>0</v>
      </c>
      <c r="AD32" s="178">
        <f t="array" ref="AD32">IF(AND($L32&lt;&gt;"",AD$8&lt;&gt;""),COUNTIFS($C$9:$C$59,$L32,$J$9:$J$59,AD$8),0)</f>
        <v>0</v>
      </c>
      <c r="AE32" s="178">
        <f t="array" ref="AE32">IF(AND($L32&lt;&gt;"",AE$8&lt;&gt;""),COUNTIFS($C$9:$C$59,$L32,$J$9:$J$59,AE$8),0)</f>
        <v>0</v>
      </c>
      <c r="AF32" s="178">
        <f t="array" ref="AF32">IF(AND($L32&lt;&gt;"",AF$8&lt;&gt;""),COUNTIFS($C$9:$C$59,$L32,$J$9:$J$59,AF$8),0)</f>
        <v>0</v>
      </c>
      <c r="AG32" s="178">
        <f t="array" ref="AG32">IF(AND($L32&lt;&gt;"",AG$8&lt;&gt;""),COUNTIFS($C$9:$C$59,$L32,$J$9:$J$59,AG$8),0)</f>
        <v>0</v>
      </c>
      <c r="AH32" s="178">
        <f t="array" ref="AH32">IF(AND($L32&lt;&gt;"",AH$8&lt;&gt;""),COUNTIFS($C$9:$C$59,$L32,$J$9:$J$59,AH$8),0)</f>
        <v>0</v>
      </c>
      <c r="AI32" s="178">
        <f t="array" ref="AI32">IF(AND($L32&lt;&gt;"",AI$8&lt;&gt;""),COUNTIFS($C$9:$C$59,$L32,$J$9:$J$59,AI$8),0)</f>
        <v>0</v>
      </c>
      <c r="AJ32" s="178">
        <f t="array" ref="AJ32">IF(AND($L32&lt;&gt;"",AJ$8&lt;&gt;""),COUNTIFS($C$9:$C$59,$L32,$J$9:$J$59,AJ$8),0)</f>
        <v>0</v>
      </c>
      <c r="AK32" s="178">
        <f t="array" ref="AK32">IF(AND($L32&lt;&gt;"",AK$8&lt;&gt;""),COUNTIFS($C$9:$C$59,$L32,$J$9:$J$59,AK$8),0)</f>
        <v>0</v>
      </c>
      <c r="AL32" s="178">
        <f t="array" ref="AL32">IF(AND($L32&lt;&gt;"",AL$8&lt;&gt;""),COUNTIFS($C$9:$C$59,$L32,$J$9:$J$59,AL$8),0)</f>
        <v>0</v>
      </c>
      <c r="AM32" s="178">
        <f t="array" ref="AM32">IF(AND($L32&lt;&gt;"",AM$8&lt;&gt;""),COUNTIFS($C$9:$C$59,$L32,$J$9:$J$59,AM$8),0)</f>
        <v>0</v>
      </c>
      <c r="AN32" s="178">
        <f t="array" ref="AN32">IF(AND($L32&lt;&gt;"",AN$8&lt;&gt;""),COUNTIFS($C$9:$C$59,$L32,$J$9:$J$59,AN$8),0)</f>
        <v>0</v>
      </c>
      <c r="AO32" s="178">
        <f t="array" ref="AO32">IF(AND($L32&lt;&gt;"",AO$8&lt;&gt;""),COUNTIFS($C$9:$C$59,$L32,$J$9:$J$59,AO$8),0)</f>
        <v>0</v>
      </c>
      <c r="AP32" s="178">
        <f t="array" ref="AP32">IF(AND($L32&lt;&gt;"",AP$8&lt;&gt;""),COUNTIFS($C$9:$C$59,$L32,$J$9:$J$59,AP$8),0)</f>
        <v>0</v>
      </c>
      <c r="AQ32" s="178">
        <f t="array" ref="AQ32">IF(AND($L32&lt;&gt;"",AQ$8&lt;&gt;""),COUNTIFS($C$9:$C$59,$L32,$J$9:$J$59,AQ$8),0)</f>
        <v>0</v>
      </c>
      <c r="AR32" s="178">
        <f t="array" ref="AR32">IF(AND($L32&lt;&gt;"",AR$8&lt;&gt;""),COUNTIFS($C$9:$C$59,$L32,$J$9:$J$59,AR$8),0)</f>
        <v>0</v>
      </c>
      <c r="AS32" s="178">
        <f t="array" ref="AS32">IF(AND($L32&lt;&gt;"",AS$8&lt;&gt;""),COUNTIFS($C$9:$C$59,$L32,$J$9:$J$59,AS$8),0)</f>
        <v>0</v>
      </c>
      <c r="AT32" s="178">
        <f t="array" ref="AT32">IF(AND($L32&lt;&gt;"",AT$8&lt;&gt;""),COUNTIFS($C$9:$C$59,$L32,$J$9:$J$59,AT$8),0)</f>
        <v>0</v>
      </c>
      <c r="AU32" s="178">
        <f t="array" ref="AU32">IF(AND($L32&lt;&gt;"",AU$8&lt;&gt;""),COUNTIFS($C$9:$C$59,$L32,$J$9:$J$59,AU$8),0)</f>
        <v>0</v>
      </c>
      <c r="AV32" s="178">
        <f t="array" ref="AV32">IF(AND($L32&lt;&gt;"",AV$8&lt;&gt;""),COUNTIFS($C$9:$C$59,$L32,$J$9:$J$59,AV$8),0)</f>
        <v>0</v>
      </c>
      <c r="AW32" s="178">
        <f t="array" ref="AW32">IF(AND($L32&lt;&gt;"",AW$8&lt;&gt;""),COUNTIFS($C$9:$C$59,$L32,$J$9:$J$59,AW$8),0)</f>
        <v>0</v>
      </c>
      <c r="AX32" s="178">
        <f t="array" ref="AX32">IF(AND($L32&lt;&gt;"",AX$8&lt;&gt;""),COUNTIFS($C$9:$C$59,$L32,$J$9:$J$59,AX$8),0)</f>
        <v>0</v>
      </c>
      <c r="AY32" s="178">
        <f t="array" ref="AY32">IF(AND($L32&lt;&gt;"",AY$8&lt;&gt;""),COUNTIFS($C$9:$C$59,$L32,$J$9:$J$59,AY$8),0)</f>
        <v>0</v>
      </c>
      <c r="AZ32" s="178">
        <f t="array" ref="AZ32">IF(AND($L32&lt;&gt;"",AZ$8&lt;&gt;""),COUNTIFS($C$9:$C$59,$L32,$J$9:$J$59,AZ$8),0)</f>
        <v>0</v>
      </c>
      <c r="BA32" s="178">
        <f t="array" ref="BA32">IF(AND($L32&lt;&gt;"",BA$8&lt;&gt;""),COUNTIFS($C$9:$C$59,$L32,$J$9:$J$59,BA$8),0)</f>
        <v>0</v>
      </c>
      <c r="BB32" s="178">
        <f t="array" ref="BB32">IF(AND($L32&lt;&gt;"",BB$8&lt;&gt;""),COUNTIFS($C$9:$C$59,$L32,$J$9:$J$59,BB$8),0)</f>
        <v>0</v>
      </c>
      <c r="BC32" s="178">
        <f t="array" ref="BC32">IF(AND($L32&lt;&gt;"",BC$8&lt;&gt;""),COUNTIFS($C$9:$C$59,$L32,$J$9:$J$59,BC$8),0)</f>
        <v>0</v>
      </c>
      <c r="BD32" s="178">
        <f t="array" ref="BD32">IF(AND($L32&lt;&gt;"",BD$8&lt;&gt;""),COUNTIFS($C$9:$C$59,$L32,$J$9:$J$59,BD$8),0)</f>
        <v>0</v>
      </c>
      <c r="BE32" s="178">
        <f t="array" ref="BE32">IF(AND($L32&lt;&gt;"",BE$8&lt;&gt;""),COUNTIFS($C$9:$C$59,$L32,$J$9:$J$59,BE$8),0)</f>
        <v>0</v>
      </c>
      <c r="BF32" s="178">
        <f t="array" ref="BF32">IF(AND($L32&lt;&gt;"",BF$8&lt;&gt;""),COUNTIFS($C$9:$C$59,$L32,$J$9:$J$59,BF$8),0)</f>
        <v>0</v>
      </c>
      <c r="BG32" s="178">
        <f t="array" ref="BG32">IF(AND($L32&lt;&gt;"",BG$8&lt;&gt;""),COUNTIFS($C$9:$C$59,$L32,$J$9:$J$59,BG$8),0)</f>
        <v>0</v>
      </c>
      <c r="BH32" s="178">
        <f t="array" ref="BH32">IF(AND($L32&lt;&gt;"",BH$8&lt;&gt;""),COUNTIFS($C$9:$C$59,$L32,$J$9:$J$59,BH$8),0)</f>
        <v>0</v>
      </c>
      <c r="BI32" s="178">
        <f t="array" ref="BI32">IF(AND($L32&lt;&gt;"",BI$8&lt;&gt;""),COUNTIFS($C$9:$C$59,$L32,$J$9:$J$59,BI$8),0)</f>
        <v>0</v>
      </c>
      <c r="BJ32" s="178">
        <f t="array" ref="BJ32">IF(AND($L32&lt;&gt;"",BJ$8&lt;&gt;""),COUNTIFS($C$9:$C$59,$L32,$J$9:$J$59,BJ$8),0)</f>
        <v>0</v>
      </c>
    </row>
    <row r="33" spans="2:62" x14ac:dyDescent="0.2">
      <c r="B33" s="126" t="s">
        <v>168</v>
      </c>
      <c r="C33" s="267"/>
      <c r="D33" s="23"/>
      <c r="E33" s="128"/>
      <c r="F33" s="118"/>
      <c r="G33" s="118" t="s">
        <v>287</v>
      </c>
      <c r="H33" s="117" t="str">
        <f t="shared" si="0"/>
        <v>-</v>
      </c>
      <c r="I33" s="127"/>
      <c r="J33" s="171" t="str">
        <f t="shared" si="1"/>
        <v/>
      </c>
      <c r="L33" s="178" t="str">
        <f t="array" ref="L33">IFERROR(INDEX($C$9:$C$59,MATCH(0,COUNTIF($L$8:$L32,$C$9:$C$59),0)),"")</f>
        <v/>
      </c>
      <c r="M33" s="178">
        <f t="array" ref="M33">IF(AND($L33&lt;&gt;"",M$8&lt;&gt;""),COUNTIFS($C$9:$C$59,$L33,$J$9:$J$59,M$8),0)</f>
        <v>0</v>
      </c>
      <c r="N33" s="178">
        <f t="array" ref="N33">IF(AND($L33&lt;&gt;"",N$8&lt;&gt;""),COUNTIFS($C$9:$C$59,$L33,$J$9:$J$59,N$8),0)</f>
        <v>0</v>
      </c>
      <c r="O33" s="178">
        <f t="array" ref="O33">IF(AND($L33&lt;&gt;"",O$8&lt;&gt;""),COUNTIFS($C$9:$C$59,$L33,$J$9:$J$59,O$8),0)</f>
        <v>0</v>
      </c>
      <c r="P33" s="178">
        <f t="array" ref="P33">IF(AND($L33&lt;&gt;"",P$8&lt;&gt;""),COUNTIFS($C$9:$C$59,$L33,$J$9:$J$59,P$8),0)</f>
        <v>0</v>
      </c>
      <c r="Q33" s="178">
        <f t="array" ref="Q33">IF(AND($L33&lt;&gt;"",Q$8&lt;&gt;""),COUNTIFS($C$9:$C$59,$L33,$J$9:$J$59,Q$8),0)</f>
        <v>0</v>
      </c>
      <c r="R33" s="178">
        <f t="array" ref="R33">IF(AND($L33&lt;&gt;"",R$8&lt;&gt;""),COUNTIFS($C$9:$C$59,$L33,$J$9:$J$59,R$8),0)</f>
        <v>0</v>
      </c>
      <c r="S33" s="178">
        <f t="array" ref="S33">IF(AND($L33&lt;&gt;"",S$8&lt;&gt;""),COUNTIFS($C$9:$C$59,$L33,$J$9:$J$59,S$8),0)</f>
        <v>0</v>
      </c>
      <c r="T33" s="178">
        <f t="array" ref="T33">IF(AND($L33&lt;&gt;"",T$8&lt;&gt;""),COUNTIFS($C$9:$C$59,$L33,$J$9:$J$59,T$8),0)</f>
        <v>0</v>
      </c>
      <c r="U33" s="178">
        <f t="array" ref="U33">IF(AND($L33&lt;&gt;"",U$8&lt;&gt;""),COUNTIFS($C$9:$C$59,$L33,$J$9:$J$59,U$8),0)</f>
        <v>0</v>
      </c>
      <c r="V33" s="178">
        <f t="array" ref="V33">IF(AND($L33&lt;&gt;"",V$8&lt;&gt;""),COUNTIFS($C$9:$C$59,$L33,$J$9:$J$59,V$8),0)</f>
        <v>0</v>
      </c>
      <c r="W33" s="178">
        <f t="array" ref="W33">IF(AND($L33&lt;&gt;"",W$8&lt;&gt;""),COUNTIFS($C$9:$C$59,$L33,$J$9:$J$59,W$8),0)</f>
        <v>0</v>
      </c>
      <c r="X33" s="178">
        <f t="array" ref="X33">IF(AND($L33&lt;&gt;"",X$8&lt;&gt;""),COUNTIFS($C$9:$C$59,$L33,$J$9:$J$59,X$8),0)</f>
        <v>0</v>
      </c>
      <c r="Y33" s="178">
        <f t="array" ref="Y33">IF(AND($L33&lt;&gt;"",Y$8&lt;&gt;""),COUNTIFS($C$9:$C$59,$L33,$J$9:$J$59,Y$8),0)</f>
        <v>0</v>
      </c>
      <c r="Z33" s="178">
        <f t="array" ref="Z33">IF(AND($L33&lt;&gt;"",Z$8&lt;&gt;""),COUNTIFS($C$9:$C$59,$L33,$J$9:$J$59,Z$8),0)</f>
        <v>0</v>
      </c>
      <c r="AA33" s="178">
        <f t="array" ref="AA33">IF(AND($L33&lt;&gt;"",AA$8&lt;&gt;""),COUNTIFS($C$9:$C$59,$L33,$J$9:$J$59,AA$8),0)</f>
        <v>0</v>
      </c>
      <c r="AB33" s="178">
        <f t="array" ref="AB33">IF(AND($L33&lt;&gt;"",AB$8&lt;&gt;""),COUNTIFS($C$9:$C$59,$L33,$J$9:$J$59,AB$8),0)</f>
        <v>0</v>
      </c>
      <c r="AC33" s="178">
        <f t="array" ref="AC33">IF(AND($L33&lt;&gt;"",AC$8&lt;&gt;""),COUNTIFS($C$9:$C$59,$L33,$J$9:$J$59,AC$8),0)</f>
        <v>0</v>
      </c>
      <c r="AD33" s="178">
        <f t="array" ref="AD33">IF(AND($L33&lt;&gt;"",AD$8&lt;&gt;""),COUNTIFS($C$9:$C$59,$L33,$J$9:$J$59,AD$8),0)</f>
        <v>0</v>
      </c>
      <c r="AE33" s="178">
        <f t="array" ref="AE33">IF(AND($L33&lt;&gt;"",AE$8&lt;&gt;""),COUNTIFS($C$9:$C$59,$L33,$J$9:$J$59,AE$8),0)</f>
        <v>0</v>
      </c>
      <c r="AF33" s="178">
        <f t="array" ref="AF33">IF(AND($L33&lt;&gt;"",AF$8&lt;&gt;""),COUNTIFS($C$9:$C$59,$L33,$J$9:$J$59,AF$8),0)</f>
        <v>0</v>
      </c>
      <c r="AG33" s="178">
        <f t="array" ref="AG33">IF(AND($L33&lt;&gt;"",AG$8&lt;&gt;""),COUNTIFS($C$9:$C$59,$L33,$J$9:$J$59,AG$8),0)</f>
        <v>0</v>
      </c>
      <c r="AH33" s="178">
        <f t="array" ref="AH33">IF(AND($L33&lt;&gt;"",AH$8&lt;&gt;""),COUNTIFS($C$9:$C$59,$L33,$J$9:$J$59,AH$8),0)</f>
        <v>0</v>
      </c>
      <c r="AI33" s="178">
        <f t="array" ref="AI33">IF(AND($L33&lt;&gt;"",AI$8&lt;&gt;""),COUNTIFS($C$9:$C$59,$L33,$J$9:$J$59,AI$8),0)</f>
        <v>0</v>
      </c>
      <c r="AJ33" s="178">
        <f t="array" ref="AJ33">IF(AND($L33&lt;&gt;"",AJ$8&lt;&gt;""),COUNTIFS($C$9:$C$59,$L33,$J$9:$J$59,AJ$8),0)</f>
        <v>0</v>
      </c>
      <c r="AK33" s="178">
        <f t="array" ref="AK33">IF(AND($L33&lt;&gt;"",AK$8&lt;&gt;""),COUNTIFS($C$9:$C$59,$L33,$J$9:$J$59,AK$8),0)</f>
        <v>0</v>
      </c>
      <c r="AL33" s="178">
        <f t="array" ref="AL33">IF(AND($L33&lt;&gt;"",AL$8&lt;&gt;""),COUNTIFS($C$9:$C$59,$L33,$J$9:$J$59,AL$8),0)</f>
        <v>0</v>
      </c>
      <c r="AM33" s="178">
        <f t="array" ref="AM33">IF(AND($L33&lt;&gt;"",AM$8&lt;&gt;""),COUNTIFS($C$9:$C$59,$L33,$J$9:$J$59,AM$8),0)</f>
        <v>0</v>
      </c>
      <c r="AN33" s="178">
        <f t="array" ref="AN33">IF(AND($L33&lt;&gt;"",AN$8&lt;&gt;""),COUNTIFS($C$9:$C$59,$L33,$J$9:$J$59,AN$8),0)</f>
        <v>0</v>
      </c>
      <c r="AO33" s="178">
        <f t="array" ref="AO33">IF(AND($L33&lt;&gt;"",AO$8&lt;&gt;""),COUNTIFS($C$9:$C$59,$L33,$J$9:$J$59,AO$8),0)</f>
        <v>0</v>
      </c>
      <c r="AP33" s="178">
        <f t="array" ref="AP33">IF(AND($L33&lt;&gt;"",AP$8&lt;&gt;""),COUNTIFS($C$9:$C$59,$L33,$J$9:$J$59,AP$8),0)</f>
        <v>0</v>
      </c>
      <c r="AQ33" s="178">
        <f t="array" ref="AQ33">IF(AND($L33&lt;&gt;"",AQ$8&lt;&gt;""),COUNTIFS($C$9:$C$59,$L33,$J$9:$J$59,AQ$8),0)</f>
        <v>0</v>
      </c>
      <c r="AR33" s="178">
        <f t="array" ref="AR33">IF(AND($L33&lt;&gt;"",AR$8&lt;&gt;""),COUNTIFS($C$9:$C$59,$L33,$J$9:$J$59,AR$8),0)</f>
        <v>0</v>
      </c>
      <c r="AS33" s="178">
        <f t="array" ref="AS33">IF(AND($L33&lt;&gt;"",AS$8&lt;&gt;""),COUNTIFS($C$9:$C$59,$L33,$J$9:$J$59,AS$8),0)</f>
        <v>0</v>
      </c>
      <c r="AT33" s="178">
        <f t="array" ref="AT33">IF(AND($L33&lt;&gt;"",AT$8&lt;&gt;""),COUNTIFS($C$9:$C$59,$L33,$J$9:$J$59,AT$8),0)</f>
        <v>0</v>
      </c>
      <c r="AU33" s="178">
        <f t="array" ref="AU33">IF(AND($L33&lt;&gt;"",AU$8&lt;&gt;""),COUNTIFS($C$9:$C$59,$L33,$J$9:$J$59,AU$8),0)</f>
        <v>0</v>
      </c>
      <c r="AV33" s="178">
        <f t="array" ref="AV33">IF(AND($L33&lt;&gt;"",AV$8&lt;&gt;""),COUNTIFS($C$9:$C$59,$L33,$J$9:$J$59,AV$8),0)</f>
        <v>0</v>
      </c>
      <c r="AW33" s="178">
        <f t="array" ref="AW33">IF(AND($L33&lt;&gt;"",AW$8&lt;&gt;""),COUNTIFS($C$9:$C$59,$L33,$J$9:$J$59,AW$8),0)</f>
        <v>0</v>
      </c>
      <c r="AX33" s="178">
        <f t="array" ref="AX33">IF(AND($L33&lt;&gt;"",AX$8&lt;&gt;""),COUNTIFS($C$9:$C$59,$L33,$J$9:$J$59,AX$8),0)</f>
        <v>0</v>
      </c>
      <c r="AY33" s="178">
        <f t="array" ref="AY33">IF(AND($L33&lt;&gt;"",AY$8&lt;&gt;""),COUNTIFS($C$9:$C$59,$L33,$J$9:$J$59,AY$8),0)</f>
        <v>0</v>
      </c>
      <c r="AZ33" s="178">
        <f t="array" ref="AZ33">IF(AND($L33&lt;&gt;"",AZ$8&lt;&gt;""),COUNTIFS($C$9:$C$59,$L33,$J$9:$J$59,AZ$8),0)</f>
        <v>0</v>
      </c>
      <c r="BA33" s="178">
        <f t="array" ref="BA33">IF(AND($L33&lt;&gt;"",BA$8&lt;&gt;""),COUNTIFS($C$9:$C$59,$L33,$J$9:$J$59,BA$8),0)</f>
        <v>0</v>
      </c>
      <c r="BB33" s="178">
        <f t="array" ref="BB33">IF(AND($L33&lt;&gt;"",BB$8&lt;&gt;""),COUNTIFS($C$9:$C$59,$L33,$J$9:$J$59,BB$8),0)</f>
        <v>0</v>
      </c>
      <c r="BC33" s="178">
        <f t="array" ref="BC33">IF(AND($L33&lt;&gt;"",BC$8&lt;&gt;""),COUNTIFS($C$9:$C$59,$L33,$J$9:$J$59,BC$8),0)</f>
        <v>0</v>
      </c>
      <c r="BD33" s="178">
        <f t="array" ref="BD33">IF(AND($L33&lt;&gt;"",BD$8&lt;&gt;""),COUNTIFS($C$9:$C$59,$L33,$J$9:$J$59,BD$8),0)</f>
        <v>0</v>
      </c>
      <c r="BE33" s="178">
        <f t="array" ref="BE33">IF(AND($L33&lt;&gt;"",BE$8&lt;&gt;""),COUNTIFS($C$9:$C$59,$L33,$J$9:$J$59,BE$8),0)</f>
        <v>0</v>
      </c>
      <c r="BF33" s="178">
        <f t="array" ref="BF33">IF(AND($L33&lt;&gt;"",BF$8&lt;&gt;""),COUNTIFS($C$9:$C$59,$L33,$J$9:$J$59,BF$8),0)</f>
        <v>0</v>
      </c>
      <c r="BG33" s="178">
        <f t="array" ref="BG33">IF(AND($L33&lt;&gt;"",BG$8&lt;&gt;""),COUNTIFS($C$9:$C$59,$L33,$J$9:$J$59,BG$8),0)</f>
        <v>0</v>
      </c>
      <c r="BH33" s="178">
        <f t="array" ref="BH33">IF(AND($L33&lt;&gt;"",BH$8&lt;&gt;""),COUNTIFS($C$9:$C$59,$L33,$J$9:$J$59,BH$8),0)</f>
        <v>0</v>
      </c>
      <c r="BI33" s="178">
        <f t="array" ref="BI33">IF(AND($L33&lt;&gt;"",BI$8&lt;&gt;""),COUNTIFS($C$9:$C$59,$L33,$J$9:$J$59,BI$8),0)</f>
        <v>0</v>
      </c>
      <c r="BJ33" s="178">
        <f t="array" ref="BJ33">IF(AND($L33&lt;&gt;"",BJ$8&lt;&gt;""),COUNTIFS($C$9:$C$59,$L33,$J$9:$J$59,BJ$8),0)</f>
        <v>0</v>
      </c>
    </row>
    <row r="34" spans="2:62" x14ac:dyDescent="0.2">
      <c r="B34" s="126" t="s">
        <v>169</v>
      </c>
      <c r="C34" s="267"/>
      <c r="D34" s="23"/>
      <c r="E34" s="128"/>
      <c r="F34" s="118"/>
      <c r="G34" s="118" t="s">
        <v>287</v>
      </c>
      <c r="H34" s="117" t="str">
        <f t="shared" si="0"/>
        <v>-</v>
      </c>
      <c r="I34" s="127"/>
      <c r="J34" s="171" t="str">
        <f t="shared" si="1"/>
        <v/>
      </c>
      <c r="L34" s="178" t="str">
        <f t="array" ref="L34">IFERROR(INDEX($C$9:$C$59,MATCH(0,COUNTIF($L$8:$L33,$C$9:$C$59),0)),"")</f>
        <v/>
      </c>
      <c r="M34" s="178">
        <f t="array" ref="M34">IF(AND($L34&lt;&gt;"",M$8&lt;&gt;""),COUNTIFS($C$9:$C$59,$L34,$J$9:$J$59,M$8),0)</f>
        <v>0</v>
      </c>
      <c r="N34" s="178">
        <f t="array" ref="N34">IF(AND($L34&lt;&gt;"",N$8&lt;&gt;""),COUNTIFS($C$9:$C$59,$L34,$J$9:$J$59,N$8),0)</f>
        <v>0</v>
      </c>
      <c r="O34" s="178">
        <f t="array" ref="O34">IF(AND($L34&lt;&gt;"",O$8&lt;&gt;""),COUNTIFS($C$9:$C$59,$L34,$J$9:$J$59,O$8),0)</f>
        <v>0</v>
      </c>
      <c r="P34" s="178">
        <f t="array" ref="P34">IF(AND($L34&lt;&gt;"",P$8&lt;&gt;""),COUNTIFS($C$9:$C$59,$L34,$J$9:$J$59,P$8),0)</f>
        <v>0</v>
      </c>
      <c r="Q34" s="178">
        <f t="array" ref="Q34">IF(AND($L34&lt;&gt;"",Q$8&lt;&gt;""),COUNTIFS($C$9:$C$59,$L34,$J$9:$J$59,Q$8),0)</f>
        <v>0</v>
      </c>
      <c r="R34" s="178">
        <f t="array" ref="R34">IF(AND($L34&lt;&gt;"",R$8&lt;&gt;""),COUNTIFS($C$9:$C$59,$L34,$J$9:$J$59,R$8),0)</f>
        <v>0</v>
      </c>
      <c r="S34" s="178">
        <f t="array" ref="S34">IF(AND($L34&lt;&gt;"",S$8&lt;&gt;""),COUNTIFS($C$9:$C$59,$L34,$J$9:$J$59,S$8),0)</f>
        <v>0</v>
      </c>
      <c r="T34" s="178">
        <f t="array" ref="T34">IF(AND($L34&lt;&gt;"",T$8&lt;&gt;""),COUNTIFS($C$9:$C$59,$L34,$J$9:$J$59,T$8),0)</f>
        <v>0</v>
      </c>
      <c r="U34" s="178">
        <f t="array" ref="U34">IF(AND($L34&lt;&gt;"",U$8&lt;&gt;""),COUNTIFS($C$9:$C$59,$L34,$J$9:$J$59,U$8),0)</f>
        <v>0</v>
      </c>
      <c r="V34" s="178">
        <f t="array" ref="V34">IF(AND($L34&lt;&gt;"",V$8&lt;&gt;""),COUNTIFS($C$9:$C$59,$L34,$J$9:$J$59,V$8),0)</f>
        <v>0</v>
      </c>
      <c r="W34" s="178">
        <f t="array" ref="W34">IF(AND($L34&lt;&gt;"",W$8&lt;&gt;""),COUNTIFS($C$9:$C$59,$L34,$J$9:$J$59,W$8),0)</f>
        <v>0</v>
      </c>
      <c r="X34" s="178">
        <f t="array" ref="X34">IF(AND($L34&lt;&gt;"",X$8&lt;&gt;""),COUNTIFS($C$9:$C$59,$L34,$J$9:$J$59,X$8),0)</f>
        <v>0</v>
      </c>
      <c r="Y34" s="178">
        <f t="array" ref="Y34">IF(AND($L34&lt;&gt;"",Y$8&lt;&gt;""),COUNTIFS($C$9:$C$59,$L34,$J$9:$J$59,Y$8),0)</f>
        <v>0</v>
      </c>
      <c r="Z34" s="178">
        <f t="array" ref="Z34">IF(AND($L34&lt;&gt;"",Z$8&lt;&gt;""),COUNTIFS($C$9:$C$59,$L34,$J$9:$J$59,Z$8),0)</f>
        <v>0</v>
      </c>
      <c r="AA34" s="178">
        <f t="array" ref="AA34">IF(AND($L34&lt;&gt;"",AA$8&lt;&gt;""),COUNTIFS($C$9:$C$59,$L34,$J$9:$J$59,AA$8),0)</f>
        <v>0</v>
      </c>
      <c r="AB34" s="178">
        <f t="array" ref="AB34">IF(AND($L34&lt;&gt;"",AB$8&lt;&gt;""),COUNTIFS($C$9:$C$59,$L34,$J$9:$J$59,AB$8),0)</f>
        <v>0</v>
      </c>
      <c r="AC34" s="178">
        <f t="array" ref="AC34">IF(AND($L34&lt;&gt;"",AC$8&lt;&gt;""),COUNTIFS($C$9:$C$59,$L34,$J$9:$J$59,AC$8),0)</f>
        <v>0</v>
      </c>
      <c r="AD34" s="178">
        <f t="array" ref="AD34">IF(AND($L34&lt;&gt;"",AD$8&lt;&gt;""),COUNTIFS($C$9:$C$59,$L34,$J$9:$J$59,AD$8),0)</f>
        <v>0</v>
      </c>
      <c r="AE34" s="178">
        <f t="array" ref="AE34">IF(AND($L34&lt;&gt;"",AE$8&lt;&gt;""),COUNTIFS($C$9:$C$59,$L34,$J$9:$J$59,AE$8),0)</f>
        <v>0</v>
      </c>
      <c r="AF34" s="178">
        <f t="array" ref="AF34">IF(AND($L34&lt;&gt;"",AF$8&lt;&gt;""),COUNTIFS($C$9:$C$59,$L34,$J$9:$J$59,AF$8),0)</f>
        <v>0</v>
      </c>
      <c r="AG34" s="178">
        <f t="array" ref="AG34">IF(AND($L34&lt;&gt;"",AG$8&lt;&gt;""),COUNTIFS($C$9:$C$59,$L34,$J$9:$J$59,AG$8),0)</f>
        <v>0</v>
      </c>
      <c r="AH34" s="178">
        <f t="array" ref="AH34">IF(AND($L34&lt;&gt;"",AH$8&lt;&gt;""),COUNTIFS($C$9:$C$59,$L34,$J$9:$J$59,AH$8),0)</f>
        <v>0</v>
      </c>
      <c r="AI34" s="178">
        <f t="array" ref="AI34">IF(AND($L34&lt;&gt;"",AI$8&lt;&gt;""),COUNTIFS($C$9:$C$59,$L34,$J$9:$J$59,AI$8),0)</f>
        <v>0</v>
      </c>
      <c r="AJ34" s="178">
        <f t="array" ref="AJ34">IF(AND($L34&lt;&gt;"",AJ$8&lt;&gt;""),COUNTIFS($C$9:$C$59,$L34,$J$9:$J$59,AJ$8),0)</f>
        <v>0</v>
      </c>
      <c r="AK34" s="178">
        <f t="array" ref="AK34">IF(AND($L34&lt;&gt;"",AK$8&lt;&gt;""),COUNTIFS($C$9:$C$59,$L34,$J$9:$J$59,AK$8),0)</f>
        <v>0</v>
      </c>
      <c r="AL34" s="178">
        <f t="array" ref="AL34">IF(AND($L34&lt;&gt;"",AL$8&lt;&gt;""),COUNTIFS($C$9:$C$59,$L34,$J$9:$J$59,AL$8),0)</f>
        <v>0</v>
      </c>
      <c r="AM34" s="178">
        <f t="array" ref="AM34">IF(AND($L34&lt;&gt;"",AM$8&lt;&gt;""),COUNTIFS($C$9:$C$59,$L34,$J$9:$J$59,AM$8),0)</f>
        <v>0</v>
      </c>
      <c r="AN34" s="178">
        <f t="array" ref="AN34">IF(AND($L34&lt;&gt;"",AN$8&lt;&gt;""),COUNTIFS($C$9:$C$59,$L34,$J$9:$J$59,AN$8),0)</f>
        <v>0</v>
      </c>
      <c r="AO34" s="178">
        <f t="array" ref="AO34">IF(AND($L34&lt;&gt;"",AO$8&lt;&gt;""),COUNTIFS($C$9:$C$59,$L34,$J$9:$J$59,AO$8),0)</f>
        <v>0</v>
      </c>
      <c r="AP34" s="178">
        <f t="array" ref="AP34">IF(AND($L34&lt;&gt;"",AP$8&lt;&gt;""),COUNTIFS($C$9:$C$59,$L34,$J$9:$J$59,AP$8),0)</f>
        <v>0</v>
      </c>
      <c r="AQ34" s="178">
        <f t="array" ref="AQ34">IF(AND($L34&lt;&gt;"",AQ$8&lt;&gt;""),COUNTIFS($C$9:$C$59,$L34,$J$9:$J$59,AQ$8),0)</f>
        <v>0</v>
      </c>
      <c r="AR34" s="178">
        <f t="array" ref="AR34">IF(AND($L34&lt;&gt;"",AR$8&lt;&gt;""),COUNTIFS($C$9:$C$59,$L34,$J$9:$J$59,AR$8),0)</f>
        <v>0</v>
      </c>
      <c r="AS34" s="178">
        <f t="array" ref="AS34">IF(AND($L34&lt;&gt;"",AS$8&lt;&gt;""),COUNTIFS($C$9:$C$59,$L34,$J$9:$J$59,AS$8),0)</f>
        <v>0</v>
      </c>
      <c r="AT34" s="178">
        <f t="array" ref="AT34">IF(AND($L34&lt;&gt;"",AT$8&lt;&gt;""),COUNTIFS($C$9:$C$59,$L34,$J$9:$J$59,AT$8),0)</f>
        <v>0</v>
      </c>
      <c r="AU34" s="178">
        <f t="array" ref="AU34">IF(AND($L34&lt;&gt;"",AU$8&lt;&gt;""),COUNTIFS($C$9:$C$59,$L34,$J$9:$J$59,AU$8),0)</f>
        <v>0</v>
      </c>
      <c r="AV34" s="178">
        <f t="array" ref="AV34">IF(AND($L34&lt;&gt;"",AV$8&lt;&gt;""),COUNTIFS($C$9:$C$59,$L34,$J$9:$J$59,AV$8),0)</f>
        <v>0</v>
      </c>
      <c r="AW34" s="178">
        <f t="array" ref="AW34">IF(AND($L34&lt;&gt;"",AW$8&lt;&gt;""),COUNTIFS($C$9:$C$59,$L34,$J$9:$J$59,AW$8),0)</f>
        <v>0</v>
      </c>
      <c r="AX34" s="178">
        <f t="array" ref="AX34">IF(AND($L34&lt;&gt;"",AX$8&lt;&gt;""),COUNTIFS($C$9:$C$59,$L34,$J$9:$J$59,AX$8),0)</f>
        <v>0</v>
      </c>
      <c r="AY34" s="178">
        <f t="array" ref="AY34">IF(AND($L34&lt;&gt;"",AY$8&lt;&gt;""),COUNTIFS($C$9:$C$59,$L34,$J$9:$J$59,AY$8),0)</f>
        <v>0</v>
      </c>
      <c r="AZ34" s="178">
        <f t="array" ref="AZ34">IF(AND($L34&lt;&gt;"",AZ$8&lt;&gt;""),COUNTIFS($C$9:$C$59,$L34,$J$9:$J$59,AZ$8),0)</f>
        <v>0</v>
      </c>
      <c r="BA34" s="178">
        <f t="array" ref="BA34">IF(AND($L34&lt;&gt;"",BA$8&lt;&gt;""),COUNTIFS($C$9:$C$59,$L34,$J$9:$J$59,BA$8),0)</f>
        <v>0</v>
      </c>
      <c r="BB34" s="178">
        <f t="array" ref="BB34">IF(AND($L34&lt;&gt;"",BB$8&lt;&gt;""),COUNTIFS($C$9:$C$59,$L34,$J$9:$J$59,BB$8),0)</f>
        <v>0</v>
      </c>
      <c r="BC34" s="178">
        <f t="array" ref="BC34">IF(AND($L34&lt;&gt;"",BC$8&lt;&gt;""),COUNTIFS($C$9:$C$59,$L34,$J$9:$J$59,BC$8),0)</f>
        <v>0</v>
      </c>
      <c r="BD34" s="178">
        <f t="array" ref="BD34">IF(AND($L34&lt;&gt;"",BD$8&lt;&gt;""),COUNTIFS($C$9:$C$59,$L34,$J$9:$J$59,BD$8),0)</f>
        <v>0</v>
      </c>
      <c r="BE34" s="178">
        <f t="array" ref="BE34">IF(AND($L34&lt;&gt;"",BE$8&lt;&gt;""),COUNTIFS($C$9:$C$59,$L34,$J$9:$J$59,BE$8),0)</f>
        <v>0</v>
      </c>
      <c r="BF34" s="178">
        <f t="array" ref="BF34">IF(AND($L34&lt;&gt;"",BF$8&lt;&gt;""),COUNTIFS($C$9:$C$59,$L34,$J$9:$J$59,BF$8),0)</f>
        <v>0</v>
      </c>
      <c r="BG34" s="178">
        <f t="array" ref="BG34">IF(AND($L34&lt;&gt;"",BG$8&lt;&gt;""),COUNTIFS($C$9:$C$59,$L34,$J$9:$J$59,BG$8),0)</f>
        <v>0</v>
      </c>
      <c r="BH34" s="178">
        <f t="array" ref="BH34">IF(AND($L34&lt;&gt;"",BH$8&lt;&gt;""),COUNTIFS($C$9:$C$59,$L34,$J$9:$J$59,BH$8),0)</f>
        <v>0</v>
      </c>
      <c r="BI34" s="178">
        <f t="array" ref="BI34">IF(AND($L34&lt;&gt;"",BI$8&lt;&gt;""),COUNTIFS($C$9:$C$59,$L34,$J$9:$J$59,BI$8),0)</f>
        <v>0</v>
      </c>
      <c r="BJ34" s="178">
        <f t="array" ref="BJ34">IF(AND($L34&lt;&gt;"",BJ$8&lt;&gt;""),COUNTIFS($C$9:$C$59,$L34,$J$9:$J$59,BJ$8),0)</f>
        <v>0</v>
      </c>
    </row>
    <row r="35" spans="2:62" x14ac:dyDescent="0.2">
      <c r="B35" s="126" t="s">
        <v>170</v>
      </c>
      <c r="C35" s="267"/>
      <c r="D35" s="23"/>
      <c r="E35" s="128"/>
      <c r="F35" s="118"/>
      <c r="G35" s="118" t="s">
        <v>287</v>
      </c>
      <c r="H35" s="117" t="str">
        <f t="shared" si="0"/>
        <v>-</v>
      </c>
      <c r="I35" s="127"/>
      <c r="J35" s="171" t="str">
        <f t="shared" si="1"/>
        <v/>
      </c>
      <c r="L35" s="178" t="str">
        <f t="array" ref="L35">IFERROR(INDEX($C$9:$C$59,MATCH(0,COUNTIF($L$8:$L34,$C$9:$C$59),0)),"")</f>
        <v/>
      </c>
      <c r="M35" s="178">
        <f t="array" ref="M35">IF(AND($L35&lt;&gt;"",M$8&lt;&gt;""),COUNTIFS($C$9:$C$59,$L35,$J$9:$J$59,M$8),0)</f>
        <v>0</v>
      </c>
      <c r="N35" s="178">
        <f t="array" ref="N35">IF(AND($L35&lt;&gt;"",N$8&lt;&gt;""),COUNTIFS($C$9:$C$59,$L35,$J$9:$J$59,N$8),0)</f>
        <v>0</v>
      </c>
      <c r="O35" s="178">
        <f t="array" ref="O35">IF(AND($L35&lt;&gt;"",O$8&lt;&gt;""),COUNTIFS($C$9:$C$59,$L35,$J$9:$J$59,O$8),0)</f>
        <v>0</v>
      </c>
      <c r="P35" s="178">
        <f t="array" ref="P35">IF(AND($L35&lt;&gt;"",P$8&lt;&gt;""),COUNTIFS($C$9:$C$59,$L35,$J$9:$J$59,P$8),0)</f>
        <v>0</v>
      </c>
      <c r="Q35" s="178">
        <f t="array" ref="Q35">IF(AND($L35&lt;&gt;"",Q$8&lt;&gt;""),COUNTIFS($C$9:$C$59,$L35,$J$9:$J$59,Q$8),0)</f>
        <v>0</v>
      </c>
      <c r="R35" s="178">
        <f t="array" ref="R35">IF(AND($L35&lt;&gt;"",R$8&lt;&gt;""),COUNTIFS($C$9:$C$59,$L35,$J$9:$J$59,R$8),0)</f>
        <v>0</v>
      </c>
      <c r="S35" s="178">
        <f t="array" ref="S35">IF(AND($L35&lt;&gt;"",S$8&lt;&gt;""),COUNTIFS($C$9:$C$59,$L35,$J$9:$J$59,S$8),0)</f>
        <v>0</v>
      </c>
      <c r="T35" s="178">
        <f t="array" ref="T35">IF(AND($L35&lt;&gt;"",T$8&lt;&gt;""),COUNTIFS($C$9:$C$59,$L35,$J$9:$J$59,T$8),0)</f>
        <v>0</v>
      </c>
      <c r="U35" s="178">
        <f t="array" ref="U35">IF(AND($L35&lt;&gt;"",U$8&lt;&gt;""),COUNTIFS($C$9:$C$59,$L35,$J$9:$J$59,U$8),0)</f>
        <v>0</v>
      </c>
      <c r="V35" s="178">
        <f t="array" ref="V35">IF(AND($L35&lt;&gt;"",V$8&lt;&gt;""),COUNTIFS($C$9:$C$59,$L35,$J$9:$J$59,V$8),0)</f>
        <v>0</v>
      </c>
      <c r="W35" s="178">
        <f t="array" ref="W35">IF(AND($L35&lt;&gt;"",W$8&lt;&gt;""),COUNTIFS($C$9:$C$59,$L35,$J$9:$J$59,W$8),0)</f>
        <v>0</v>
      </c>
      <c r="X35" s="178">
        <f t="array" ref="X35">IF(AND($L35&lt;&gt;"",X$8&lt;&gt;""),COUNTIFS($C$9:$C$59,$L35,$J$9:$J$59,X$8),0)</f>
        <v>0</v>
      </c>
      <c r="Y35" s="178">
        <f t="array" ref="Y35">IF(AND($L35&lt;&gt;"",Y$8&lt;&gt;""),COUNTIFS($C$9:$C$59,$L35,$J$9:$J$59,Y$8),0)</f>
        <v>0</v>
      </c>
      <c r="Z35" s="178">
        <f t="array" ref="Z35">IF(AND($L35&lt;&gt;"",Z$8&lt;&gt;""),COUNTIFS($C$9:$C$59,$L35,$J$9:$J$59,Z$8),0)</f>
        <v>0</v>
      </c>
      <c r="AA35" s="178">
        <f t="array" ref="AA35">IF(AND($L35&lt;&gt;"",AA$8&lt;&gt;""),COUNTIFS($C$9:$C$59,$L35,$J$9:$J$59,AA$8),0)</f>
        <v>0</v>
      </c>
      <c r="AB35" s="178">
        <f t="array" ref="AB35">IF(AND($L35&lt;&gt;"",AB$8&lt;&gt;""),COUNTIFS($C$9:$C$59,$L35,$J$9:$J$59,AB$8),0)</f>
        <v>0</v>
      </c>
      <c r="AC35" s="178">
        <f t="array" ref="AC35">IF(AND($L35&lt;&gt;"",AC$8&lt;&gt;""),COUNTIFS($C$9:$C$59,$L35,$J$9:$J$59,AC$8),0)</f>
        <v>0</v>
      </c>
      <c r="AD35" s="178">
        <f t="array" ref="AD35">IF(AND($L35&lt;&gt;"",AD$8&lt;&gt;""),COUNTIFS($C$9:$C$59,$L35,$J$9:$J$59,AD$8),0)</f>
        <v>0</v>
      </c>
      <c r="AE35" s="178">
        <f t="array" ref="AE35">IF(AND($L35&lt;&gt;"",AE$8&lt;&gt;""),COUNTIFS($C$9:$C$59,$L35,$J$9:$J$59,AE$8),0)</f>
        <v>0</v>
      </c>
      <c r="AF35" s="178">
        <f t="array" ref="AF35">IF(AND($L35&lt;&gt;"",AF$8&lt;&gt;""),COUNTIFS($C$9:$C$59,$L35,$J$9:$J$59,AF$8),0)</f>
        <v>0</v>
      </c>
      <c r="AG35" s="178">
        <f t="array" ref="AG35">IF(AND($L35&lt;&gt;"",AG$8&lt;&gt;""),COUNTIFS($C$9:$C$59,$L35,$J$9:$J$59,AG$8),0)</f>
        <v>0</v>
      </c>
      <c r="AH35" s="178">
        <f t="array" ref="AH35">IF(AND($L35&lt;&gt;"",AH$8&lt;&gt;""),COUNTIFS($C$9:$C$59,$L35,$J$9:$J$59,AH$8),0)</f>
        <v>0</v>
      </c>
      <c r="AI35" s="178">
        <f t="array" ref="AI35">IF(AND($L35&lt;&gt;"",AI$8&lt;&gt;""),COUNTIFS($C$9:$C$59,$L35,$J$9:$J$59,AI$8),0)</f>
        <v>0</v>
      </c>
      <c r="AJ35" s="178">
        <f t="array" ref="AJ35">IF(AND($L35&lt;&gt;"",AJ$8&lt;&gt;""),COUNTIFS($C$9:$C$59,$L35,$J$9:$J$59,AJ$8),0)</f>
        <v>0</v>
      </c>
      <c r="AK35" s="178">
        <f t="array" ref="AK35">IF(AND($L35&lt;&gt;"",AK$8&lt;&gt;""),COUNTIFS($C$9:$C$59,$L35,$J$9:$J$59,AK$8),0)</f>
        <v>0</v>
      </c>
      <c r="AL35" s="178">
        <f t="array" ref="AL35">IF(AND($L35&lt;&gt;"",AL$8&lt;&gt;""),COUNTIFS($C$9:$C$59,$L35,$J$9:$J$59,AL$8),0)</f>
        <v>0</v>
      </c>
      <c r="AM35" s="178">
        <f t="array" ref="AM35">IF(AND($L35&lt;&gt;"",AM$8&lt;&gt;""),COUNTIFS($C$9:$C$59,$L35,$J$9:$J$59,AM$8),0)</f>
        <v>0</v>
      </c>
      <c r="AN35" s="178">
        <f t="array" ref="AN35">IF(AND($L35&lt;&gt;"",AN$8&lt;&gt;""),COUNTIFS($C$9:$C$59,$L35,$J$9:$J$59,AN$8),0)</f>
        <v>0</v>
      </c>
      <c r="AO35" s="178">
        <f t="array" ref="AO35">IF(AND($L35&lt;&gt;"",AO$8&lt;&gt;""),COUNTIFS($C$9:$C$59,$L35,$J$9:$J$59,AO$8),0)</f>
        <v>0</v>
      </c>
      <c r="AP35" s="178">
        <f t="array" ref="AP35">IF(AND($L35&lt;&gt;"",AP$8&lt;&gt;""),COUNTIFS($C$9:$C$59,$L35,$J$9:$J$59,AP$8),0)</f>
        <v>0</v>
      </c>
      <c r="AQ35" s="178">
        <f t="array" ref="AQ35">IF(AND($L35&lt;&gt;"",AQ$8&lt;&gt;""),COUNTIFS($C$9:$C$59,$L35,$J$9:$J$59,AQ$8),0)</f>
        <v>0</v>
      </c>
      <c r="AR35" s="178">
        <f t="array" ref="AR35">IF(AND($L35&lt;&gt;"",AR$8&lt;&gt;""),COUNTIFS($C$9:$C$59,$L35,$J$9:$J$59,AR$8),0)</f>
        <v>0</v>
      </c>
      <c r="AS35" s="178">
        <f t="array" ref="AS35">IF(AND($L35&lt;&gt;"",AS$8&lt;&gt;""),COUNTIFS($C$9:$C$59,$L35,$J$9:$J$59,AS$8),0)</f>
        <v>0</v>
      </c>
      <c r="AT35" s="178">
        <f t="array" ref="AT35">IF(AND($L35&lt;&gt;"",AT$8&lt;&gt;""),COUNTIFS($C$9:$C$59,$L35,$J$9:$J$59,AT$8),0)</f>
        <v>0</v>
      </c>
      <c r="AU35" s="178">
        <f t="array" ref="AU35">IF(AND($L35&lt;&gt;"",AU$8&lt;&gt;""),COUNTIFS($C$9:$C$59,$L35,$J$9:$J$59,AU$8),0)</f>
        <v>0</v>
      </c>
      <c r="AV35" s="178">
        <f t="array" ref="AV35">IF(AND($L35&lt;&gt;"",AV$8&lt;&gt;""),COUNTIFS($C$9:$C$59,$L35,$J$9:$J$59,AV$8),0)</f>
        <v>0</v>
      </c>
      <c r="AW35" s="178">
        <f t="array" ref="AW35">IF(AND($L35&lt;&gt;"",AW$8&lt;&gt;""),COUNTIFS($C$9:$C$59,$L35,$J$9:$J$59,AW$8),0)</f>
        <v>0</v>
      </c>
      <c r="AX35" s="178">
        <f t="array" ref="AX35">IF(AND($L35&lt;&gt;"",AX$8&lt;&gt;""),COUNTIFS($C$9:$C$59,$L35,$J$9:$J$59,AX$8),0)</f>
        <v>0</v>
      </c>
      <c r="AY35" s="178">
        <f t="array" ref="AY35">IF(AND($L35&lt;&gt;"",AY$8&lt;&gt;""),COUNTIFS($C$9:$C$59,$L35,$J$9:$J$59,AY$8),0)</f>
        <v>0</v>
      </c>
      <c r="AZ35" s="178">
        <f t="array" ref="AZ35">IF(AND($L35&lt;&gt;"",AZ$8&lt;&gt;""),COUNTIFS($C$9:$C$59,$L35,$J$9:$J$59,AZ$8),0)</f>
        <v>0</v>
      </c>
      <c r="BA35" s="178">
        <f t="array" ref="BA35">IF(AND($L35&lt;&gt;"",BA$8&lt;&gt;""),COUNTIFS($C$9:$C$59,$L35,$J$9:$J$59,BA$8),0)</f>
        <v>0</v>
      </c>
      <c r="BB35" s="178">
        <f t="array" ref="BB35">IF(AND($L35&lt;&gt;"",BB$8&lt;&gt;""),COUNTIFS($C$9:$C$59,$L35,$J$9:$J$59,BB$8),0)</f>
        <v>0</v>
      </c>
      <c r="BC35" s="178">
        <f t="array" ref="BC35">IF(AND($L35&lt;&gt;"",BC$8&lt;&gt;""),COUNTIFS($C$9:$C$59,$L35,$J$9:$J$59,BC$8),0)</f>
        <v>0</v>
      </c>
      <c r="BD35" s="178">
        <f t="array" ref="BD35">IF(AND($L35&lt;&gt;"",BD$8&lt;&gt;""),COUNTIFS($C$9:$C$59,$L35,$J$9:$J$59,BD$8),0)</f>
        <v>0</v>
      </c>
      <c r="BE35" s="178">
        <f t="array" ref="BE35">IF(AND($L35&lt;&gt;"",BE$8&lt;&gt;""),COUNTIFS($C$9:$C$59,$L35,$J$9:$J$59,BE$8),0)</f>
        <v>0</v>
      </c>
      <c r="BF35" s="178">
        <f t="array" ref="BF35">IF(AND($L35&lt;&gt;"",BF$8&lt;&gt;""),COUNTIFS($C$9:$C$59,$L35,$J$9:$J$59,BF$8),0)</f>
        <v>0</v>
      </c>
      <c r="BG35" s="178">
        <f t="array" ref="BG35">IF(AND($L35&lt;&gt;"",BG$8&lt;&gt;""),COUNTIFS($C$9:$C$59,$L35,$J$9:$J$59,BG$8),0)</f>
        <v>0</v>
      </c>
      <c r="BH35" s="178">
        <f t="array" ref="BH35">IF(AND($L35&lt;&gt;"",BH$8&lt;&gt;""),COUNTIFS($C$9:$C$59,$L35,$J$9:$J$59,BH$8),0)</f>
        <v>0</v>
      </c>
      <c r="BI35" s="178">
        <f t="array" ref="BI35">IF(AND($L35&lt;&gt;"",BI$8&lt;&gt;""),COUNTIFS($C$9:$C$59,$L35,$J$9:$J$59,BI$8),0)</f>
        <v>0</v>
      </c>
      <c r="BJ35" s="178">
        <f t="array" ref="BJ35">IF(AND($L35&lt;&gt;"",BJ$8&lt;&gt;""),COUNTIFS($C$9:$C$59,$L35,$J$9:$J$59,BJ$8),0)</f>
        <v>0</v>
      </c>
    </row>
    <row r="36" spans="2:62" x14ac:dyDescent="0.2">
      <c r="B36" s="126" t="s">
        <v>171</v>
      </c>
      <c r="C36" s="267"/>
      <c r="D36" s="23"/>
      <c r="E36" s="128"/>
      <c r="F36" s="118"/>
      <c r="G36" s="118" t="s">
        <v>287</v>
      </c>
      <c r="H36" s="117" t="str">
        <f t="shared" si="0"/>
        <v>-</v>
      </c>
      <c r="I36" s="127"/>
      <c r="J36" s="171" t="str">
        <f t="shared" si="1"/>
        <v/>
      </c>
      <c r="L36" s="178" t="str">
        <f t="array" ref="L36">IFERROR(INDEX($C$9:$C$59,MATCH(0,COUNTIF($L$8:$L35,$C$9:$C$59),0)),"")</f>
        <v/>
      </c>
      <c r="M36" s="178">
        <f t="array" ref="M36">IF(AND($L36&lt;&gt;"",M$8&lt;&gt;""),COUNTIFS($C$9:$C$59,$L36,$J$9:$J$59,M$8),0)</f>
        <v>0</v>
      </c>
      <c r="N36" s="178">
        <f t="array" ref="N36">IF(AND($L36&lt;&gt;"",N$8&lt;&gt;""),COUNTIFS($C$9:$C$59,$L36,$J$9:$J$59,N$8),0)</f>
        <v>0</v>
      </c>
      <c r="O36" s="178">
        <f t="array" ref="O36">IF(AND($L36&lt;&gt;"",O$8&lt;&gt;""),COUNTIFS($C$9:$C$59,$L36,$J$9:$J$59,O$8),0)</f>
        <v>0</v>
      </c>
      <c r="P36" s="178">
        <f t="array" ref="P36">IF(AND($L36&lt;&gt;"",P$8&lt;&gt;""),COUNTIFS($C$9:$C$59,$L36,$J$9:$J$59,P$8),0)</f>
        <v>0</v>
      </c>
      <c r="Q36" s="178">
        <f t="array" ref="Q36">IF(AND($L36&lt;&gt;"",Q$8&lt;&gt;""),COUNTIFS($C$9:$C$59,$L36,$J$9:$J$59,Q$8),0)</f>
        <v>0</v>
      </c>
      <c r="R36" s="178">
        <f t="array" ref="R36">IF(AND($L36&lt;&gt;"",R$8&lt;&gt;""),COUNTIFS($C$9:$C$59,$L36,$J$9:$J$59,R$8),0)</f>
        <v>0</v>
      </c>
      <c r="S36" s="178">
        <f t="array" ref="S36">IF(AND($L36&lt;&gt;"",S$8&lt;&gt;""),COUNTIFS($C$9:$C$59,$L36,$J$9:$J$59,S$8),0)</f>
        <v>0</v>
      </c>
      <c r="T36" s="178">
        <f t="array" ref="T36">IF(AND($L36&lt;&gt;"",T$8&lt;&gt;""),COUNTIFS($C$9:$C$59,$L36,$J$9:$J$59,T$8),0)</f>
        <v>0</v>
      </c>
      <c r="U36" s="178">
        <f t="array" ref="U36">IF(AND($L36&lt;&gt;"",U$8&lt;&gt;""),COUNTIFS($C$9:$C$59,$L36,$J$9:$J$59,U$8),0)</f>
        <v>0</v>
      </c>
      <c r="V36" s="178">
        <f t="array" ref="V36">IF(AND($L36&lt;&gt;"",V$8&lt;&gt;""),COUNTIFS($C$9:$C$59,$L36,$J$9:$J$59,V$8),0)</f>
        <v>0</v>
      </c>
      <c r="W36" s="178">
        <f t="array" ref="W36">IF(AND($L36&lt;&gt;"",W$8&lt;&gt;""),COUNTIFS($C$9:$C$59,$L36,$J$9:$J$59,W$8),0)</f>
        <v>0</v>
      </c>
      <c r="X36" s="178">
        <f t="array" ref="X36">IF(AND($L36&lt;&gt;"",X$8&lt;&gt;""),COUNTIFS($C$9:$C$59,$L36,$J$9:$J$59,X$8),0)</f>
        <v>0</v>
      </c>
      <c r="Y36" s="178">
        <f t="array" ref="Y36">IF(AND($L36&lt;&gt;"",Y$8&lt;&gt;""),COUNTIFS($C$9:$C$59,$L36,$J$9:$J$59,Y$8),0)</f>
        <v>0</v>
      </c>
      <c r="Z36" s="178">
        <f t="array" ref="Z36">IF(AND($L36&lt;&gt;"",Z$8&lt;&gt;""),COUNTIFS($C$9:$C$59,$L36,$J$9:$J$59,Z$8),0)</f>
        <v>0</v>
      </c>
      <c r="AA36" s="178">
        <f t="array" ref="AA36">IF(AND($L36&lt;&gt;"",AA$8&lt;&gt;""),COUNTIFS($C$9:$C$59,$L36,$J$9:$J$59,AA$8),0)</f>
        <v>0</v>
      </c>
      <c r="AB36" s="178">
        <f t="array" ref="AB36">IF(AND($L36&lt;&gt;"",AB$8&lt;&gt;""),COUNTIFS($C$9:$C$59,$L36,$J$9:$J$59,AB$8),0)</f>
        <v>0</v>
      </c>
      <c r="AC36" s="178">
        <f t="array" ref="AC36">IF(AND($L36&lt;&gt;"",AC$8&lt;&gt;""),COUNTIFS($C$9:$C$59,$L36,$J$9:$J$59,AC$8),0)</f>
        <v>0</v>
      </c>
      <c r="AD36" s="178">
        <f t="array" ref="AD36">IF(AND($L36&lt;&gt;"",AD$8&lt;&gt;""),COUNTIFS($C$9:$C$59,$L36,$J$9:$J$59,AD$8),0)</f>
        <v>0</v>
      </c>
      <c r="AE36" s="178">
        <f t="array" ref="AE36">IF(AND($L36&lt;&gt;"",AE$8&lt;&gt;""),COUNTIFS($C$9:$C$59,$L36,$J$9:$J$59,AE$8),0)</f>
        <v>0</v>
      </c>
      <c r="AF36" s="178">
        <f t="array" ref="AF36">IF(AND($L36&lt;&gt;"",AF$8&lt;&gt;""),COUNTIFS($C$9:$C$59,$L36,$J$9:$J$59,AF$8),0)</f>
        <v>0</v>
      </c>
      <c r="AG36" s="178">
        <f t="array" ref="AG36">IF(AND($L36&lt;&gt;"",AG$8&lt;&gt;""),COUNTIFS($C$9:$C$59,$L36,$J$9:$J$59,AG$8),0)</f>
        <v>0</v>
      </c>
      <c r="AH36" s="178">
        <f t="array" ref="AH36">IF(AND($L36&lt;&gt;"",AH$8&lt;&gt;""),COUNTIFS($C$9:$C$59,$L36,$J$9:$J$59,AH$8),0)</f>
        <v>0</v>
      </c>
      <c r="AI36" s="178">
        <f t="array" ref="AI36">IF(AND($L36&lt;&gt;"",AI$8&lt;&gt;""),COUNTIFS($C$9:$C$59,$L36,$J$9:$J$59,AI$8),0)</f>
        <v>0</v>
      </c>
      <c r="AJ36" s="178">
        <f t="array" ref="AJ36">IF(AND($L36&lt;&gt;"",AJ$8&lt;&gt;""),COUNTIFS($C$9:$C$59,$L36,$J$9:$J$59,AJ$8),0)</f>
        <v>0</v>
      </c>
      <c r="AK36" s="178">
        <f t="array" ref="AK36">IF(AND($L36&lt;&gt;"",AK$8&lt;&gt;""),COUNTIFS($C$9:$C$59,$L36,$J$9:$J$59,AK$8),0)</f>
        <v>0</v>
      </c>
      <c r="AL36" s="178">
        <f t="array" ref="AL36">IF(AND($L36&lt;&gt;"",AL$8&lt;&gt;""),COUNTIFS($C$9:$C$59,$L36,$J$9:$J$59,AL$8),0)</f>
        <v>0</v>
      </c>
      <c r="AM36" s="178">
        <f t="array" ref="AM36">IF(AND($L36&lt;&gt;"",AM$8&lt;&gt;""),COUNTIFS($C$9:$C$59,$L36,$J$9:$J$59,AM$8),0)</f>
        <v>0</v>
      </c>
      <c r="AN36" s="178">
        <f t="array" ref="AN36">IF(AND($L36&lt;&gt;"",AN$8&lt;&gt;""),COUNTIFS($C$9:$C$59,$L36,$J$9:$J$59,AN$8),0)</f>
        <v>0</v>
      </c>
      <c r="AO36" s="178">
        <f t="array" ref="AO36">IF(AND($L36&lt;&gt;"",AO$8&lt;&gt;""),COUNTIFS($C$9:$C$59,$L36,$J$9:$J$59,AO$8),0)</f>
        <v>0</v>
      </c>
      <c r="AP36" s="178">
        <f t="array" ref="AP36">IF(AND($L36&lt;&gt;"",AP$8&lt;&gt;""),COUNTIFS($C$9:$C$59,$L36,$J$9:$J$59,AP$8),0)</f>
        <v>0</v>
      </c>
      <c r="AQ36" s="178">
        <f t="array" ref="AQ36">IF(AND($L36&lt;&gt;"",AQ$8&lt;&gt;""),COUNTIFS($C$9:$C$59,$L36,$J$9:$J$59,AQ$8),0)</f>
        <v>0</v>
      </c>
      <c r="AR36" s="178">
        <f t="array" ref="AR36">IF(AND($L36&lt;&gt;"",AR$8&lt;&gt;""),COUNTIFS($C$9:$C$59,$L36,$J$9:$J$59,AR$8),0)</f>
        <v>0</v>
      </c>
      <c r="AS36" s="178">
        <f t="array" ref="AS36">IF(AND($L36&lt;&gt;"",AS$8&lt;&gt;""),COUNTIFS($C$9:$C$59,$L36,$J$9:$J$59,AS$8),0)</f>
        <v>0</v>
      </c>
      <c r="AT36" s="178">
        <f t="array" ref="AT36">IF(AND($L36&lt;&gt;"",AT$8&lt;&gt;""),COUNTIFS($C$9:$C$59,$L36,$J$9:$J$59,AT$8),0)</f>
        <v>0</v>
      </c>
      <c r="AU36" s="178">
        <f t="array" ref="AU36">IF(AND($L36&lt;&gt;"",AU$8&lt;&gt;""),COUNTIFS($C$9:$C$59,$L36,$J$9:$J$59,AU$8),0)</f>
        <v>0</v>
      </c>
      <c r="AV36" s="178">
        <f t="array" ref="AV36">IF(AND($L36&lt;&gt;"",AV$8&lt;&gt;""),COUNTIFS($C$9:$C$59,$L36,$J$9:$J$59,AV$8),0)</f>
        <v>0</v>
      </c>
      <c r="AW36" s="178">
        <f t="array" ref="AW36">IF(AND($L36&lt;&gt;"",AW$8&lt;&gt;""),COUNTIFS($C$9:$C$59,$L36,$J$9:$J$59,AW$8),0)</f>
        <v>0</v>
      </c>
      <c r="AX36" s="178">
        <f t="array" ref="AX36">IF(AND($L36&lt;&gt;"",AX$8&lt;&gt;""),COUNTIFS($C$9:$C$59,$L36,$J$9:$J$59,AX$8),0)</f>
        <v>0</v>
      </c>
      <c r="AY36" s="178">
        <f t="array" ref="AY36">IF(AND($L36&lt;&gt;"",AY$8&lt;&gt;""),COUNTIFS($C$9:$C$59,$L36,$J$9:$J$59,AY$8),0)</f>
        <v>0</v>
      </c>
      <c r="AZ36" s="178">
        <f t="array" ref="AZ36">IF(AND($L36&lt;&gt;"",AZ$8&lt;&gt;""),COUNTIFS($C$9:$C$59,$L36,$J$9:$J$59,AZ$8),0)</f>
        <v>0</v>
      </c>
      <c r="BA36" s="178">
        <f t="array" ref="BA36">IF(AND($L36&lt;&gt;"",BA$8&lt;&gt;""),COUNTIFS($C$9:$C$59,$L36,$J$9:$J$59,BA$8),0)</f>
        <v>0</v>
      </c>
      <c r="BB36" s="178">
        <f t="array" ref="BB36">IF(AND($L36&lt;&gt;"",BB$8&lt;&gt;""),COUNTIFS($C$9:$C$59,$L36,$J$9:$J$59,BB$8),0)</f>
        <v>0</v>
      </c>
      <c r="BC36" s="178">
        <f t="array" ref="BC36">IF(AND($L36&lt;&gt;"",BC$8&lt;&gt;""),COUNTIFS($C$9:$C$59,$L36,$J$9:$J$59,BC$8),0)</f>
        <v>0</v>
      </c>
      <c r="BD36" s="178">
        <f t="array" ref="BD36">IF(AND($L36&lt;&gt;"",BD$8&lt;&gt;""),COUNTIFS($C$9:$C$59,$L36,$J$9:$J$59,BD$8),0)</f>
        <v>0</v>
      </c>
      <c r="BE36" s="178">
        <f t="array" ref="BE36">IF(AND($L36&lt;&gt;"",BE$8&lt;&gt;""),COUNTIFS($C$9:$C$59,$L36,$J$9:$J$59,BE$8),0)</f>
        <v>0</v>
      </c>
      <c r="BF36" s="178">
        <f t="array" ref="BF36">IF(AND($L36&lt;&gt;"",BF$8&lt;&gt;""),COUNTIFS($C$9:$C$59,$L36,$J$9:$J$59,BF$8),0)</f>
        <v>0</v>
      </c>
      <c r="BG36" s="178">
        <f t="array" ref="BG36">IF(AND($L36&lt;&gt;"",BG$8&lt;&gt;""),COUNTIFS($C$9:$C$59,$L36,$J$9:$J$59,BG$8),0)</f>
        <v>0</v>
      </c>
      <c r="BH36" s="178">
        <f t="array" ref="BH36">IF(AND($L36&lt;&gt;"",BH$8&lt;&gt;""),COUNTIFS($C$9:$C$59,$L36,$J$9:$J$59,BH$8),0)</f>
        <v>0</v>
      </c>
      <c r="BI36" s="178">
        <f t="array" ref="BI36">IF(AND($L36&lt;&gt;"",BI$8&lt;&gt;""),COUNTIFS($C$9:$C$59,$L36,$J$9:$J$59,BI$8),0)</f>
        <v>0</v>
      </c>
      <c r="BJ36" s="178">
        <f t="array" ref="BJ36">IF(AND($L36&lt;&gt;"",BJ$8&lt;&gt;""),COUNTIFS($C$9:$C$59,$L36,$J$9:$J$59,BJ$8),0)</f>
        <v>0</v>
      </c>
    </row>
    <row r="37" spans="2:62" x14ac:dyDescent="0.2">
      <c r="B37" s="126" t="s">
        <v>172</v>
      </c>
      <c r="C37" s="267"/>
      <c r="D37" s="23"/>
      <c r="E37" s="128"/>
      <c r="F37" s="118"/>
      <c r="G37" s="118" t="s">
        <v>287</v>
      </c>
      <c r="H37" s="117" t="str">
        <f t="shared" si="0"/>
        <v>-</v>
      </c>
      <c r="I37" s="127"/>
      <c r="J37" s="171" t="str">
        <f t="shared" si="1"/>
        <v/>
      </c>
      <c r="L37" s="178" t="str">
        <f t="array" ref="L37">IFERROR(INDEX($C$9:$C$59,MATCH(0,COUNTIF($L$8:$L36,$C$9:$C$59),0)),"")</f>
        <v/>
      </c>
      <c r="M37" s="178">
        <f t="array" ref="M37">IF(AND($L37&lt;&gt;"",M$8&lt;&gt;""),COUNTIFS($C$9:$C$59,$L37,$J$9:$J$59,M$8),0)</f>
        <v>0</v>
      </c>
      <c r="N37" s="178">
        <f t="array" ref="N37">IF(AND($L37&lt;&gt;"",N$8&lt;&gt;""),COUNTIFS($C$9:$C$59,$L37,$J$9:$J$59,N$8),0)</f>
        <v>0</v>
      </c>
      <c r="O37" s="178">
        <f t="array" ref="O37">IF(AND($L37&lt;&gt;"",O$8&lt;&gt;""),COUNTIFS($C$9:$C$59,$L37,$J$9:$J$59,O$8),0)</f>
        <v>0</v>
      </c>
      <c r="P37" s="178">
        <f t="array" ref="P37">IF(AND($L37&lt;&gt;"",P$8&lt;&gt;""),COUNTIFS($C$9:$C$59,$L37,$J$9:$J$59,P$8),0)</f>
        <v>0</v>
      </c>
      <c r="Q37" s="178">
        <f t="array" ref="Q37">IF(AND($L37&lt;&gt;"",Q$8&lt;&gt;""),COUNTIFS($C$9:$C$59,$L37,$J$9:$J$59,Q$8),0)</f>
        <v>0</v>
      </c>
      <c r="R37" s="178">
        <f t="array" ref="R37">IF(AND($L37&lt;&gt;"",R$8&lt;&gt;""),COUNTIFS($C$9:$C$59,$L37,$J$9:$J$59,R$8),0)</f>
        <v>0</v>
      </c>
      <c r="S37" s="178">
        <f t="array" ref="S37">IF(AND($L37&lt;&gt;"",S$8&lt;&gt;""),COUNTIFS($C$9:$C$59,$L37,$J$9:$J$59,S$8),0)</f>
        <v>0</v>
      </c>
      <c r="T37" s="178">
        <f t="array" ref="T37">IF(AND($L37&lt;&gt;"",T$8&lt;&gt;""),COUNTIFS($C$9:$C$59,$L37,$J$9:$J$59,T$8),0)</f>
        <v>0</v>
      </c>
      <c r="U37" s="178">
        <f t="array" ref="U37">IF(AND($L37&lt;&gt;"",U$8&lt;&gt;""),COUNTIFS($C$9:$C$59,$L37,$J$9:$J$59,U$8),0)</f>
        <v>0</v>
      </c>
      <c r="V37" s="178">
        <f t="array" ref="V37">IF(AND($L37&lt;&gt;"",V$8&lt;&gt;""),COUNTIFS($C$9:$C$59,$L37,$J$9:$J$59,V$8),0)</f>
        <v>0</v>
      </c>
      <c r="W37" s="178">
        <f t="array" ref="W37">IF(AND($L37&lt;&gt;"",W$8&lt;&gt;""),COUNTIFS($C$9:$C$59,$L37,$J$9:$J$59,W$8),0)</f>
        <v>0</v>
      </c>
      <c r="X37" s="178">
        <f t="array" ref="X37">IF(AND($L37&lt;&gt;"",X$8&lt;&gt;""),COUNTIFS($C$9:$C$59,$L37,$J$9:$J$59,X$8),0)</f>
        <v>0</v>
      </c>
      <c r="Y37" s="178">
        <f t="array" ref="Y37">IF(AND($L37&lt;&gt;"",Y$8&lt;&gt;""),COUNTIFS($C$9:$C$59,$L37,$J$9:$J$59,Y$8),0)</f>
        <v>0</v>
      </c>
      <c r="Z37" s="178">
        <f t="array" ref="Z37">IF(AND($L37&lt;&gt;"",Z$8&lt;&gt;""),COUNTIFS($C$9:$C$59,$L37,$J$9:$J$59,Z$8),0)</f>
        <v>0</v>
      </c>
      <c r="AA37" s="178">
        <f t="array" ref="AA37">IF(AND($L37&lt;&gt;"",AA$8&lt;&gt;""),COUNTIFS($C$9:$C$59,$L37,$J$9:$J$59,AA$8),0)</f>
        <v>0</v>
      </c>
      <c r="AB37" s="178">
        <f t="array" ref="AB37">IF(AND($L37&lt;&gt;"",AB$8&lt;&gt;""),COUNTIFS($C$9:$C$59,$L37,$J$9:$J$59,AB$8),0)</f>
        <v>0</v>
      </c>
      <c r="AC37" s="178">
        <f t="array" ref="AC37">IF(AND($L37&lt;&gt;"",AC$8&lt;&gt;""),COUNTIFS($C$9:$C$59,$L37,$J$9:$J$59,AC$8),0)</f>
        <v>0</v>
      </c>
      <c r="AD37" s="178">
        <f t="array" ref="AD37">IF(AND($L37&lt;&gt;"",AD$8&lt;&gt;""),COUNTIFS($C$9:$C$59,$L37,$J$9:$J$59,AD$8),0)</f>
        <v>0</v>
      </c>
      <c r="AE37" s="178">
        <f t="array" ref="AE37">IF(AND($L37&lt;&gt;"",AE$8&lt;&gt;""),COUNTIFS($C$9:$C$59,$L37,$J$9:$J$59,AE$8),0)</f>
        <v>0</v>
      </c>
      <c r="AF37" s="178">
        <f t="array" ref="AF37">IF(AND($L37&lt;&gt;"",AF$8&lt;&gt;""),COUNTIFS($C$9:$C$59,$L37,$J$9:$J$59,AF$8),0)</f>
        <v>0</v>
      </c>
      <c r="AG37" s="178">
        <f t="array" ref="AG37">IF(AND($L37&lt;&gt;"",AG$8&lt;&gt;""),COUNTIFS($C$9:$C$59,$L37,$J$9:$J$59,AG$8),0)</f>
        <v>0</v>
      </c>
      <c r="AH37" s="178">
        <f t="array" ref="AH37">IF(AND($L37&lt;&gt;"",AH$8&lt;&gt;""),COUNTIFS($C$9:$C$59,$L37,$J$9:$J$59,AH$8),0)</f>
        <v>0</v>
      </c>
      <c r="AI37" s="178">
        <f t="array" ref="AI37">IF(AND($L37&lt;&gt;"",AI$8&lt;&gt;""),COUNTIFS($C$9:$C$59,$L37,$J$9:$J$59,AI$8),0)</f>
        <v>0</v>
      </c>
      <c r="AJ37" s="178">
        <f t="array" ref="AJ37">IF(AND($L37&lt;&gt;"",AJ$8&lt;&gt;""),COUNTIFS($C$9:$C$59,$L37,$J$9:$J$59,AJ$8),0)</f>
        <v>0</v>
      </c>
      <c r="AK37" s="178">
        <f t="array" ref="AK37">IF(AND($L37&lt;&gt;"",AK$8&lt;&gt;""),COUNTIFS($C$9:$C$59,$L37,$J$9:$J$59,AK$8),0)</f>
        <v>0</v>
      </c>
      <c r="AL37" s="178">
        <f t="array" ref="AL37">IF(AND($L37&lt;&gt;"",AL$8&lt;&gt;""),COUNTIFS($C$9:$C$59,$L37,$J$9:$J$59,AL$8),0)</f>
        <v>0</v>
      </c>
      <c r="AM37" s="178">
        <f t="array" ref="AM37">IF(AND($L37&lt;&gt;"",AM$8&lt;&gt;""),COUNTIFS($C$9:$C$59,$L37,$J$9:$J$59,AM$8),0)</f>
        <v>0</v>
      </c>
      <c r="AN37" s="178">
        <f t="array" ref="AN37">IF(AND($L37&lt;&gt;"",AN$8&lt;&gt;""),COUNTIFS($C$9:$C$59,$L37,$J$9:$J$59,AN$8),0)</f>
        <v>0</v>
      </c>
      <c r="AO37" s="178">
        <f t="array" ref="AO37">IF(AND($L37&lt;&gt;"",AO$8&lt;&gt;""),COUNTIFS($C$9:$C$59,$L37,$J$9:$J$59,AO$8),0)</f>
        <v>0</v>
      </c>
      <c r="AP37" s="178">
        <f t="array" ref="AP37">IF(AND($L37&lt;&gt;"",AP$8&lt;&gt;""),COUNTIFS($C$9:$C$59,$L37,$J$9:$J$59,AP$8),0)</f>
        <v>0</v>
      </c>
      <c r="AQ37" s="178">
        <f t="array" ref="AQ37">IF(AND($L37&lt;&gt;"",AQ$8&lt;&gt;""),COUNTIFS($C$9:$C$59,$L37,$J$9:$J$59,AQ$8),0)</f>
        <v>0</v>
      </c>
      <c r="AR37" s="178">
        <f t="array" ref="AR37">IF(AND($L37&lt;&gt;"",AR$8&lt;&gt;""),COUNTIFS($C$9:$C$59,$L37,$J$9:$J$59,AR$8),0)</f>
        <v>0</v>
      </c>
      <c r="AS37" s="178">
        <f t="array" ref="AS37">IF(AND($L37&lt;&gt;"",AS$8&lt;&gt;""),COUNTIFS($C$9:$C$59,$L37,$J$9:$J$59,AS$8),0)</f>
        <v>0</v>
      </c>
      <c r="AT37" s="178">
        <f t="array" ref="AT37">IF(AND($L37&lt;&gt;"",AT$8&lt;&gt;""),COUNTIFS($C$9:$C$59,$L37,$J$9:$J$59,AT$8),0)</f>
        <v>0</v>
      </c>
      <c r="AU37" s="178">
        <f t="array" ref="AU37">IF(AND($L37&lt;&gt;"",AU$8&lt;&gt;""),COUNTIFS($C$9:$C$59,$L37,$J$9:$J$59,AU$8),0)</f>
        <v>0</v>
      </c>
      <c r="AV37" s="178">
        <f t="array" ref="AV37">IF(AND($L37&lt;&gt;"",AV$8&lt;&gt;""),COUNTIFS($C$9:$C$59,$L37,$J$9:$J$59,AV$8),0)</f>
        <v>0</v>
      </c>
      <c r="AW37" s="178">
        <f t="array" ref="AW37">IF(AND($L37&lt;&gt;"",AW$8&lt;&gt;""),COUNTIFS($C$9:$C$59,$L37,$J$9:$J$59,AW$8),0)</f>
        <v>0</v>
      </c>
      <c r="AX37" s="178">
        <f t="array" ref="AX37">IF(AND($L37&lt;&gt;"",AX$8&lt;&gt;""),COUNTIFS($C$9:$C$59,$L37,$J$9:$J$59,AX$8),0)</f>
        <v>0</v>
      </c>
      <c r="AY37" s="178">
        <f t="array" ref="AY37">IF(AND($L37&lt;&gt;"",AY$8&lt;&gt;""),COUNTIFS($C$9:$C$59,$L37,$J$9:$J$59,AY$8),0)</f>
        <v>0</v>
      </c>
      <c r="AZ37" s="178">
        <f t="array" ref="AZ37">IF(AND($L37&lt;&gt;"",AZ$8&lt;&gt;""),COUNTIFS($C$9:$C$59,$L37,$J$9:$J$59,AZ$8),0)</f>
        <v>0</v>
      </c>
      <c r="BA37" s="178">
        <f t="array" ref="BA37">IF(AND($L37&lt;&gt;"",BA$8&lt;&gt;""),COUNTIFS($C$9:$C$59,$L37,$J$9:$J$59,BA$8),0)</f>
        <v>0</v>
      </c>
      <c r="BB37" s="178">
        <f t="array" ref="BB37">IF(AND($L37&lt;&gt;"",BB$8&lt;&gt;""),COUNTIFS($C$9:$C$59,$L37,$J$9:$J$59,BB$8),0)</f>
        <v>0</v>
      </c>
      <c r="BC37" s="178">
        <f t="array" ref="BC37">IF(AND($L37&lt;&gt;"",BC$8&lt;&gt;""),COUNTIFS($C$9:$C$59,$L37,$J$9:$J$59,BC$8),0)</f>
        <v>0</v>
      </c>
      <c r="BD37" s="178">
        <f t="array" ref="BD37">IF(AND($L37&lt;&gt;"",BD$8&lt;&gt;""),COUNTIFS($C$9:$C$59,$L37,$J$9:$J$59,BD$8),0)</f>
        <v>0</v>
      </c>
      <c r="BE37" s="178">
        <f t="array" ref="BE37">IF(AND($L37&lt;&gt;"",BE$8&lt;&gt;""),COUNTIFS($C$9:$C$59,$L37,$J$9:$J$59,BE$8),0)</f>
        <v>0</v>
      </c>
      <c r="BF37" s="178">
        <f t="array" ref="BF37">IF(AND($L37&lt;&gt;"",BF$8&lt;&gt;""),COUNTIFS($C$9:$C$59,$L37,$J$9:$J$59,BF$8),0)</f>
        <v>0</v>
      </c>
      <c r="BG37" s="178">
        <f t="array" ref="BG37">IF(AND($L37&lt;&gt;"",BG$8&lt;&gt;""),COUNTIFS($C$9:$C$59,$L37,$J$9:$J$59,BG$8),0)</f>
        <v>0</v>
      </c>
      <c r="BH37" s="178">
        <f t="array" ref="BH37">IF(AND($L37&lt;&gt;"",BH$8&lt;&gt;""),COUNTIFS($C$9:$C$59,$L37,$J$9:$J$59,BH$8),0)</f>
        <v>0</v>
      </c>
      <c r="BI37" s="178">
        <f t="array" ref="BI37">IF(AND($L37&lt;&gt;"",BI$8&lt;&gt;""),COUNTIFS($C$9:$C$59,$L37,$J$9:$J$59,BI$8),0)</f>
        <v>0</v>
      </c>
      <c r="BJ37" s="178">
        <f t="array" ref="BJ37">IF(AND($L37&lt;&gt;"",BJ$8&lt;&gt;""),COUNTIFS($C$9:$C$59,$L37,$J$9:$J$59,BJ$8),0)</f>
        <v>0</v>
      </c>
    </row>
    <row r="38" spans="2:62" x14ac:dyDescent="0.2">
      <c r="B38" s="126" t="s">
        <v>173</v>
      </c>
      <c r="C38" s="267"/>
      <c r="D38" s="23"/>
      <c r="E38" s="128"/>
      <c r="F38" s="118"/>
      <c r="G38" s="118" t="s">
        <v>287</v>
      </c>
      <c r="H38" s="117" t="str">
        <f t="shared" si="0"/>
        <v>-</v>
      </c>
      <c r="I38" s="127"/>
      <c r="J38" s="171" t="str">
        <f t="shared" si="1"/>
        <v/>
      </c>
      <c r="L38" s="178" t="str">
        <f t="array" ref="L38">IFERROR(INDEX($C$9:$C$59,MATCH(0,COUNTIF($L$8:$L37,$C$9:$C$59),0)),"")</f>
        <v/>
      </c>
      <c r="M38" s="178">
        <f t="array" ref="M38">IF(AND($L38&lt;&gt;"",M$8&lt;&gt;""),COUNTIFS($C$9:$C$59,$L38,$J$9:$J$59,M$8),0)</f>
        <v>0</v>
      </c>
      <c r="N38" s="178">
        <f t="array" ref="N38">IF(AND($L38&lt;&gt;"",N$8&lt;&gt;""),COUNTIFS($C$9:$C$59,$L38,$J$9:$J$59,N$8),0)</f>
        <v>0</v>
      </c>
      <c r="O38" s="178">
        <f t="array" ref="O38">IF(AND($L38&lt;&gt;"",O$8&lt;&gt;""),COUNTIFS($C$9:$C$59,$L38,$J$9:$J$59,O$8),0)</f>
        <v>0</v>
      </c>
      <c r="P38" s="178">
        <f t="array" ref="P38">IF(AND($L38&lt;&gt;"",P$8&lt;&gt;""),COUNTIFS($C$9:$C$59,$L38,$J$9:$J$59,P$8),0)</f>
        <v>0</v>
      </c>
      <c r="Q38" s="178">
        <f t="array" ref="Q38">IF(AND($L38&lt;&gt;"",Q$8&lt;&gt;""),COUNTIFS($C$9:$C$59,$L38,$J$9:$J$59,Q$8),0)</f>
        <v>0</v>
      </c>
      <c r="R38" s="178">
        <f t="array" ref="R38">IF(AND($L38&lt;&gt;"",R$8&lt;&gt;""),COUNTIFS($C$9:$C$59,$L38,$J$9:$J$59,R$8),0)</f>
        <v>0</v>
      </c>
      <c r="S38" s="178">
        <f t="array" ref="S38">IF(AND($L38&lt;&gt;"",S$8&lt;&gt;""),COUNTIFS($C$9:$C$59,$L38,$J$9:$J$59,S$8),0)</f>
        <v>0</v>
      </c>
      <c r="T38" s="178">
        <f t="array" ref="T38">IF(AND($L38&lt;&gt;"",T$8&lt;&gt;""),COUNTIFS($C$9:$C$59,$L38,$J$9:$J$59,T$8),0)</f>
        <v>0</v>
      </c>
      <c r="U38" s="178">
        <f t="array" ref="U38">IF(AND($L38&lt;&gt;"",U$8&lt;&gt;""),COUNTIFS($C$9:$C$59,$L38,$J$9:$J$59,U$8),0)</f>
        <v>0</v>
      </c>
      <c r="V38" s="178">
        <f t="array" ref="V38">IF(AND($L38&lt;&gt;"",V$8&lt;&gt;""),COUNTIFS($C$9:$C$59,$L38,$J$9:$J$59,V$8),0)</f>
        <v>0</v>
      </c>
      <c r="W38" s="178">
        <f t="array" ref="W38">IF(AND($L38&lt;&gt;"",W$8&lt;&gt;""),COUNTIFS($C$9:$C$59,$L38,$J$9:$J$59,W$8),0)</f>
        <v>0</v>
      </c>
      <c r="X38" s="178">
        <f t="array" ref="X38">IF(AND($L38&lt;&gt;"",X$8&lt;&gt;""),COUNTIFS($C$9:$C$59,$L38,$J$9:$J$59,X$8),0)</f>
        <v>0</v>
      </c>
      <c r="Y38" s="178">
        <f t="array" ref="Y38">IF(AND($L38&lt;&gt;"",Y$8&lt;&gt;""),COUNTIFS($C$9:$C$59,$L38,$J$9:$J$59,Y$8),0)</f>
        <v>0</v>
      </c>
      <c r="Z38" s="178">
        <f t="array" ref="Z38">IF(AND($L38&lt;&gt;"",Z$8&lt;&gt;""),COUNTIFS($C$9:$C$59,$L38,$J$9:$J$59,Z$8),0)</f>
        <v>0</v>
      </c>
      <c r="AA38" s="178">
        <f t="array" ref="AA38">IF(AND($L38&lt;&gt;"",AA$8&lt;&gt;""),COUNTIFS($C$9:$C$59,$L38,$J$9:$J$59,AA$8),0)</f>
        <v>0</v>
      </c>
      <c r="AB38" s="178">
        <f t="array" ref="AB38">IF(AND($L38&lt;&gt;"",AB$8&lt;&gt;""),COUNTIFS($C$9:$C$59,$L38,$J$9:$J$59,AB$8),0)</f>
        <v>0</v>
      </c>
      <c r="AC38" s="178">
        <f t="array" ref="AC38">IF(AND($L38&lt;&gt;"",AC$8&lt;&gt;""),COUNTIFS($C$9:$C$59,$L38,$J$9:$J$59,AC$8),0)</f>
        <v>0</v>
      </c>
      <c r="AD38" s="178">
        <f t="array" ref="AD38">IF(AND($L38&lt;&gt;"",AD$8&lt;&gt;""),COUNTIFS($C$9:$C$59,$L38,$J$9:$J$59,AD$8),0)</f>
        <v>0</v>
      </c>
      <c r="AE38" s="178">
        <f t="array" ref="AE38">IF(AND($L38&lt;&gt;"",AE$8&lt;&gt;""),COUNTIFS($C$9:$C$59,$L38,$J$9:$J$59,AE$8),0)</f>
        <v>0</v>
      </c>
      <c r="AF38" s="178">
        <f t="array" ref="AF38">IF(AND($L38&lt;&gt;"",AF$8&lt;&gt;""),COUNTIFS($C$9:$C$59,$L38,$J$9:$J$59,AF$8),0)</f>
        <v>0</v>
      </c>
      <c r="AG38" s="178">
        <f t="array" ref="AG38">IF(AND($L38&lt;&gt;"",AG$8&lt;&gt;""),COUNTIFS($C$9:$C$59,$L38,$J$9:$J$59,AG$8),0)</f>
        <v>0</v>
      </c>
      <c r="AH38" s="178">
        <f t="array" ref="AH38">IF(AND($L38&lt;&gt;"",AH$8&lt;&gt;""),COUNTIFS($C$9:$C$59,$L38,$J$9:$J$59,AH$8),0)</f>
        <v>0</v>
      </c>
      <c r="AI38" s="178">
        <f t="array" ref="AI38">IF(AND($L38&lt;&gt;"",AI$8&lt;&gt;""),COUNTIFS($C$9:$C$59,$L38,$J$9:$J$59,AI$8),0)</f>
        <v>0</v>
      </c>
      <c r="AJ38" s="178">
        <f t="array" ref="AJ38">IF(AND($L38&lt;&gt;"",AJ$8&lt;&gt;""),COUNTIFS($C$9:$C$59,$L38,$J$9:$J$59,AJ$8),0)</f>
        <v>0</v>
      </c>
      <c r="AK38" s="178">
        <f t="array" ref="AK38">IF(AND($L38&lt;&gt;"",AK$8&lt;&gt;""),COUNTIFS($C$9:$C$59,$L38,$J$9:$J$59,AK$8),0)</f>
        <v>0</v>
      </c>
      <c r="AL38" s="178">
        <f t="array" ref="AL38">IF(AND($L38&lt;&gt;"",AL$8&lt;&gt;""),COUNTIFS($C$9:$C$59,$L38,$J$9:$J$59,AL$8),0)</f>
        <v>0</v>
      </c>
      <c r="AM38" s="178">
        <f t="array" ref="AM38">IF(AND($L38&lt;&gt;"",AM$8&lt;&gt;""),COUNTIFS($C$9:$C$59,$L38,$J$9:$J$59,AM$8),0)</f>
        <v>0</v>
      </c>
      <c r="AN38" s="178">
        <f t="array" ref="AN38">IF(AND($L38&lt;&gt;"",AN$8&lt;&gt;""),COUNTIFS($C$9:$C$59,$L38,$J$9:$J$59,AN$8),0)</f>
        <v>0</v>
      </c>
      <c r="AO38" s="178">
        <f t="array" ref="AO38">IF(AND($L38&lt;&gt;"",AO$8&lt;&gt;""),COUNTIFS($C$9:$C$59,$L38,$J$9:$J$59,AO$8),0)</f>
        <v>0</v>
      </c>
      <c r="AP38" s="178">
        <f t="array" ref="AP38">IF(AND($L38&lt;&gt;"",AP$8&lt;&gt;""),COUNTIFS($C$9:$C$59,$L38,$J$9:$J$59,AP$8),0)</f>
        <v>0</v>
      </c>
      <c r="AQ38" s="178">
        <f t="array" ref="AQ38">IF(AND($L38&lt;&gt;"",AQ$8&lt;&gt;""),COUNTIFS($C$9:$C$59,$L38,$J$9:$J$59,AQ$8),0)</f>
        <v>0</v>
      </c>
      <c r="AR38" s="178">
        <f t="array" ref="AR38">IF(AND($L38&lt;&gt;"",AR$8&lt;&gt;""),COUNTIFS($C$9:$C$59,$L38,$J$9:$J$59,AR$8),0)</f>
        <v>0</v>
      </c>
      <c r="AS38" s="178">
        <f t="array" ref="AS38">IF(AND($L38&lt;&gt;"",AS$8&lt;&gt;""),COUNTIFS($C$9:$C$59,$L38,$J$9:$J$59,AS$8),0)</f>
        <v>0</v>
      </c>
      <c r="AT38" s="178">
        <f t="array" ref="AT38">IF(AND($L38&lt;&gt;"",AT$8&lt;&gt;""),COUNTIFS($C$9:$C$59,$L38,$J$9:$J$59,AT$8),0)</f>
        <v>0</v>
      </c>
      <c r="AU38" s="178">
        <f t="array" ref="AU38">IF(AND($L38&lt;&gt;"",AU$8&lt;&gt;""),COUNTIFS($C$9:$C$59,$L38,$J$9:$J$59,AU$8),0)</f>
        <v>0</v>
      </c>
      <c r="AV38" s="178">
        <f t="array" ref="AV38">IF(AND($L38&lt;&gt;"",AV$8&lt;&gt;""),COUNTIFS($C$9:$C$59,$L38,$J$9:$J$59,AV$8),0)</f>
        <v>0</v>
      </c>
      <c r="AW38" s="178">
        <f t="array" ref="AW38">IF(AND($L38&lt;&gt;"",AW$8&lt;&gt;""),COUNTIFS($C$9:$C$59,$L38,$J$9:$J$59,AW$8),0)</f>
        <v>0</v>
      </c>
      <c r="AX38" s="178">
        <f t="array" ref="AX38">IF(AND($L38&lt;&gt;"",AX$8&lt;&gt;""),COUNTIFS($C$9:$C$59,$L38,$J$9:$J$59,AX$8),0)</f>
        <v>0</v>
      </c>
      <c r="AY38" s="178">
        <f t="array" ref="AY38">IF(AND($L38&lt;&gt;"",AY$8&lt;&gt;""),COUNTIFS($C$9:$C$59,$L38,$J$9:$J$59,AY$8),0)</f>
        <v>0</v>
      </c>
      <c r="AZ38" s="178">
        <f t="array" ref="AZ38">IF(AND($L38&lt;&gt;"",AZ$8&lt;&gt;""),COUNTIFS($C$9:$C$59,$L38,$J$9:$J$59,AZ$8),0)</f>
        <v>0</v>
      </c>
      <c r="BA38" s="178">
        <f t="array" ref="BA38">IF(AND($L38&lt;&gt;"",BA$8&lt;&gt;""),COUNTIFS($C$9:$C$59,$L38,$J$9:$J$59,BA$8),0)</f>
        <v>0</v>
      </c>
      <c r="BB38" s="178">
        <f t="array" ref="BB38">IF(AND($L38&lt;&gt;"",BB$8&lt;&gt;""),COUNTIFS($C$9:$C$59,$L38,$J$9:$J$59,BB$8),0)</f>
        <v>0</v>
      </c>
      <c r="BC38" s="178">
        <f t="array" ref="BC38">IF(AND($L38&lt;&gt;"",BC$8&lt;&gt;""),COUNTIFS($C$9:$C$59,$L38,$J$9:$J$59,BC$8),0)</f>
        <v>0</v>
      </c>
      <c r="BD38" s="178">
        <f t="array" ref="BD38">IF(AND($L38&lt;&gt;"",BD$8&lt;&gt;""),COUNTIFS($C$9:$C$59,$L38,$J$9:$J$59,BD$8),0)</f>
        <v>0</v>
      </c>
      <c r="BE38" s="178">
        <f t="array" ref="BE38">IF(AND($L38&lt;&gt;"",BE$8&lt;&gt;""),COUNTIFS($C$9:$C$59,$L38,$J$9:$J$59,BE$8),0)</f>
        <v>0</v>
      </c>
      <c r="BF38" s="178">
        <f t="array" ref="BF38">IF(AND($L38&lt;&gt;"",BF$8&lt;&gt;""),COUNTIFS($C$9:$C$59,$L38,$J$9:$J$59,BF$8),0)</f>
        <v>0</v>
      </c>
      <c r="BG38" s="178">
        <f t="array" ref="BG38">IF(AND($L38&lt;&gt;"",BG$8&lt;&gt;""),COUNTIFS($C$9:$C$59,$L38,$J$9:$J$59,BG$8),0)</f>
        <v>0</v>
      </c>
      <c r="BH38" s="178">
        <f t="array" ref="BH38">IF(AND($L38&lt;&gt;"",BH$8&lt;&gt;""),COUNTIFS($C$9:$C$59,$L38,$J$9:$J$59,BH$8),0)</f>
        <v>0</v>
      </c>
      <c r="BI38" s="178">
        <f t="array" ref="BI38">IF(AND($L38&lt;&gt;"",BI$8&lt;&gt;""),COUNTIFS($C$9:$C$59,$L38,$J$9:$J$59,BI$8),0)</f>
        <v>0</v>
      </c>
      <c r="BJ38" s="178">
        <f t="array" ref="BJ38">IF(AND($L38&lt;&gt;"",BJ$8&lt;&gt;""),COUNTIFS($C$9:$C$59,$L38,$J$9:$J$59,BJ$8),0)</f>
        <v>0</v>
      </c>
    </row>
    <row r="39" spans="2:62" x14ac:dyDescent="0.2">
      <c r="B39" s="126" t="s">
        <v>237</v>
      </c>
      <c r="C39" s="267"/>
      <c r="D39" s="23"/>
      <c r="E39" s="128"/>
      <c r="F39" s="118"/>
      <c r="G39" s="118" t="s">
        <v>287</v>
      </c>
      <c r="H39" s="117" t="str">
        <f t="shared" si="0"/>
        <v>-</v>
      </c>
      <c r="I39" s="127"/>
      <c r="J39" s="171" t="str">
        <f t="shared" si="1"/>
        <v/>
      </c>
      <c r="L39" s="178" t="str">
        <f t="array" ref="L39">IFERROR(INDEX($C$9:$C$59,MATCH(0,COUNTIF($L$8:$L38,$C$9:$C$59),0)),"")</f>
        <v/>
      </c>
      <c r="M39" s="178">
        <f t="array" ref="M39">IF(AND($L39&lt;&gt;"",M$8&lt;&gt;""),COUNTIFS($C$9:$C$59,$L39,$J$9:$J$59,M$8),0)</f>
        <v>0</v>
      </c>
      <c r="N39" s="178">
        <f t="array" ref="N39">IF(AND($L39&lt;&gt;"",N$8&lt;&gt;""),COUNTIFS($C$9:$C$59,$L39,$J$9:$J$59,N$8),0)</f>
        <v>0</v>
      </c>
      <c r="O39" s="178">
        <f t="array" ref="O39">IF(AND($L39&lt;&gt;"",O$8&lt;&gt;""),COUNTIFS($C$9:$C$59,$L39,$J$9:$J$59,O$8),0)</f>
        <v>0</v>
      </c>
      <c r="P39" s="178">
        <f t="array" ref="P39">IF(AND($L39&lt;&gt;"",P$8&lt;&gt;""),COUNTIFS($C$9:$C$59,$L39,$J$9:$J$59,P$8),0)</f>
        <v>0</v>
      </c>
      <c r="Q39" s="178">
        <f t="array" ref="Q39">IF(AND($L39&lt;&gt;"",Q$8&lt;&gt;""),COUNTIFS($C$9:$C$59,$L39,$J$9:$J$59,Q$8),0)</f>
        <v>0</v>
      </c>
      <c r="R39" s="178">
        <f t="array" ref="R39">IF(AND($L39&lt;&gt;"",R$8&lt;&gt;""),COUNTIFS($C$9:$C$59,$L39,$J$9:$J$59,R$8),0)</f>
        <v>0</v>
      </c>
      <c r="S39" s="178">
        <f t="array" ref="S39">IF(AND($L39&lt;&gt;"",S$8&lt;&gt;""),COUNTIFS($C$9:$C$59,$L39,$J$9:$J$59,S$8),0)</f>
        <v>0</v>
      </c>
      <c r="T39" s="178">
        <f t="array" ref="T39">IF(AND($L39&lt;&gt;"",T$8&lt;&gt;""),COUNTIFS($C$9:$C$59,$L39,$J$9:$J$59,T$8),0)</f>
        <v>0</v>
      </c>
      <c r="U39" s="178">
        <f t="array" ref="U39">IF(AND($L39&lt;&gt;"",U$8&lt;&gt;""),COUNTIFS($C$9:$C$59,$L39,$J$9:$J$59,U$8),0)</f>
        <v>0</v>
      </c>
      <c r="V39" s="178">
        <f t="array" ref="V39">IF(AND($L39&lt;&gt;"",V$8&lt;&gt;""),COUNTIFS($C$9:$C$59,$L39,$J$9:$J$59,V$8),0)</f>
        <v>0</v>
      </c>
      <c r="W39" s="178">
        <f t="array" ref="W39">IF(AND($L39&lt;&gt;"",W$8&lt;&gt;""),COUNTIFS($C$9:$C$59,$L39,$J$9:$J$59,W$8),0)</f>
        <v>0</v>
      </c>
      <c r="X39" s="178">
        <f t="array" ref="X39">IF(AND($L39&lt;&gt;"",X$8&lt;&gt;""),COUNTIFS($C$9:$C$59,$L39,$J$9:$J$59,X$8),0)</f>
        <v>0</v>
      </c>
      <c r="Y39" s="178">
        <f t="array" ref="Y39">IF(AND($L39&lt;&gt;"",Y$8&lt;&gt;""),COUNTIFS($C$9:$C$59,$L39,$J$9:$J$59,Y$8),0)</f>
        <v>0</v>
      </c>
      <c r="Z39" s="178">
        <f t="array" ref="Z39">IF(AND($L39&lt;&gt;"",Z$8&lt;&gt;""),COUNTIFS($C$9:$C$59,$L39,$J$9:$J$59,Z$8),0)</f>
        <v>0</v>
      </c>
      <c r="AA39" s="178">
        <f t="array" ref="AA39">IF(AND($L39&lt;&gt;"",AA$8&lt;&gt;""),COUNTIFS($C$9:$C$59,$L39,$J$9:$J$59,AA$8),0)</f>
        <v>0</v>
      </c>
      <c r="AB39" s="178">
        <f t="array" ref="AB39">IF(AND($L39&lt;&gt;"",AB$8&lt;&gt;""),COUNTIFS($C$9:$C$59,$L39,$J$9:$J$59,AB$8),0)</f>
        <v>0</v>
      </c>
      <c r="AC39" s="178">
        <f t="array" ref="AC39">IF(AND($L39&lt;&gt;"",AC$8&lt;&gt;""),COUNTIFS($C$9:$C$59,$L39,$J$9:$J$59,AC$8),0)</f>
        <v>0</v>
      </c>
      <c r="AD39" s="178">
        <f t="array" ref="AD39">IF(AND($L39&lt;&gt;"",AD$8&lt;&gt;""),COUNTIFS($C$9:$C$59,$L39,$J$9:$J$59,AD$8),0)</f>
        <v>0</v>
      </c>
      <c r="AE39" s="178">
        <f t="array" ref="AE39">IF(AND($L39&lt;&gt;"",AE$8&lt;&gt;""),COUNTIFS($C$9:$C$59,$L39,$J$9:$J$59,AE$8),0)</f>
        <v>0</v>
      </c>
      <c r="AF39" s="178">
        <f t="array" ref="AF39">IF(AND($L39&lt;&gt;"",AF$8&lt;&gt;""),COUNTIFS($C$9:$C$59,$L39,$J$9:$J$59,AF$8),0)</f>
        <v>0</v>
      </c>
      <c r="AG39" s="178">
        <f t="array" ref="AG39">IF(AND($L39&lt;&gt;"",AG$8&lt;&gt;""),COUNTIFS($C$9:$C$59,$L39,$J$9:$J$59,AG$8),0)</f>
        <v>0</v>
      </c>
      <c r="AH39" s="178">
        <f t="array" ref="AH39">IF(AND($L39&lt;&gt;"",AH$8&lt;&gt;""),COUNTIFS($C$9:$C$59,$L39,$J$9:$J$59,AH$8),0)</f>
        <v>0</v>
      </c>
      <c r="AI39" s="178">
        <f t="array" ref="AI39">IF(AND($L39&lt;&gt;"",AI$8&lt;&gt;""),COUNTIFS($C$9:$C$59,$L39,$J$9:$J$59,AI$8),0)</f>
        <v>0</v>
      </c>
      <c r="AJ39" s="178">
        <f t="array" ref="AJ39">IF(AND($L39&lt;&gt;"",AJ$8&lt;&gt;""),COUNTIFS($C$9:$C$59,$L39,$J$9:$J$59,AJ$8),0)</f>
        <v>0</v>
      </c>
      <c r="AK39" s="178">
        <f t="array" ref="AK39">IF(AND($L39&lt;&gt;"",AK$8&lt;&gt;""),COUNTIFS($C$9:$C$59,$L39,$J$9:$J$59,AK$8),0)</f>
        <v>0</v>
      </c>
      <c r="AL39" s="178">
        <f t="array" ref="AL39">IF(AND($L39&lt;&gt;"",AL$8&lt;&gt;""),COUNTIFS($C$9:$C$59,$L39,$J$9:$J$59,AL$8),0)</f>
        <v>0</v>
      </c>
      <c r="AM39" s="178">
        <f t="array" ref="AM39">IF(AND($L39&lt;&gt;"",AM$8&lt;&gt;""),COUNTIFS($C$9:$C$59,$L39,$J$9:$J$59,AM$8),0)</f>
        <v>0</v>
      </c>
      <c r="AN39" s="178">
        <f t="array" ref="AN39">IF(AND($L39&lt;&gt;"",AN$8&lt;&gt;""),COUNTIFS($C$9:$C$59,$L39,$J$9:$J$59,AN$8),0)</f>
        <v>0</v>
      </c>
      <c r="AO39" s="178">
        <f t="array" ref="AO39">IF(AND($L39&lt;&gt;"",AO$8&lt;&gt;""),COUNTIFS($C$9:$C$59,$L39,$J$9:$J$59,AO$8),0)</f>
        <v>0</v>
      </c>
      <c r="AP39" s="178">
        <f t="array" ref="AP39">IF(AND($L39&lt;&gt;"",AP$8&lt;&gt;""),COUNTIFS($C$9:$C$59,$L39,$J$9:$J$59,AP$8),0)</f>
        <v>0</v>
      </c>
      <c r="AQ39" s="178">
        <f t="array" ref="AQ39">IF(AND($L39&lt;&gt;"",AQ$8&lt;&gt;""),COUNTIFS($C$9:$C$59,$L39,$J$9:$J$59,AQ$8),0)</f>
        <v>0</v>
      </c>
      <c r="AR39" s="178">
        <f t="array" ref="AR39">IF(AND($L39&lt;&gt;"",AR$8&lt;&gt;""),COUNTIFS($C$9:$C$59,$L39,$J$9:$J$59,AR$8),0)</f>
        <v>0</v>
      </c>
      <c r="AS39" s="178">
        <f t="array" ref="AS39">IF(AND($L39&lt;&gt;"",AS$8&lt;&gt;""),COUNTIFS($C$9:$C$59,$L39,$J$9:$J$59,AS$8),0)</f>
        <v>0</v>
      </c>
      <c r="AT39" s="178">
        <f t="array" ref="AT39">IF(AND($L39&lt;&gt;"",AT$8&lt;&gt;""),COUNTIFS($C$9:$C$59,$L39,$J$9:$J$59,AT$8),0)</f>
        <v>0</v>
      </c>
      <c r="AU39" s="178">
        <f t="array" ref="AU39">IF(AND($L39&lt;&gt;"",AU$8&lt;&gt;""),COUNTIFS($C$9:$C$59,$L39,$J$9:$J$59,AU$8),0)</f>
        <v>0</v>
      </c>
      <c r="AV39" s="178">
        <f t="array" ref="AV39">IF(AND($L39&lt;&gt;"",AV$8&lt;&gt;""),COUNTIFS($C$9:$C$59,$L39,$J$9:$J$59,AV$8),0)</f>
        <v>0</v>
      </c>
      <c r="AW39" s="178">
        <f t="array" ref="AW39">IF(AND($L39&lt;&gt;"",AW$8&lt;&gt;""),COUNTIFS($C$9:$C$59,$L39,$J$9:$J$59,AW$8),0)</f>
        <v>0</v>
      </c>
      <c r="AX39" s="178">
        <f t="array" ref="AX39">IF(AND($L39&lt;&gt;"",AX$8&lt;&gt;""),COUNTIFS($C$9:$C$59,$L39,$J$9:$J$59,AX$8),0)</f>
        <v>0</v>
      </c>
      <c r="AY39" s="178">
        <f t="array" ref="AY39">IF(AND($L39&lt;&gt;"",AY$8&lt;&gt;""),COUNTIFS($C$9:$C$59,$L39,$J$9:$J$59,AY$8),0)</f>
        <v>0</v>
      </c>
      <c r="AZ39" s="178">
        <f t="array" ref="AZ39">IF(AND($L39&lt;&gt;"",AZ$8&lt;&gt;""),COUNTIFS($C$9:$C$59,$L39,$J$9:$J$59,AZ$8),0)</f>
        <v>0</v>
      </c>
      <c r="BA39" s="178">
        <f t="array" ref="BA39">IF(AND($L39&lt;&gt;"",BA$8&lt;&gt;""),COUNTIFS($C$9:$C$59,$L39,$J$9:$J$59,BA$8),0)</f>
        <v>0</v>
      </c>
      <c r="BB39" s="178">
        <f t="array" ref="BB39">IF(AND($L39&lt;&gt;"",BB$8&lt;&gt;""),COUNTIFS($C$9:$C$59,$L39,$J$9:$J$59,BB$8),0)</f>
        <v>0</v>
      </c>
      <c r="BC39" s="178">
        <f t="array" ref="BC39">IF(AND($L39&lt;&gt;"",BC$8&lt;&gt;""),COUNTIFS($C$9:$C$59,$L39,$J$9:$J$59,BC$8),0)</f>
        <v>0</v>
      </c>
      <c r="BD39" s="178">
        <f t="array" ref="BD39">IF(AND($L39&lt;&gt;"",BD$8&lt;&gt;""),COUNTIFS($C$9:$C$59,$L39,$J$9:$J$59,BD$8),0)</f>
        <v>0</v>
      </c>
      <c r="BE39" s="178">
        <f t="array" ref="BE39">IF(AND($L39&lt;&gt;"",BE$8&lt;&gt;""),COUNTIFS($C$9:$C$59,$L39,$J$9:$J$59,BE$8),0)</f>
        <v>0</v>
      </c>
      <c r="BF39" s="178">
        <f t="array" ref="BF39">IF(AND($L39&lt;&gt;"",BF$8&lt;&gt;""),COUNTIFS($C$9:$C$59,$L39,$J$9:$J$59,BF$8),0)</f>
        <v>0</v>
      </c>
      <c r="BG39" s="178">
        <f t="array" ref="BG39">IF(AND($L39&lt;&gt;"",BG$8&lt;&gt;""),COUNTIFS($C$9:$C$59,$L39,$J$9:$J$59,BG$8),0)</f>
        <v>0</v>
      </c>
      <c r="BH39" s="178">
        <f t="array" ref="BH39">IF(AND($L39&lt;&gt;"",BH$8&lt;&gt;""),COUNTIFS($C$9:$C$59,$L39,$J$9:$J$59,BH$8),0)</f>
        <v>0</v>
      </c>
      <c r="BI39" s="178">
        <f t="array" ref="BI39">IF(AND($L39&lt;&gt;"",BI$8&lt;&gt;""),COUNTIFS($C$9:$C$59,$L39,$J$9:$J$59,BI$8),0)</f>
        <v>0</v>
      </c>
      <c r="BJ39" s="178">
        <f t="array" ref="BJ39">IF(AND($L39&lt;&gt;"",BJ$8&lt;&gt;""),COUNTIFS($C$9:$C$59,$L39,$J$9:$J$59,BJ$8),0)</f>
        <v>0</v>
      </c>
    </row>
    <row r="40" spans="2:62" x14ac:dyDescent="0.2">
      <c r="B40" s="126" t="s">
        <v>238</v>
      </c>
      <c r="C40" s="267"/>
      <c r="D40" s="23"/>
      <c r="E40" s="128"/>
      <c r="F40" s="118"/>
      <c r="G40" s="118" t="s">
        <v>287</v>
      </c>
      <c r="H40" s="117" t="str">
        <f t="shared" si="0"/>
        <v>-</v>
      </c>
      <c r="I40" s="127"/>
      <c r="J40" s="171" t="str">
        <f t="shared" si="1"/>
        <v/>
      </c>
      <c r="L40" s="178" t="str">
        <f t="array" ref="L40">IFERROR(INDEX($C$9:$C$59,MATCH(0,COUNTIF($L$8:$L39,$C$9:$C$59),0)),"")</f>
        <v/>
      </c>
      <c r="M40" s="178">
        <f t="array" ref="M40">IF(AND($L40&lt;&gt;"",M$8&lt;&gt;""),COUNTIFS($C$9:$C$59,$L40,$J$9:$J$59,M$8),0)</f>
        <v>0</v>
      </c>
      <c r="N40" s="178">
        <f t="array" ref="N40">IF(AND($L40&lt;&gt;"",N$8&lt;&gt;""),COUNTIFS($C$9:$C$59,$L40,$J$9:$J$59,N$8),0)</f>
        <v>0</v>
      </c>
      <c r="O40" s="178">
        <f t="array" ref="O40">IF(AND($L40&lt;&gt;"",O$8&lt;&gt;""),COUNTIFS($C$9:$C$59,$L40,$J$9:$J$59,O$8),0)</f>
        <v>0</v>
      </c>
      <c r="P40" s="178">
        <f t="array" ref="P40">IF(AND($L40&lt;&gt;"",P$8&lt;&gt;""),COUNTIFS($C$9:$C$59,$L40,$J$9:$J$59,P$8),0)</f>
        <v>0</v>
      </c>
      <c r="Q40" s="178">
        <f t="array" ref="Q40">IF(AND($L40&lt;&gt;"",Q$8&lt;&gt;""),COUNTIFS($C$9:$C$59,$L40,$J$9:$J$59,Q$8),0)</f>
        <v>0</v>
      </c>
      <c r="R40" s="178">
        <f t="array" ref="R40">IF(AND($L40&lt;&gt;"",R$8&lt;&gt;""),COUNTIFS($C$9:$C$59,$L40,$J$9:$J$59,R$8),0)</f>
        <v>0</v>
      </c>
      <c r="S40" s="178">
        <f t="array" ref="S40">IF(AND($L40&lt;&gt;"",S$8&lt;&gt;""),COUNTIFS($C$9:$C$59,$L40,$J$9:$J$59,S$8),0)</f>
        <v>0</v>
      </c>
      <c r="T40" s="178">
        <f t="array" ref="T40">IF(AND($L40&lt;&gt;"",T$8&lt;&gt;""),COUNTIFS($C$9:$C$59,$L40,$J$9:$J$59,T$8),0)</f>
        <v>0</v>
      </c>
      <c r="U40" s="178">
        <f t="array" ref="U40">IF(AND($L40&lt;&gt;"",U$8&lt;&gt;""),COUNTIFS($C$9:$C$59,$L40,$J$9:$J$59,U$8),0)</f>
        <v>0</v>
      </c>
      <c r="V40" s="178">
        <f t="array" ref="V40">IF(AND($L40&lt;&gt;"",V$8&lt;&gt;""),COUNTIFS($C$9:$C$59,$L40,$J$9:$J$59,V$8),0)</f>
        <v>0</v>
      </c>
      <c r="W40" s="178">
        <f t="array" ref="W40">IF(AND($L40&lt;&gt;"",W$8&lt;&gt;""),COUNTIFS($C$9:$C$59,$L40,$J$9:$J$59,W$8),0)</f>
        <v>0</v>
      </c>
      <c r="X40" s="178">
        <f t="array" ref="X40">IF(AND($L40&lt;&gt;"",X$8&lt;&gt;""),COUNTIFS($C$9:$C$59,$L40,$J$9:$J$59,X$8),0)</f>
        <v>0</v>
      </c>
      <c r="Y40" s="178">
        <f t="array" ref="Y40">IF(AND($L40&lt;&gt;"",Y$8&lt;&gt;""),COUNTIFS($C$9:$C$59,$L40,$J$9:$J$59,Y$8),0)</f>
        <v>0</v>
      </c>
      <c r="Z40" s="178">
        <f t="array" ref="Z40">IF(AND($L40&lt;&gt;"",Z$8&lt;&gt;""),COUNTIFS($C$9:$C$59,$L40,$J$9:$J$59,Z$8),0)</f>
        <v>0</v>
      </c>
      <c r="AA40" s="178">
        <f t="array" ref="AA40">IF(AND($L40&lt;&gt;"",AA$8&lt;&gt;""),COUNTIFS($C$9:$C$59,$L40,$J$9:$J$59,AA$8),0)</f>
        <v>0</v>
      </c>
      <c r="AB40" s="178">
        <f t="array" ref="AB40">IF(AND($L40&lt;&gt;"",AB$8&lt;&gt;""),COUNTIFS($C$9:$C$59,$L40,$J$9:$J$59,AB$8),0)</f>
        <v>0</v>
      </c>
      <c r="AC40" s="178">
        <f t="array" ref="AC40">IF(AND($L40&lt;&gt;"",AC$8&lt;&gt;""),COUNTIFS($C$9:$C$59,$L40,$J$9:$J$59,AC$8),0)</f>
        <v>0</v>
      </c>
      <c r="AD40" s="178">
        <f t="array" ref="AD40">IF(AND($L40&lt;&gt;"",AD$8&lt;&gt;""),COUNTIFS($C$9:$C$59,$L40,$J$9:$J$59,AD$8),0)</f>
        <v>0</v>
      </c>
      <c r="AE40" s="178">
        <f t="array" ref="AE40">IF(AND($L40&lt;&gt;"",AE$8&lt;&gt;""),COUNTIFS($C$9:$C$59,$L40,$J$9:$J$59,AE$8),0)</f>
        <v>0</v>
      </c>
      <c r="AF40" s="178">
        <f t="array" ref="AF40">IF(AND($L40&lt;&gt;"",AF$8&lt;&gt;""),COUNTIFS($C$9:$C$59,$L40,$J$9:$J$59,AF$8),0)</f>
        <v>0</v>
      </c>
      <c r="AG40" s="178">
        <f t="array" ref="AG40">IF(AND($L40&lt;&gt;"",AG$8&lt;&gt;""),COUNTIFS($C$9:$C$59,$L40,$J$9:$J$59,AG$8),0)</f>
        <v>0</v>
      </c>
      <c r="AH40" s="178">
        <f t="array" ref="AH40">IF(AND($L40&lt;&gt;"",AH$8&lt;&gt;""),COUNTIFS($C$9:$C$59,$L40,$J$9:$J$59,AH$8),0)</f>
        <v>0</v>
      </c>
      <c r="AI40" s="178">
        <f t="array" ref="AI40">IF(AND($L40&lt;&gt;"",AI$8&lt;&gt;""),COUNTIFS($C$9:$C$59,$L40,$J$9:$J$59,AI$8),0)</f>
        <v>0</v>
      </c>
      <c r="AJ40" s="178">
        <f t="array" ref="AJ40">IF(AND($L40&lt;&gt;"",AJ$8&lt;&gt;""),COUNTIFS($C$9:$C$59,$L40,$J$9:$J$59,AJ$8),0)</f>
        <v>0</v>
      </c>
      <c r="AK40" s="178">
        <f t="array" ref="AK40">IF(AND($L40&lt;&gt;"",AK$8&lt;&gt;""),COUNTIFS($C$9:$C$59,$L40,$J$9:$J$59,AK$8),0)</f>
        <v>0</v>
      </c>
      <c r="AL40" s="178">
        <f t="array" ref="AL40">IF(AND($L40&lt;&gt;"",AL$8&lt;&gt;""),COUNTIFS($C$9:$C$59,$L40,$J$9:$J$59,AL$8),0)</f>
        <v>0</v>
      </c>
      <c r="AM40" s="178">
        <f t="array" ref="AM40">IF(AND($L40&lt;&gt;"",AM$8&lt;&gt;""),COUNTIFS($C$9:$C$59,$L40,$J$9:$J$59,AM$8),0)</f>
        <v>0</v>
      </c>
      <c r="AN40" s="178">
        <f t="array" ref="AN40">IF(AND($L40&lt;&gt;"",AN$8&lt;&gt;""),COUNTIFS($C$9:$C$59,$L40,$J$9:$J$59,AN$8),0)</f>
        <v>0</v>
      </c>
      <c r="AO40" s="178">
        <f t="array" ref="AO40">IF(AND($L40&lt;&gt;"",AO$8&lt;&gt;""),COUNTIFS($C$9:$C$59,$L40,$J$9:$J$59,AO$8),0)</f>
        <v>0</v>
      </c>
      <c r="AP40" s="178">
        <f t="array" ref="AP40">IF(AND($L40&lt;&gt;"",AP$8&lt;&gt;""),COUNTIFS($C$9:$C$59,$L40,$J$9:$J$59,AP$8),0)</f>
        <v>0</v>
      </c>
      <c r="AQ40" s="178">
        <f t="array" ref="AQ40">IF(AND($L40&lt;&gt;"",AQ$8&lt;&gt;""),COUNTIFS($C$9:$C$59,$L40,$J$9:$J$59,AQ$8),0)</f>
        <v>0</v>
      </c>
      <c r="AR40" s="178">
        <f t="array" ref="AR40">IF(AND($L40&lt;&gt;"",AR$8&lt;&gt;""),COUNTIFS($C$9:$C$59,$L40,$J$9:$J$59,AR$8),0)</f>
        <v>0</v>
      </c>
      <c r="AS40" s="178">
        <f t="array" ref="AS40">IF(AND($L40&lt;&gt;"",AS$8&lt;&gt;""),COUNTIFS($C$9:$C$59,$L40,$J$9:$J$59,AS$8),0)</f>
        <v>0</v>
      </c>
      <c r="AT40" s="178">
        <f t="array" ref="AT40">IF(AND($L40&lt;&gt;"",AT$8&lt;&gt;""),COUNTIFS($C$9:$C$59,$L40,$J$9:$J$59,AT$8),0)</f>
        <v>0</v>
      </c>
      <c r="AU40" s="178">
        <f t="array" ref="AU40">IF(AND($L40&lt;&gt;"",AU$8&lt;&gt;""),COUNTIFS($C$9:$C$59,$L40,$J$9:$J$59,AU$8),0)</f>
        <v>0</v>
      </c>
      <c r="AV40" s="178">
        <f t="array" ref="AV40">IF(AND($L40&lt;&gt;"",AV$8&lt;&gt;""),COUNTIFS($C$9:$C$59,$L40,$J$9:$J$59,AV$8),0)</f>
        <v>0</v>
      </c>
      <c r="AW40" s="178">
        <f t="array" ref="AW40">IF(AND($L40&lt;&gt;"",AW$8&lt;&gt;""),COUNTIFS($C$9:$C$59,$L40,$J$9:$J$59,AW$8),0)</f>
        <v>0</v>
      </c>
      <c r="AX40" s="178">
        <f t="array" ref="AX40">IF(AND($L40&lt;&gt;"",AX$8&lt;&gt;""),COUNTIFS($C$9:$C$59,$L40,$J$9:$J$59,AX$8),0)</f>
        <v>0</v>
      </c>
      <c r="AY40" s="178">
        <f t="array" ref="AY40">IF(AND($L40&lt;&gt;"",AY$8&lt;&gt;""),COUNTIFS($C$9:$C$59,$L40,$J$9:$J$59,AY$8),0)</f>
        <v>0</v>
      </c>
      <c r="AZ40" s="178">
        <f t="array" ref="AZ40">IF(AND($L40&lt;&gt;"",AZ$8&lt;&gt;""),COUNTIFS($C$9:$C$59,$L40,$J$9:$J$59,AZ$8),0)</f>
        <v>0</v>
      </c>
      <c r="BA40" s="178">
        <f t="array" ref="BA40">IF(AND($L40&lt;&gt;"",BA$8&lt;&gt;""),COUNTIFS($C$9:$C$59,$L40,$J$9:$J$59,BA$8),0)</f>
        <v>0</v>
      </c>
      <c r="BB40" s="178">
        <f t="array" ref="BB40">IF(AND($L40&lt;&gt;"",BB$8&lt;&gt;""),COUNTIFS($C$9:$C$59,$L40,$J$9:$J$59,BB$8),0)</f>
        <v>0</v>
      </c>
      <c r="BC40" s="178">
        <f t="array" ref="BC40">IF(AND($L40&lt;&gt;"",BC$8&lt;&gt;""),COUNTIFS($C$9:$C$59,$L40,$J$9:$J$59,BC$8),0)</f>
        <v>0</v>
      </c>
      <c r="BD40" s="178">
        <f t="array" ref="BD40">IF(AND($L40&lt;&gt;"",BD$8&lt;&gt;""),COUNTIFS($C$9:$C$59,$L40,$J$9:$J$59,BD$8),0)</f>
        <v>0</v>
      </c>
      <c r="BE40" s="178">
        <f t="array" ref="BE40">IF(AND($L40&lt;&gt;"",BE$8&lt;&gt;""),COUNTIFS($C$9:$C$59,$L40,$J$9:$J$59,BE$8),0)</f>
        <v>0</v>
      </c>
      <c r="BF40" s="178">
        <f t="array" ref="BF40">IF(AND($L40&lt;&gt;"",BF$8&lt;&gt;""),COUNTIFS($C$9:$C$59,$L40,$J$9:$J$59,BF$8),0)</f>
        <v>0</v>
      </c>
      <c r="BG40" s="178">
        <f t="array" ref="BG40">IF(AND($L40&lt;&gt;"",BG$8&lt;&gt;""),COUNTIFS($C$9:$C$59,$L40,$J$9:$J$59,BG$8),0)</f>
        <v>0</v>
      </c>
      <c r="BH40" s="178">
        <f t="array" ref="BH40">IF(AND($L40&lt;&gt;"",BH$8&lt;&gt;""),COUNTIFS($C$9:$C$59,$L40,$J$9:$J$59,BH$8),0)</f>
        <v>0</v>
      </c>
      <c r="BI40" s="178">
        <f t="array" ref="BI40">IF(AND($L40&lt;&gt;"",BI$8&lt;&gt;""),COUNTIFS($C$9:$C$59,$L40,$J$9:$J$59,BI$8),0)</f>
        <v>0</v>
      </c>
      <c r="BJ40" s="178">
        <f t="array" ref="BJ40">IF(AND($L40&lt;&gt;"",BJ$8&lt;&gt;""),COUNTIFS($C$9:$C$59,$L40,$J$9:$J$59,BJ$8),0)</f>
        <v>0</v>
      </c>
    </row>
    <row r="41" spans="2:62" x14ac:dyDescent="0.2">
      <c r="B41" s="126" t="s">
        <v>239</v>
      </c>
      <c r="C41" s="267"/>
      <c r="D41" s="23"/>
      <c r="E41" s="128"/>
      <c r="F41" s="118"/>
      <c r="G41" s="118" t="s">
        <v>287</v>
      </c>
      <c r="H41" s="117" t="str">
        <f t="shared" si="0"/>
        <v>-</v>
      </c>
      <c r="I41" s="127"/>
      <c r="J41" s="171" t="str">
        <f t="shared" si="1"/>
        <v/>
      </c>
      <c r="L41" s="178" t="str">
        <f t="array" ref="L41">IFERROR(INDEX($C$9:$C$59,MATCH(0,COUNTIF($L$8:$L40,$C$9:$C$59),0)),"")</f>
        <v/>
      </c>
      <c r="M41" s="178">
        <f t="array" ref="M41">IF(AND($L41&lt;&gt;"",M$8&lt;&gt;""),COUNTIFS($C$9:$C$59,$L41,$J$9:$J$59,M$8),0)</f>
        <v>0</v>
      </c>
      <c r="N41" s="178">
        <f t="array" ref="N41">IF(AND($L41&lt;&gt;"",N$8&lt;&gt;""),COUNTIFS($C$9:$C$59,$L41,$J$9:$J$59,N$8),0)</f>
        <v>0</v>
      </c>
      <c r="O41" s="178">
        <f t="array" ref="O41">IF(AND($L41&lt;&gt;"",O$8&lt;&gt;""),COUNTIFS($C$9:$C$59,$L41,$J$9:$J$59,O$8),0)</f>
        <v>0</v>
      </c>
      <c r="P41" s="178">
        <f t="array" ref="P41">IF(AND($L41&lt;&gt;"",P$8&lt;&gt;""),COUNTIFS($C$9:$C$59,$L41,$J$9:$J$59,P$8),0)</f>
        <v>0</v>
      </c>
      <c r="Q41" s="178">
        <f t="array" ref="Q41">IF(AND($L41&lt;&gt;"",Q$8&lt;&gt;""),COUNTIFS($C$9:$C$59,$L41,$J$9:$J$59,Q$8),0)</f>
        <v>0</v>
      </c>
      <c r="R41" s="178">
        <f t="array" ref="R41">IF(AND($L41&lt;&gt;"",R$8&lt;&gt;""),COUNTIFS($C$9:$C$59,$L41,$J$9:$J$59,R$8),0)</f>
        <v>0</v>
      </c>
      <c r="S41" s="178">
        <f t="array" ref="S41">IF(AND($L41&lt;&gt;"",S$8&lt;&gt;""),COUNTIFS($C$9:$C$59,$L41,$J$9:$J$59,S$8),0)</f>
        <v>0</v>
      </c>
      <c r="T41" s="178">
        <f t="array" ref="T41">IF(AND($L41&lt;&gt;"",T$8&lt;&gt;""),COUNTIFS($C$9:$C$59,$L41,$J$9:$J$59,T$8),0)</f>
        <v>0</v>
      </c>
      <c r="U41" s="178">
        <f t="array" ref="U41">IF(AND($L41&lt;&gt;"",U$8&lt;&gt;""),COUNTIFS($C$9:$C$59,$L41,$J$9:$J$59,U$8),0)</f>
        <v>0</v>
      </c>
      <c r="V41" s="178">
        <f t="array" ref="V41">IF(AND($L41&lt;&gt;"",V$8&lt;&gt;""),COUNTIFS($C$9:$C$59,$L41,$J$9:$J$59,V$8),0)</f>
        <v>0</v>
      </c>
      <c r="W41" s="178">
        <f t="array" ref="W41">IF(AND($L41&lt;&gt;"",W$8&lt;&gt;""),COUNTIFS($C$9:$C$59,$L41,$J$9:$J$59,W$8),0)</f>
        <v>0</v>
      </c>
      <c r="X41" s="178">
        <f t="array" ref="X41">IF(AND($L41&lt;&gt;"",X$8&lt;&gt;""),COUNTIFS($C$9:$C$59,$L41,$J$9:$J$59,X$8),0)</f>
        <v>0</v>
      </c>
      <c r="Y41" s="178">
        <f t="array" ref="Y41">IF(AND($L41&lt;&gt;"",Y$8&lt;&gt;""),COUNTIFS($C$9:$C$59,$L41,$J$9:$J$59,Y$8),0)</f>
        <v>0</v>
      </c>
      <c r="Z41" s="178">
        <f t="array" ref="Z41">IF(AND($L41&lt;&gt;"",Z$8&lt;&gt;""),COUNTIFS($C$9:$C$59,$L41,$J$9:$J$59,Z$8),0)</f>
        <v>0</v>
      </c>
      <c r="AA41" s="178">
        <f t="array" ref="AA41">IF(AND($L41&lt;&gt;"",AA$8&lt;&gt;""),COUNTIFS($C$9:$C$59,$L41,$J$9:$J$59,AA$8),0)</f>
        <v>0</v>
      </c>
      <c r="AB41" s="178">
        <f t="array" ref="AB41">IF(AND($L41&lt;&gt;"",AB$8&lt;&gt;""),COUNTIFS($C$9:$C$59,$L41,$J$9:$J$59,AB$8),0)</f>
        <v>0</v>
      </c>
      <c r="AC41" s="178">
        <f t="array" ref="AC41">IF(AND($L41&lt;&gt;"",AC$8&lt;&gt;""),COUNTIFS($C$9:$C$59,$L41,$J$9:$J$59,AC$8),0)</f>
        <v>0</v>
      </c>
      <c r="AD41" s="178">
        <f t="array" ref="AD41">IF(AND($L41&lt;&gt;"",AD$8&lt;&gt;""),COUNTIFS($C$9:$C$59,$L41,$J$9:$J$59,AD$8),0)</f>
        <v>0</v>
      </c>
      <c r="AE41" s="178">
        <f t="array" ref="AE41">IF(AND($L41&lt;&gt;"",AE$8&lt;&gt;""),COUNTIFS($C$9:$C$59,$L41,$J$9:$J$59,AE$8),0)</f>
        <v>0</v>
      </c>
      <c r="AF41" s="178">
        <f t="array" ref="AF41">IF(AND($L41&lt;&gt;"",AF$8&lt;&gt;""),COUNTIFS($C$9:$C$59,$L41,$J$9:$J$59,AF$8),0)</f>
        <v>0</v>
      </c>
      <c r="AG41" s="178">
        <f t="array" ref="AG41">IF(AND($L41&lt;&gt;"",AG$8&lt;&gt;""),COUNTIFS($C$9:$C$59,$L41,$J$9:$J$59,AG$8),0)</f>
        <v>0</v>
      </c>
      <c r="AH41" s="178">
        <f t="array" ref="AH41">IF(AND($L41&lt;&gt;"",AH$8&lt;&gt;""),COUNTIFS($C$9:$C$59,$L41,$J$9:$J$59,AH$8),0)</f>
        <v>0</v>
      </c>
      <c r="AI41" s="178">
        <f t="array" ref="AI41">IF(AND($L41&lt;&gt;"",AI$8&lt;&gt;""),COUNTIFS($C$9:$C$59,$L41,$J$9:$J$59,AI$8),0)</f>
        <v>0</v>
      </c>
      <c r="AJ41" s="178">
        <f t="array" ref="AJ41">IF(AND($L41&lt;&gt;"",AJ$8&lt;&gt;""),COUNTIFS($C$9:$C$59,$L41,$J$9:$J$59,AJ$8),0)</f>
        <v>0</v>
      </c>
      <c r="AK41" s="178">
        <f t="array" ref="AK41">IF(AND($L41&lt;&gt;"",AK$8&lt;&gt;""),COUNTIFS($C$9:$C$59,$L41,$J$9:$J$59,AK$8),0)</f>
        <v>0</v>
      </c>
      <c r="AL41" s="178">
        <f t="array" ref="AL41">IF(AND($L41&lt;&gt;"",AL$8&lt;&gt;""),COUNTIFS($C$9:$C$59,$L41,$J$9:$J$59,AL$8),0)</f>
        <v>0</v>
      </c>
      <c r="AM41" s="178">
        <f t="array" ref="AM41">IF(AND($L41&lt;&gt;"",AM$8&lt;&gt;""),COUNTIFS($C$9:$C$59,$L41,$J$9:$J$59,AM$8),0)</f>
        <v>0</v>
      </c>
      <c r="AN41" s="178">
        <f t="array" ref="AN41">IF(AND($L41&lt;&gt;"",AN$8&lt;&gt;""),COUNTIFS($C$9:$C$59,$L41,$J$9:$J$59,AN$8),0)</f>
        <v>0</v>
      </c>
      <c r="AO41" s="178">
        <f t="array" ref="AO41">IF(AND($L41&lt;&gt;"",AO$8&lt;&gt;""),COUNTIFS($C$9:$C$59,$L41,$J$9:$J$59,AO$8),0)</f>
        <v>0</v>
      </c>
      <c r="AP41" s="178">
        <f t="array" ref="AP41">IF(AND($L41&lt;&gt;"",AP$8&lt;&gt;""),COUNTIFS($C$9:$C$59,$L41,$J$9:$J$59,AP$8),0)</f>
        <v>0</v>
      </c>
      <c r="AQ41" s="178">
        <f t="array" ref="AQ41">IF(AND($L41&lt;&gt;"",AQ$8&lt;&gt;""),COUNTIFS($C$9:$C$59,$L41,$J$9:$J$59,AQ$8),0)</f>
        <v>0</v>
      </c>
      <c r="AR41" s="178">
        <f t="array" ref="AR41">IF(AND($L41&lt;&gt;"",AR$8&lt;&gt;""),COUNTIFS($C$9:$C$59,$L41,$J$9:$J$59,AR$8),0)</f>
        <v>0</v>
      </c>
      <c r="AS41" s="178">
        <f t="array" ref="AS41">IF(AND($L41&lt;&gt;"",AS$8&lt;&gt;""),COUNTIFS($C$9:$C$59,$L41,$J$9:$J$59,AS$8),0)</f>
        <v>0</v>
      </c>
      <c r="AT41" s="178">
        <f t="array" ref="AT41">IF(AND($L41&lt;&gt;"",AT$8&lt;&gt;""),COUNTIFS($C$9:$C$59,$L41,$J$9:$J$59,AT$8),0)</f>
        <v>0</v>
      </c>
      <c r="AU41" s="178">
        <f t="array" ref="AU41">IF(AND($L41&lt;&gt;"",AU$8&lt;&gt;""),COUNTIFS($C$9:$C$59,$L41,$J$9:$J$59,AU$8),0)</f>
        <v>0</v>
      </c>
      <c r="AV41" s="178">
        <f t="array" ref="AV41">IF(AND($L41&lt;&gt;"",AV$8&lt;&gt;""),COUNTIFS($C$9:$C$59,$L41,$J$9:$J$59,AV$8),0)</f>
        <v>0</v>
      </c>
      <c r="AW41" s="178">
        <f t="array" ref="AW41">IF(AND($L41&lt;&gt;"",AW$8&lt;&gt;""),COUNTIFS($C$9:$C$59,$L41,$J$9:$J$59,AW$8),0)</f>
        <v>0</v>
      </c>
      <c r="AX41" s="178">
        <f t="array" ref="AX41">IF(AND($L41&lt;&gt;"",AX$8&lt;&gt;""),COUNTIFS($C$9:$C$59,$L41,$J$9:$J$59,AX$8),0)</f>
        <v>0</v>
      </c>
      <c r="AY41" s="178">
        <f t="array" ref="AY41">IF(AND($L41&lt;&gt;"",AY$8&lt;&gt;""),COUNTIFS($C$9:$C$59,$L41,$J$9:$J$59,AY$8),0)</f>
        <v>0</v>
      </c>
      <c r="AZ41" s="178">
        <f t="array" ref="AZ41">IF(AND($L41&lt;&gt;"",AZ$8&lt;&gt;""),COUNTIFS($C$9:$C$59,$L41,$J$9:$J$59,AZ$8),0)</f>
        <v>0</v>
      </c>
      <c r="BA41" s="178">
        <f t="array" ref="BA41">IF(AND($L41&lt;&gt;"",BA$8&lt;&gt;""),COUNTIFS($C$9:$C$59,$L41,$J$9:$J$59,BA$8),0)</f>
        <v>0</v>
      </c>
      <c r="BB41" s="178">
        <f t="array" ref="BB41">IF(AND($L41&lt;&gt;"",BB$8&lt;&gt;""),COUNTIFS($C$9:$C$59,$L41,$J$9:$J$59,BB$8),0)</f>
        <v>0</v>
      </c>
      <c r="BC41" s="178">
        <f t="array" ref="BC41">IF(AND($L41&lt;&gt;"",BC$8&lt;&gt;""),COUNTIFS($C$9:$C$59,$L41,$J$9:$J$59,BC$8),0)</f>
        <v>0</v>
      </c>
      <c r="BD41" s="178">
        <f t="array" ref="BD41">IF(AND($L41&lt;&gt;"",BD$8&lt;&gt;""),COUNTIFS($C$9:$C$59,$L41,$J$9:$J$59,BD$8),0)</f>
        <v>0</v>
      </c>
      <c r="BE41" s="178">
        <f t="array" ref="BE41">IF(AND($L41&lt;&gt;"",BE$8&lt;&gt;""),COUNTIFS($C$9:$C$59,$L41,$J$9:$J$59,BE$8),0)</f>
        <v>0</v>
      </c>
      <c r="BF41" s="178">
        <f t="array" ref="BF41">IF(AND($L41&lt;&gt;"",BF$8&lt;&gt;""),COUNTIFS($C$9:$C$59,$L41,$J$9:$J$59,BF$8),0)</f>
        <v>0</v>
      </c>
      <c r="BG41" s="178">
        <f t="array" ref="BG41">IF(AND($L41&lt;&gt;"",BG$8&lt;&gt;""),COUNTIFS($C$9:$C$59,$L41,$J$9:$J$59,BG$8),0)</f>
        <v>0</v>
      </c>
      <c r="BH41" s="178">
        <f t="array" ref="BH41">IF(AND($L41&lt;&gt;"",BH$8&lt;&gt;""),COUNTIFS($C$9:$C$59,$L41,$J$9:$J$59,BH$8),0)</f>
        <v>0</v>
      </c>
      <c r="BI41" s="178">
        <f t="array" ref="BI41">IF(AND($L41&lt;&gt;"",BI$8&lt;&gt;""),COUNTIFS($C$9:$C$59,$L41,$J$9:$J$59,BI$8),0)</f>
        <v>0</v>
      </c>
      <c r="BJ41" s="178">
        <f t="array" ref="BJ41">IF(AND($L41&lt;&gt;"",BJ$8&lt;&gt;""),COUNTIFS($C$9:$C$59,$L41,$J$9:$J$59,BJ$8),0)</f>
        <v>0</v>
      </c>
    </row>
    <row r="42" spans="2:62" x14ac:dyDescent="0.2">
      <c r="B42" s="126" t="s">
        <v>240</v>
      </c>
      <c r="C42" s="267"/>
      <c r="D42" s="23"/>
      <c r="E42" s="128"/>
      <c r="F42" s="118"/>
      <c r="G42" s="118" t="s">
        <v>287</v>
      </c>
      <c r="H42" s="117" t="str">
        <f t="shared" si="0"/>
        <v>-</v>
      </c>
      <c r="I42" s="127"/>
      <c r="J42" s="171" t="str">
        <f t="shared" si="1"/>
        <v/>
      </c>
      <c r="L42" s="178" t="str">
        <f t="array" ref="L42">IFERROR(INDEX($C$9:$C$59,MATCH(0,COUNTIF($L$8:$L41,$C$9:$C$59),0)),"")</f>
        <v/>
      </c>
      <c r="M42" s="178">
        <f t="array" ref="M42">IF(AND($L42&lt;&gt;"",M$8&lt;&gt;""),COUNTIFS($C$9:$C$59,$L42,$J$9:$J$59,M$8),0)</f>
        <v>0</v>
      </c>
      <c r="N42" s="178">
        <f t="array" ref="N42">IF(AND($L42&lt;&gt;"",N$8&lt;&gt;""),COUNTIFS($C$9:$C$59,$L42,$J$9:$J$59,N$8),0)</f>
        <v>0</v>
      </c>
      <c r="O42" s="178">
        <f t="array" ref="O42">IF(AND($L42&lt;&gt;"",O$8&lt;&gt;""),COUNTIFS($C$9:$C$59,$L42,$J$9:$J$59,O$8),0)</f>
        <v>0</v>
      </c>
      <c r="P42" s="178">
        <f t="array" ref="P42">IF(AND($L42&lt;&gt;"",P$8&lt;&gt;""),COUNTIFS($C$9:$C$59,$L42,$J$9:$J$59,P$8),0)</f>
        <v>0</v>
      </c>
      <c r="Q42" s="178">
        <f t="array" ref="Q42">IF(AND($L42&lt;&gt;"",Q$8&lt;&gt;""),COUNTIFS($C$9:$C$59,$L42,$J$9:$J$59,Q$8),0)</f>
        <v>0</v>
      </c>
      <c r="R42" s="178">
        <f t="array" ref="R42">IF(AND($L42&lt;&gt;"",R$8&lt;&gt;""),COUNTIFS($C$9:$C$59,$L42,$J$9:$J$59,R$8),0)</f>
        <v>0</v>
      </c>
      <c r="S42" s="178">
        <f t="array" ref="S42">IF(AND($L42&lt;&gt;"",S$8&lt;&gt;""),COUNTIFS($C$9:$C$59,$L42,$J$9:$J$59,S$8),0)</f>
        <v>0</v>
      </c>
      <c r="T42" s="178">
        <f t="array" ref="T42">IF(AND($L42&lt;&gt;"",T$8&lt;&gt;""),COUNTIFS($C$9:$C$59,$L42,$J$9:$J$59,T$8),0)</f>
        <v>0</v>
      </c>
      <c r="U42" s="178">
        <f t="array" ref="U42">IF(AND($L42&lt;&gt;"",U$8&lt;&gt;""),COUNTIFS($C$9:$C$59,$L42,$J$9:$J$59,U$8),0)</f>
        <v>0</v>
      </c>
      <c r="V42" s="178">
        <f t="array" ref="V42">IF(AND($L42&lt;&gt;"",V$8&lt;&gt;""),COUNTIFS($C$9:$C$59,$L42,$J$9:$J$59,V$8),0)</f>
        <v>0</v>
      </c>
      <c r="W42" s="178">
        <f t="array" ref="W42">IF(AND($L42&lt;&gt;"",W$8&lt;&gt;""),COUNTIFS($C$9:$C$59,$L42,$J$9:$J$59,W$8),0)</f>
        <v>0</v>
      </c>
      <c r="X42" s="178">
        <f t="array" ref="X42">IF(AND($L42&lt;&gt;"",X$8&lt;&gt;""),COUNTIFS($C$9:$C$59,$L42,$J$9:$J$59,X$8),0)</f>
        <v>0</v>
      </c>
      <c r="Y42" s="178">
        <f t="array" ref="Y42">IF(AND($L42&lt;&gt;"",Y$8&lt;&gt;""),COUNTIFS($C$9:$C$59,$L42,$J$9:$J$59,Y$8),0)</f>
        <v>0</v>
      </c>
      <c r="Z42" s="178">
        <f t="array" ref="Z42">IF(AND($L42&lt;&gt;"",Z$8&lt;&gt;""),COUNTIFS($C$9:$C$59,$L42,$J$9:$J$59,Z$8),0)</f>
        <v>0</v>
      </c>
      <c r="AA42" s="178">
        <f t="array" ref="AA42">IF(AND($L42&lt;&gt;"",AA$8&lt;&gt;""),COUNTIFS($C$9:$C$59,$L42,$J$9:$J$59,AA$8),0)</f>
        <v>0</v>
      </c>
      <c r="AB42" s="178">
        <f t="array" ref="AB42">IF(AND($L42&lt;&gt;"",AB$8&lt;&gt;""),COUNTIFS($C$9:$C$59,$L42,$J$9:$J$59,AB$8),0)</f>
        <v>0</v>
      </c>
      <c r="AC42" s="178">
        <f t="array" ref="AC42">IF(AND($L42&lt;&gt;"",AC$8&lt;&gt;""),COUNTIFS($C$9:$C$59,$L42,$J$9:$J$59,AC$8),0)</f>
        <v>0</v>
      </c>
      <c r="AD42" s="178">
        <f t="array" ref="AD42">IF(AND($L42&lt;&gt;"",AD$8&lt;&gt;""),COUNTIFS($C$9:$C$59,$L42,$J$9:$J$59,AD$8),0)</f>
        <v>0</v>
      </c>
      <c r="AE42" s="178">
        <f t="array" ref="AE42">IF(AND($L42&lt;&gt;"",AE$8&lt;&gt;""),COUNTIFS($C$9:$C$59,$L42,$J$9:$J$59,AE$8),0)</f>
        <v>0</v>
      </c>
      <c r="AF42" s="178">
        <f t="array" ref="AF42">IF(AND($L42&lt;&gt;"",AF$8&lt;&gt;""),COUNTIFS($C$9:$C$59,$L42,$J$9:$J$59,AF$8),0)</f>
        <v>0</v>
      </c>
      <c r="AG42" s="178">
        <f t="array" ref="AG42">IF(AND($L42&lt;&gt;"",AG$8&lt;&gt;""),COUNTIFS($C$9:$C$59,$L42,$J$9:$J$59,AG$8),0)</f>
        <v>0</v>
      </c>
      <c r="AH42" s="178">
        <f t="array" ref="AH42">IF(AND($L42&lt;&gt;"",AH$8&lt;&gt;""),COUNTIFS($C$9:$C$59,$L42,$J$9:$J$59,AH$8),0)</f>
        <v>0</v>
      </c>
      <c r="AI42" s="178">
        <f t="array" ref="AI42">IF(AND($L42&lt;&gt;"",AI$8&lt;&gt;""),COUNTIFS($C$9:$C$59,$L42,$J$9:$J$59,AI$8),0)</f>
        <v>0</v>
      </c>
      <c r="AJ42" s="178">
        <f t="array" ref="AJ42">IF(AND($L42&lt;&gt;"",AJ$8&lt;&gt;""),COUNTIFS($C$9:$C$59,$L42,$J$9:$J$59,AJ$8),0)</f>
        <v>0</v>
      </c>
      <c r="AK42" s="178">
        <f t="array" ref="AK42">IF(AND($L42&lt;&gt;"",AK$8&lt;&gt;""),COUNTIFS($C$9:$C$59,$L42,$J$9:$J$59,AK$8),0)</f>
        <v>0</v>
      </c>
      <c r="AL42" s="178">
        <f t="array" ref="AL42">IF(AND($L42&lt;&gt;"",AL$8&lt;&gt;""),COUNTIFS($C$9:$C$59,$L42,$J$9:$J$59,AL$8),0)</f>
        <v>0</v>
      </c>
      <c r="AM42" s="178">
        <f t="array" ref="AM42">IF(AND($L42&lt;&gt;"",AM$8&lt;&gt;""),COUNTIFS($C$9:$C$59,$L42,$J$9:$J$59,AM$8),0)</f>
        <v>0</v>
      </c>
      <c r="AN42" s="178">
        <f t="array" ref="AN42">IF(AND($L42&lt;&gt;"",AN$8&lt;&gt;""),COUNTIFS($C$9:$C$59,$L42,$J$9:$J$59,AN$8),0)</f>
        <v>0</v>
      </c>
      <c r="AO42" s="178">
        <f t="array" ref="AO42">IF(AND($L42&lt;&gt;"",AO$8&lt;&gt;""),COUNTIFS($C$9:$C$59,$L42,$J$9:$J$59,AO$8),0)</f>
        <v>0</v>
      </c>
      <c r="AP42" s="178">
        <f t="array" ref="AP42">IF(AND($L42&lt;&gt;"",AP$8&lt;&gt;""),COUNTIFS($C$9:$C$59,$L42,$J$9:$J$59,AP$8),0)</f>
        <v>0</v>
      </c>
      <c r="AQ42" s="178">
        <f t="array" ref="AQ42">IF(AND($L42&lt;&gt;"",AQ$8&lt;&gt;""),COUNTIFS($C$9:$C$59,$L42,$J$9:$J$59,AQ$8),0)</f>
        <v>0</v>
      </c>
      <c r="AR42" s="178">
        <f t="array" ref="AR42">IF(AND($L42&lt;&gt;"",AR$8&lt;&gt;""),COUNTIFS($C$9:$C$59,$L42,$J$9:$J$59,AR$8),0)</f>
        <v>0</v>
      </c>
      <c r="AS42" s="178">
        <f t="array" ref="AS42">IF(AND($L42&lt;&gt;"",AS$8&lt;&gt;""),COUNTIFS($C$9:$C$59,$L42,$J$9:$J$59,AS$8),0)</f>
        <v>0</v>
      </c>
      <c r="AT42" s="178">
        <f t="array" ref="AT42">IF(AND($L42&lt;&gt;"",AT$8&lt;&gt;""),COUNTIFS($C$9:$C$59,$L42,$J$9:$J$59,AT$8),0)</f>
        <v>0</v>
      </c>
      <c r="AU42" s="178">
        <f t="array" ref="AU42">IF(AND($L42&lt;&gt;"",AU$8&lt;&gt;""),COUNTIFS($C$9:$C$59,$L42,$J$9:$J$59,AU$8),0)</f>
        <v>0</v>
      </c>
      <c r="AV42" s="178">
        <f t="array" ref="AV42">IF(AND($L42&lt;&gt;"",AV$8&lt;&gt;""),COUNTIFS($C$9:$C$59,$L42,$J$9:$J$59,AV$8),0)</f>
        <v>0</v>
      </c>
      <c r="AW42" s="178">
        <f t="array" ref="AW42">IF(AND($L42&lt;&gt;"",AW$8&lt;&gt;""),COUNTIFS($C$9:$C$59,$L42,$J$9:$J$59,AW$8),0)</f>
        <v>0</v>
      </c>
      <c r="AX42" s="178">
        <f t="array" ref="AX42">IF(AND($L42&lt;&gt;"",AX$8&lt;&gt;""),COUNTIFS($C$9:$C$59,$L42,$J$9:$J$59,AX$8),0)</f>
        <v>0</v>
      </c>
      <c r="AY42" s="178">
        <f t="array" ref="AY42">IF(AND($L42&lt;&gt;"",AY$8&lt;&gt;""),COUNTIFS($C$9:$C$59,$L42,$J$9:$J$59,AY$8),0)</f>
        <v>0</v>
      </c>
      <c r="AZ42" s="178">
        <f t="array" ref="AZ42">IF(AND($L42&lt;&gt;"",AZ$8&lt;&gt;""),COUNTIFS($C$9:$C$59,$L42,$J$9:$J$59,AZ$8),0)</f>
        <v>0</v>
      </c>
      <c r="BA42" s="178">
        <f t="array" ref="BA42">IF(AND($L42&lt;&gt;"",BA$8&lt;&gt;""),COUNTIFS($C$9:$C$59,$L42,$J$9:$J$59,BA$8),0)</f>
        <v>0</v>
      </c>
      <c r="BB42" s="178">
        <f t="array" ref="BB42">IF(AND($L42&lt;&gt;"",BB$8&lt;&gt;""),COUNTIFS($C$9:$C$59,$L42,$J$9:$J$59,BB$8),0)</f>
        <v>0</v>
      </c>
      <c r="BC42" s="178">
        <f t="array" ref="BC42">IF(AND($L42&lt;&gt;"",BC$8&lt;&gt;""),COUNTIFS($C$9:$C$59,$L42,$J$9:$J$59,BC$8),0)</f>
        <v>0</v>
      </c>
      <c r="BD42" s="178">
        <f t="array" ref="BD42">IF(AND($L42&lt;&gt;"",BD$8&lt;&gt;""),COUNTIFS($C$9:$C$59,$L42,$J$9:$J$59,BD$8),0)</f>
        <v>0</v>
      </c>
      <c r="BE42" s="178">
        <f t="array" ref="BE42">IF(AND($L42&lt;&gt;"",BE$8&lt;&gt;""),COUNTIFS($C$9:$C$59,$L42,$J$9:$J$59,BE$8),0)</f>
        <v>0</v>
      </c>
      <c r="BF42" s="178">
        <f t="array" ref="BF42">IF(AND($L42&lt;&gt;"",BF$8&lt;&gt;""),COUNTIFS($C$9:$C$59,$L42,$J$9:$J$59,BF$8),0)</f>
        <v>0</v>
      </c>
      <c r="BG42" s="178">
        <f t="array" ref="BG42">IF(AND($L42&lt;&gt;"",BG$8&lt;&gt;""),COUNTIFS($C$9:$C$59,$L42,$J$9:$J$59,BG$8),0)</f>
        <v>0</v>
      </c>
      <c r="BH42" s="178">
        <f t="array" ref="BH42">IF(AND($L42&lt;&gt;"",BH$8&lt;&gt;""),COUNTIFS($C$9:$C$59,$L42,$J$9:$J$59,BH$8),0)</f>
        <v>0</v>
      </c>
      <c r="BI42" s="178">
        <f t="array" ref="BI42">IF(AND($L42&lt;&gt;"",BI$8&lt;&gt;""),COUNTIFS($C$9:$C$59,$L42,$J$9:$J$59,BI$8),0)</f>
        <v>0</v>
      </c>
      <c r="BJ42" s="178">
        <f t="array" ref="BJ42">IF(AND($L42&lt;&gt;"",BJ$8&lt;&gt;""),COUNTIFS($C$9:$C$59,$L42,$J$9:$J$59,BJ$8),0)</f>
        <v>0</v>
      </c>
    </row>
    <row r="43" spans="2:62" x14ac:dyDescent="0.2">
      <c r="B43" s="126" t="s">
        <v>241</v>
      </c>
      <c r="C43" s="267"/>
      <c r="D43" s="23"/>
      <c r="E43" s="128"/>
      <c r="F43" s="118"/>
      <c r="G43" s="118" t="s">
        <v>287</v>
      </c>
      <c r="H43" s="117" t="str">
        <f t="shared" si="0"/>
        <v>-</v>
      </c>
      <c r="I43" s="127"/>
      <c r="J43" s="171" t="str">
        <f t="shared" si="1"/>
        <v/>
      </c>
      <c r="L43" s="178" t="str">
        <f t="array" ref="L43">IFERROR(INDEX($C$9:$C$59,MATCH(0,COUNTIF($L$8:$L42,$C$9:$C$59),0)),"")</f>
        <v/>
      </c>
      <c r="M43" s="178">
        <f t="array" ref="M43">IF(AND($L43&lt;&gt;"",M$8&lt;&gt;""),COUNTIFS($C$9:$C$59,$L43,$J$9:$J$59,M$8),0)</f>
        <v>0</v>
      </c>
      <c r="N43" s="178">
        <f t="array" ref="N43">IF(AND($L43&lt;&gt;"",N$8&lt;&gt;""),COUNTIFS($C$9:$C$59,$L43,$J$9:$J$59,N$8),0)</f>
        <v>0</v>
      </c>
      <c r="O43" s="178">
        <f t="array" ref="O43">IF(AND($L43&lt;&gt;"",O$8&lt;&gt;""),COUNTIFS($C$9:$C$59,$L43,$J$9:$J$59,O$8),0)</f>
        <v>0</v>
      </c>
      <c r="P43" s="178">
        <f t="array" ref="P43">IF(AND($L43&lt;&gt;"",P$8&lt;&gt;""),COUNTIFS($C$9:$C$59,$L43,$J$9:$J$59,P$8),0)</f>
        <v>0</v>
      </c>
      <c r="Q43" s="178">
        <f t="array" ref="Q43">IF(AND($L43&lt;&gt;"",Q$8&lt;&gt;""),COUNTIFS($C$9:$C$59,$L43,$J$9:$J$59,Q$8),0)</f>
        <v>0</v>
      </c>
      <c r="R43" s="178">
        <f t="array" ref="R43">IF(AND($L43&lt;&gt;"",R$8&lt;&gt;""),COUNTIFS($C$9:$C$59,$L43,$J$9:$J$59,R$8),0)</f>
        <v>0</v>
      </c>
      <c r="S43" s="178">
        <f t="array" ref="S43">IF(AND($L43&lt;&gt;"",S$8&lt;&gt;""),COUNTIFS($C$9:$C$59,$L43,$J$9:$J$59,S$8),0)</f>
        <v>0</v>
      </c>
      <c r="T43" s="178">
        <f t="array" ref="T43">IF(AND($L43&lt;&gt;"",T$8&lt;&gt;""),COUNTIFS($C$9:$C$59,$L43,$J$9:$J$59,T$8),0)</f>
        <v>0</v>
      </c>
      <c r="U43" s="178">
        <f t="array" ref="U43">IF(AND($L43&lt;&gt;"",U$8&lt;&gt;""),COUNTIFS($C$9:$C$59,$L43,$J$9:$J$59,U$8),0)</f>
        <v>0</v>
      </c>
      <c r="V43" s="178">
        <f t="array" ref="V43">IF(AND($L43&lt;&gt;"",V$8&lt;&gt;""),COUNTIFS($C$9:$C$59,$L43,$J$9:$J$59,V$8),0)</f>
        <v>0</v>
      </c>
      <c r="W43" s="178">
        <f t="array" ref="W43">IF(AND($L43&lt;&gt;"",W$8&lt;&gt;""),COUNTIFS($C$9:$C$59,$L43,$J$9:$J$59,W$8),0)</f>
        <v>0</v>
      </c>
      <c r="X43" s="178">
        <f t="array" ref="X43">IF(AND($L43&lt;&gt;"",X$8&lt;&gt;""),COUNTIFS($C$9:$C$59,$L43,$J$9:$J$59,X$8),0)</f>
        <v>0</v>
      </c>
      <c r="Y43" s="178">
        <f t="array" ref="Y43">IF(AND($L43&lt;&gt;"",Y$8&lt;&gt;""),COUNTIFS($C$9:$C$59,$L43,$J$9:$J$59,Y$8),0)</f>
        <v>0</v>
      </c>
      <c r="Z43" s="178">
        <f t="array" ref="Z43">IF(AND($L43&lt;&gt;"",Z$8&lt;&gt;""),COUNTIFS($C$9:$C$59,$L43,$J$9:$J$59,Z$8),0)</f>
        <v>0</v>
      </c>
      <c r="AA43" s="178">
        <f t="array" ref="AA43">IF(AND($L43&lt;&gt;"",AA$8&lt;&gt;""),COUNTIFS($C$9:$C$59,$L43,$J$9:$J$59,AA$8),0)</f>
        <v>0</v>
      </c>
      <c r="AB43" s="178">
        <f t="array" ref="AB43">IF(AND($L43&lt;&gt;"",AB$8&lt;&gt;""),COUNTIFS($C$9:$C$59,$L43,$J$9:$J$59,AB$8),0)</f>
        <v>0</v>
      </c>
      <c r="AC43" s="178">
        <f t="array" ref="AC43">IF(AND($L43&lt;&gt;"",AC$8&lt;&gt;""),COUNTIFS($C$9:$C$59,$L43,$J$9:$J$59,AC$8),0)</f>
        <v>0</v>
      </c>
      <c r="AD43" s="178">
        <f t="array" ref="AD43">IF(AND($L43&lt;&gt;"",AD$8&lt;&gt;""),COUNTIFS($C$9:$C$59,$L43,$J$9:$J$59,AD$8),0)</f>
        <v>0</v>
      </c>
      <c r="AE43" s="178">
        <f t="array" ref="AE43">IF(AND($L43&lt;&gt;"",AE$8&lt;&gt;""),COUNTIFS($C$9:$C$59,$L43,$J$9:$J$59,AE$8),0)</f>
        <v>0</v>
      </c>
      <c r="AF43" s="178">
        <f t="array" ref="AF43">IF(AND($L43&lt;&gt;"",AF$8&lt;&gt;""),COUNTIFS($C$9:$C$59,$L43,$J$9:$J$59,AF$8),0)</f>
        <v>0</v>
      </c>
      <c r="AG43" s="178">
        <f t="array" ref="AG43">IF(AND($L43&lt;&gt;"",AG$8&lt;&gt;""),COUNTIFS($C$9:$C$59,$L43,$J$9:$J$59,AG$8),0)</f>
        <v>0</v>
      </c>
      <c r="AH43" s="178">
        <f t="array" ref="AH43">IF(AND($L43&lt;&gt;"",AH$8&lt;&gt;""),COUNTIFS($C$9:$C$59,$L43,$J$9:$J$59,AH$8),0)</f>
        <v>0</v>
      </c>
      <c r="AI43" s="178">
        <f t="array" ref="AI43">IF(AND($L43&lt;&gt;"",AI$8&lt;&gt;""),COUNTIFS($C$9:$C$59,$L43,$J$9:$J$59,AI$8),0)</f>
        <v>0</v>
      </c>
      <c r="AJ43" s="178">
        <f t="array" ref="AJ43">IF(AND($L43&lt;&gt;"",AJ$8&lt;&gt;""),COUNTIFS($C$9:$C$59,$L43,$J$9:$J$59,AJ$8),0)</f>
        <v>0</v>
      </c>
      <c r="AK43" s="178">
        <f t="array" ref="AK43">IF(AND($L43&lt;&gt;"",AK$8&lt;&gt;""),COUNTIFS($C$9:$C$59,$L43,$J$9:$J$59,AK$8),0)</f>
        <v>0</v>
      </c>
      <c r="AL43" s="178">
        <f t="array" ref="AL43">IF(AND($L43&lt;&gt;"",AL$8&lt;&gt;""),COUNTIFS($C$9:$C$59,$L43,$J$9:$J$59,AL$8),0)</f>
        <v>0</v>
      </c>
      <c r="AM43" s="178">
        <f t="array" ref="AM43">IF(AND($L43&lt;&gt;"",AM$8&lt;&gt;""),COUNTIFS($C$9:$C$59,$L43,$J$9:$J$59,AM$8),0)</f>
        <v>0</v>
      </c>
      <c r="AN43" s="178">
        <f t="array" ref="AN43">IF(AND($L43&lt;&gt;"",AN$8&lt;&gt;""),COUNTIFS($C$9:$C$59,$L43,$J$9:$J$59,AN$8),0)</f>
        <v>0</v>
      </c>
      <c r="AO43" s="178">
        <f t="array" ref="AO43">IF(AND($L43&lt;&gt;"",AO$8&lt;&gt;""),COUNTIFS($C$9:$C$59,$L43,$J$9:$J$59,AO$8),0)</f>
        <v>0</v>
      </c>
      <c r="AP43" s="178">
        <f t="array" ref="AP43">IF(AND($L43&lt;&gt;"",AP$8&lt;&gt;""),COUNTIFS($C$9:$C$59,$L43,$J$9:$J$59,AP$8),0)</f>
        <v>0</v>
      </c>
      <c r="AQ43" s="178">
        <f t="array" ref="AQ43">IF(AND($L43&lt;&gt;"",AQ$8&lt;&gt;""),COUNTIFS($C$9:$C$59,$L43,$J$9:$J$59,AQ$8),0)</f>
        <v>0</v>
      </c>
      <c r="AR43" s="178">
        <f t="array" ref="AR43">IF(AND($L43&lt;&gt;"",AR$8&lt;&gt;""),COUNTIFS($C$9:$C$59,$L43,$J$9:$J$59,AR$8),0)</f>
        <v>0</v>
      </c>
      <c r="AS43" s="178">
        <f t="array" ref="AS43">IF(AND($L43&lt;&gt;"",AS$8&lt;&gt;""),COUNTIFS($C$9:$C$59,$L43,$J$9:$J$59,AS$8),0)</f>
        <v>0</v>
      </c>
      <c r="AT43" s="178">
        <f t="array" ref="AT43">IF(AND($L43&lt;&gt;"",AT$8&lt;&gt;""),COUNTIFS($C$9:$C$59,$L43,$J$9:$J$59,AT$8),0)</f>
        <v>0</v>
      </c>
      <c r="AU43" s="178">
        <f t="array" ref="AU43">IF(AND($L43&lt;&gt;"",AU$8&lt;&gt;""),COUNTIFS($C$9:$C$59,$L43,$J$9:$J$59,AU$8),0)</f>
        <v>0</v>
      </c>
      <c r="AV43" s="178">
        <f t="array" ref="AV43">IF(AND($L43&lt;&gt;"",AV$8&lt;&gt;""),COUNTIFS($C$9:$C$59,$L43,$J$9:$J$59,AV$8),0)</f>
        <v>0</v>
      </c>
      <c r="AW43" s="178">
        <f t="array" ref="AW43">IF(AND($L43&lt;&gt;"",AW$8&lt;&gt;""),COUNTIFS($C$9:$C$59,$L43,$J$9:$J$59,AW$8),0)</f>
        <v>0</v>
      </c>
      <c r="AX43" s="178">
        <f t="array" ref="AX43">IF(AND($L43&lt;&gt;"",AX$8&lt;&gt;""),COUNTIFS($C$9:$C$59,$L43,$J$9:$J$59,AX$8),0)</f>
        <v>0</v>
      </c>
      <c r="AY43" s="178">
        <f t="array" ref="AY43">IF(AND($L43&lt;&gt;"",AY$8&lt;&gt;""),COUNTIFS($C$9:$C$59,$L43,$J$9:$J$59,AY$8),0)</f>
        <v>0</v>
      </c>
      <c r="AZ43" s="178">
        <f t="array" ref="AZ43">IF(AND($L43&lt;&gt;"",AZ$8&lt;&gt;""),COUNTIFS($C$9:$C$59,$L43,$J$9:$J$59,AZ$8),0)</f>
        <v>0</v>
      </c>
      <c r="BA43" s="178">
        <f t="array" ref="BA43">IF(AND($L43&lt;&gt;"",BA$8&lt;&gt;""),COUNTIFS($C$9:$C$59,$L43,$J$9:$J$59,BA$8),0)</f>
        <v>0</v>
      </c>
      <c r="BB43" s="178">
        <f t="array" ref="BB43">IF(AND($L43&lt;&gt;"",BB$8&lt;&gt;""),COUNTIFS($C$9:$C$59,$L43,$J$9:$J$59,BB$8),0)</f>
        <v>0</v>
      </c>
      <c r="BC43" s="178">
        <f t="array" ref="BC43">IF(AND($L43&lt;&gt;"",BC$8&lt;&gt;""),COUNTIFS($C$9:$C$59,$L43,$J$9:$J$59,BC$8),0)</f>
        <v>0</v>
      </c>
      <c r="BD43" s="178">
        <f t="array" ref="BD43">IF(AND($L43&lt;&gt;"",BD$8&lt;&gt;""),COUNTIFS($C$9:$C$59,$L43,$J$9:$J$59,BD$8),0)</f>
        <v>0</v>
      </c>
      <c r="BE43" s="178">
        <f t="array" ref="BE43">IF(AND($L43&lt;&gt;"",BE$8&lt;&gt;""),COUNTIFS($C$9:$C$59,$L43,$J$9:$J$59,BE$8),0)</f>
        <v>0</v>
      </c>
      <c r="BF43" s="178">
        <f t="array" ref="BF43">IF(AND($L43&lt;&gt;"",BF$8&lt;&gt;""),COUNTIFS($C$9:$C$59,$L43,$J$9:$J$59,BF$8),0)</f>
        <v>0</v>
      </c>
      <c r="BG43" s="178">
        <f t="array" ref="BG43">IF(AND($L43&lt;&gt;"",BG$8&lt;&gt;""),COUNTIFS($C$9:$C$59,$L43,$J$9:$J$59,BG$8),0)</f>
        <v>0</v>
      </c>
      <c r="BH43" s="178">
        <f t="array" ref="BH43">IF(AND($L43&lt;&gt;"",BH$8&lt;&gt;""),COUNTIFS($C$9:$C$59,$L43,$J$9:$J$59,BH$8),0)</f>
        <v>0</v>
      </c>
      <c r="BI43" s="178">
        <f t="array" ref="BI43">IF(AND($L43&lt;&gt;"",BI$8&lt;&gt;""),COUNTIFS($C$9:$C$59,$L43,$J$9:$J$59,BI$8),0)</f>
        <v>0</v>
      </c>
      <c r="BJ43" s="178">
        <f t="array" ref="BJ43">IF(AND($L43&lt;&gt;"",BJ$8&lt;&gt;""),COUNTIFS($C$9:$C$59,$L43,$J$9:$J$59,BJ$8),0)</f>
        <v>0</v>
      </c>
    </row>
    <row r="44" spans="2:62" x14ac:dyDescent="0.2">
      <c r="B44" s="126" t="s">
        <v>242</v>
      </c>
      <c r="C44" s="267"/>
      <c r="D44" s="23"/>
      <c r="E44" s="128"/>
      <c r="F44" s="118"/>
      <c r="G44" s="118" t="s">
        <v>287</v>
      </c>
      <c r="H44" s="117" t="str">
        <f t="shared" si="0"/>
        <v>-</v>
      </c>
      <c r="I44" s="127"/>
      <c r="J44" s="171" t="str">
        <f t="shared" si="1"/>
        <v/>
      </c>
      <c r="L44" s="178" t="str">
        <f t="array" ref="L44">IFERROR(INDEX($C$9:$C$59,MATCH(0,COUNTIF($L$8:$L43,$C$9:$C$59),0)),"")</f>
        <v/>
      </c>
      <c r="M44" s="178">
        <f t="array" ref="M44">IF(AND($L44&lt;&gt;"",M$8&lt;&gt;""),COUNTIFS($C$9:$C$59,$L44,$J$9:$J$59,M$8),0)</f>
        <v>0</v>
      </c>
      <c r="N44" s="178">
        <f t="array" ref="N44">IF(AND($L44&lt;&gt;"",N$8&lt;&gt;""),COUNTIFS($C$9:$C$59,$L44,$J$9:$J$59,N$8),0)</f>
        <v>0</v>
      </c>
      <c r="O44" s="178">
        <f t="array" ref="O44">IF(AND($L44&lt;&gt;"",O$8&lt;&gt;""),COUNTIFS($C$9:$C$59,$L44,$J$9:$J$59,O$8),0)</f>
        <v>0</v>
      </c>
      <c r="P44" s="178">
        <f t="array" ref="P44">IF(AND($L44&lt;&gt;"",P$8&lt;&gt;""),COUNTIFS($C$9:$C$59,$L44,$J$9:$J$59,P$8),0)</f>
        <v>0</v>
      </c>
      <c r="Q44" s="178">
        <f t="array" ref="Q44">IF(AND($L44&lt;&gt;"",Q$8&lt;&gt;""),COUNTIFS($C$9:$C$59,$L44,$J$9:$J$59,Q$8),0)</f>
        <v>0</v>
      </c>
      <c r="R44" s="178">
        <f t="array" ref="R44">IF(AND($L44&lt;&gt;"",R$8&lt;&gt;""),COUNTIFS($C$9:$C$59,$L44,$J$9:$J$59,R$8),0)</f>
        <v>0</v>
      </c>
      <c r="S44" s="178">
        <f t="array" ref="S44">IF(AND($L44&lt;&gt;"",S$8&lt;&gt;""),COUNTIFS($C$9:$C$59,$L44,$J$9:$J$59,S$8),0)</f>
        <v>0</v>
      </c>
      <c r="T44" s="178">
        <f t="array" ref="T44">IF(AND($L44&lt;&gt;"",T$8&lt;&gt;""),COUNTIFS($C$9:$C$59,$L44,$J$9:$J$59,T$8),0)</f>
        <v>0</v>
      </c>
      <c r="U44" s="178">
        <f t="array" ref="U44">IF(AND($L44&lt;&gt;"",U$8&lt;&gt;""),COUNTIFS($C$9:$C$59,$L44,$J$9:$J$59,U$8),0)</f>
        <v>0</v>
      </c>
      <c r="V44" s="178">
        <f t="array" ref="V44">IF(AND($L44&lt;&gt;"",V$8&lt;&gt;""),COUNTIFS($C$9:$C$59,$L44,$J$9:$J$59,V$8),0)</f>
        <v>0</v>
      </c>
      <c r="W44" s="178">
        <f t="array" ref="W44">IF(AND($L44&lt;&gt;"",W$8&lt;&gt;""),COUNTIFS($C$9:$C$59,$L44,$J$9:$J$59,W$8),0)</f>
        <v>0</v>
      </c>
      <c r="X44" s="178">
        <f t="array" ref="X44">IF(AND($L44&lt;&gt;"",X$8&lt;&gt;""),COUNTIFS($C$9:$C$59,$L44,$J$9:$J$59,X$8),0)</f>
        <v>0</v>
      </c>
      <c r="Y44" s="178">
        <f t="array" ref="Y44">IF(AND($L44&lt;&gt;"",Y$8&lt;&gt;""),COUNTIFS($C$9:$C$59,$L44,$J$9:$J$59,Y$8),0)</f>
        <v>0</v>
      </c>
      <c r="Z44" s="178">
        <f t="array" ref="Z44">IF(AND($L44&lt;&gt;"",Z$8&lt;&gt;""),COUNTIFS($C$9:$C$59,$L44,$J$9:$J$59,Z$8),0)</f>
        <v>0</v>
      </c>
      <c r="AA44" s="178">
        <f t="array" ref="AA44">IF(AND($L44&lt;&gt;"",AA$8&lt;&gt;""),COUNTIFS($C$9:$C$59,$L44,$J$9:$J$59,AA$8),0)</f>
        <v>0</v>
      </c>
      <c r="AB44" s="178">
        <f t="array" ref="AB44">IF(AND($L44&lt;&gt;"",AB$8&lt;&gt;""),COUNTIFS($C$9:$C$59,$L44,$J$9:$J$59,AB$8),0)</f>
        <v>0</v>
      </c>
      <c r="AC44" s="178">
        <f t="array" ref="AC44">IF(AND($L44&lt;&gt;"",AC$8&lt;&gt;""),COUNTIFS($C$9:$C$59,$L44,$J$9:$J$59,AC$8),0)</f>
        <v>0</v>
      </c>
      <c r="AD44" s="178">
        <f t="array" ref="AD44">IF(AND($L44&lt;&gt;"",AD$8&lt;&gt;""),COUNTIFS($C$9:$C$59,$L44,$J$9:$J$59,AD$8),0)</f>
        <v>0</v>
      </c>
      <c r="AE44" s="178">
        <f t="array" ref="AE44">IF(AND($L44&lt;&gt;"",AE$8&lt;&gt;""),COUNTIFS($C$9:$C$59,$L44,$J$9:$J$59,AE$8),0)</f>
        <v>0</v>
      </c>
      <c r="AF44" s="178">
        <f t="array" ref="AF44">IF(AND($L44&lt;&gt;"",AF$8&lt;&gt;""),COUNTIFS($C$9:$C$59,$L44,$J$9:$J$59,AF$8),0)</f>
        <v>0</v>
      </c>
      <c r="AG44" s="178">
        <f t="array" ref="AG44">IF(AND($L44&lt;&gt;"",AG$8&lt;&gt;""),COUNTIFS($C$9:$C$59,$L44,$J$9:$J$59,AG$8),0)</f>
        <v>0</v>
      </c>
      <c r="AH44" s="178">
        <f t="array" ref="AH44">IF(AND($L44&lt;&gt;"",AH$8&lt;&gt;""),COUNTIFS($C$9:$C$59,$L44,$J$9:$J$59,AH$8),0)</f>
        <v>0</v>
      </c>
      <c r="AI44" s="178">
        <f t="array" ref="AI44">IF(AND($L44&lt;&gt;"",AI$8&lt;&gt;""),COUNTIFS($C$9:$C$59,$L44,$J$9:$J$59,AI$8),0)</f>
        <v>0</v>
      </c>
      <c r="AJ44" s="178">
        <f t="array" ref="AJ44">IF(AND($L44&lt;&gt;"",AJ$8&lt;&gt;""),COUNTIFS($C$9:$C$59,$L44,$J$9:$J$59,AJ$8),0)</f>
        <v>0</v>
      </c>
      <c r="AK44" s="178">
        <f t="array" ref="AK44">IF(AND($L44&lt;&gt;"",AK$8&lt;&gt;""),COUNTIFS($C$9:$C$59,$L44,$J$9:$J$59,AK$8),0)</f>
        <v>0</v>
      </c>
      <c r="AL44" s="178">
        <f t="array" ref="AL44">IF(AND($L44&lt;&gt;"",AL$8&lt;&gt;""),COUNTIFS($C$9:$C$59,$L44,$J$9:$J$59,AL$8),0)</f>
        <v>0</v>
      </c>
      <c r="AM44" s="178">
        <f t="array" ref="AM44">IF(AND($L44&lt;&gt;"",AM$8&lt;&gt;""),COUNTIFS($C$9:$C$59,$L44,$J$9:$J$59,AM$8),0)</f>
        <v>0</v>
      </c>
      <c r="AN44" s="178">
        <f t="array" ref="AN44">IF(AND($L44&lt;&gt;"",AN$8&lt;&gt;""),COUNTIFS($C$9:$C$59,$L44,$J$9:$J$59,AN$8),0)</f>
        <v>0</v>
      </c>
      <c r="AO44" s="178">
        <f t="array" ref="AO44">IF(AND($L44&lt;&gt;"",AO$8&lt;&gt;""),COUNTIFS($C$9:$C$59,$L44,$J$9:$J$59,AO$8),0)</f>
        <v>0</v>
      </c>
      <c r="AP44" s="178">
        <f t="array" ref="AP44">IF(AND($L44&lt;&gt;"",AP$8&lt;&gt;""),COUNTIFS($C$9:$C$59,$L44,$J$9:$J$59,AP$8),0)</f>
        <v>0</v>
      </c>
      <c r="AQ44" s="178">
        <f t="array" ref="AQ44">IF(AND($L44&lt;&gt;"",AQ$8&lt;&gt;""),COUNTIFS($C$9:$C$59,$L44,$J$9:$J$59,AQ$8),0)</f>
        <v>0</v>
      </c>
      <c r="AR44" s="178">
        <f t="array" ref="AR44">IF(AND($L44&lt;&gt;"",AR$8&lt;&gt;""),COUNTIFS($C$9:$C$59,$L44,$J$9:$J$59,AR$8),0)</f>
        <v>0</v>
      </c>
      <c r="AS44" s="178">
        <f t="array" ref="AS44">IF(AND($L44&lt;&gt;"",AS$8&lt;&gt;""),COUNTIFS($C$9:$C$59,$L44,$J$9:$J$59,AS$8),0)</f>
        <v>0</v>
      </c>
      <c r="AT44" s="178">
        <f t="array" ref="AT44">IF(AND($L44&lt;&gt;"",AT$8&lt;&gt;""),COUNTIFS($C$9:$C$59,$L44,$J$9:$J$59,AT$8),0)</f>
        <v>0</v>
      </c>
      <c r="AU44" s="178">
        <f t="array" ref="AU44">IF(AND($L44&lt;&gt;"",AU$8&lt;&gt;""),COUNTIFS($C$9:$C$59,$L44,$J$9:$J$59,AU$8),0)</f>
        <v>0</v>
      </c>
      <c r="AV44" s="178">
        <f t="array" ref="AV44">IF(AND($L44&lt;&gt;"",AV$8&lt;&gt;""),COUNTIFS($C$9:$C$59,$L44,$J$9:$J$59,AV$8),0)</f>
        <v>0</v>
      </c>
      <c r="AW44" s="178">
        <f t="array" ref="AW44">IF(AND($L44&lt;&gt;"",AW$8&lt;&gt;""),COUNTIFS($C$9:$C$59,$L44,$J$9:$J$59,AW$8),0)</f>
        <v>0</v>
      </c>
      <c r="AX44" s="178">
        <f t="array" ref="AX44">IF(AND($L44&lt;&gt;"",AX$8&lt;&gt;""),COUNTIFS($C$9:$C$59,$L44,$J$9:$J$59,AX$8),0)</f>
        <v>0</v>
      </c>
      <c r="AY44" s="178">
        <f t="array" ref="AY44">IF(AND($L44&lt;&gt;"",AY$8&lt;&gt;""),COUNTIFS($C$9:$C$59,$L44,$J$9:$J$59,AY$8),0)</f>
        <v>0</v>
      </c>
      <c r="AZ44" s="178">
        <f t="array" ref="AZ44">IF(AND($L44&lt;&gt;"",AZ$8&lt;&gt;""),COUNTIFS($C$9:$C$59,$L44,$J$9:$J$59,AZ$8),0)</f>
        <v>0</v>
      </c>
      <c r="BA44" s="178">
        <f t="array" ref="BA44">IF(AND($L44&lt;&gt;"",BA$8&lt;&gt;""),COUNTIFS($C$9:$C$59,$L44,$J$9:$J$59,BA$8),0)</f>
        <v>0</v>
      </c>
      <c r="BB44" s="178">
        <f t="array" ref="BB44">IF(AND($L44&lt;&gt;"",BB$8&lt;&gt;""),COUNTIFS($C$9:$C$59,$L44,$J$9:$J$59,BB$8),0)</f>
        <v>0</v>
      </c>
      <c r="BC44" s="178">
        <f t="array" ref="BC44">IF(AND($L44&lt;&gt;"",BC$8&lt;&gt;""),COUNTIFS($C$9:$C$59,$L44,$J$9:$J$59,BC$8),0)</f>
        <v>0</v>
      </c>
      <c r="BD44" s="178">
        <f t="array" ref="BD44">IF(AND($L44&lt;&gt;"",BD$8&lt;&gt;""),COUNTIFS($C$9:$C$59,$L44,$J$9:$J$59,BD$8),0)</f>
        <v>0</v>
      </c>
      <c r="BE44" s="178">
        <f t="array" ref="BE44">IF(AND($L44&lt;&gt;"",BE$8&lt;&gt;""),COUNTIFS($C$9:$C$59,$L44,$J$9:$J$59,BE$8),0)</f>
        <v>0</v>
      </c>
      <c r="BF44" s="178">
        <f t="array" ref="BF44">IF(AND($L44&lt;&gt;"",BF$8&lt;&gt;""),COUNTIFS($C$9:$C$59,$L44,$J$9:$J$59,BF$8),0)</f>
        <v>0</v>
      </c>
      <c r="BG44" s="178">
        <f t="array" ref="BG44">IF(AND($L44&lt;&gt;"",BG$8&lt;&gt;""),COUNTIFS($C$9:$C$59,$L44,$J$9:$J$59,BG$8),0)</f>
        <v>0</v>
      </c>
      <c r="BH44" s="178">
        <f t="array" ref="BH44">IF(AND($L44&lt;&gt;"",BH$8&lt;&gt;""),COUNTIFS($C$9:$C$59,$L44,$J$9:$J$59,BH$8),0)</f>
        <v>0</v>
      </c>
      <c r="BI44" s="178">
        <f t="array" ref="BI44">IF(AND($L44&lt;&gt;"",BI$8&lt;&gt;""),COUNTIFS($C$9:$C$59,$L44,$J$9:$J$59,BI$8),0)</f>
        <v>0</v>
      </c>
      <c r="BJ44" s="178">
        <f t="array" ref="BJ44">IF(AND($L44&lt;&gt;"",BJ$8&lt;&gt;""),COUNTIFS($C$9:$C$59,$L44,$J$9:$J$59,BJ$8),0)</f>
        <v>0</v>
      </c>
    </row>
    <row r="45" spans="2:62" x14ac:dyDescent="0.2">
      <c r="B45" s="126" t="s">
        <v>243</v>
      </c>
      <c r="C45" s="267"/>
      <c r="D45" s="23"/>
      <c r="E45" s="128"/>
      <c r="F45" s="118"/>
      <c r="G45" s="118" t="s">
        <v>287</v>
      </c>
      <c r="H45" s="117" t="str">
        <f t="shared" si="0"/>
        <v>-</v>
      </c>
      <c r="I45" s="127"/>
      <c r="J45" s="171" t="str">
        <f t="shared" si="1"/>
        <v/>
      </c>
      <c r="L45" s="178" t="str">
        <f t="array" ref="L45">IFERROR(INDEX($C$9:$C$59,MATCH(0,COUNTIF($L$8:$L44,$C$9:$C$59),0)),"")</f>
        <v/>
      </c>
      <c r="M45" s="178">
        <f t="array" ref="M45">IF(AND($L45&lt;&gt;"",M$8&lt;&gt;""),COUNTIFS($C$9:$C$59,$L45,$J$9:$J$59,M$8),0)</f>
        <v>0</v>
      </c>
      <c r="N45" s="178">
        <f t="array" ref="N45">IF(AND($L45&lt;&gt;"",N$8&lt;&gt;""),COUNTIFS($C$9:$C$59,$L45,$J$9:$J$59,N$8),0)</f>
        <v>0</v>
      </c>
      <c r="O45" s="178">
        <f t="array" ref="O45">IF(AND($L45&lt;&gt;"",O$8&lt;&gt;""),COUNTIFS($C$9:$C$59,$L45,$J$9:$J$59,O$8),0)</f>
        <v>0</v>
      </c>
      <c r="P45" s="178">
        <f t="array" ref="P45">IF(AND($L45&lt;&gt;"",P$8&lt;&gt;""),COUNTIFS($C$9:$C$59,$L45,$J$9:$J$59,P$8),0)</f>
        <v>0</v>
      </c>
      <c r="Q45" s="178">
        <f t="array" ref="Q45">IF(AND($L45&lt;&gt;"",Q$8&lt;&gt;""),COUNTIFS($C$9:$C$59,$L45,$J$9:$J$59,Q$8),0)</f>
        <v>0</v>
      </c>
      <c r="R45" s="178">
        <f t="array" ref="R45">IF(AND($L45&lt;&gt;"",R$8&lt;&gt;""),COUNTIFS($C$9:$C$59,$L45,$J$9:$J$59,R$8),0)</f>
        <v>0</v>
      </c>
      <c r="S45" s="178">
        <f t="array" ref="S45">IF(AND($L45&lt;&gt;"",S$8&lt;&gt;""),COUNTIFS($C$9:$C$59,$L45,$J$9:$J$59,S$8),0)</f>
        <v>0</v>
      </c>
      <c r="T45" s="178">
        <f t="array" ref="T45">IF(AND($L45&lt;&gt;"",T$8&lt;&gt;""),COUNTIFS($C$9:$C$59,$L45,$J$9:$J$59,T$8),0)</f>
        <v>0</v>
      </c>
      <c r="U45" s="178">
        <f t="array" ref="U45">IF(AND($L45&lt;&gt;"",U$8&lt;&gt;""),COUNTIFS($C$9:$C$59,$L45,$J$9:$J$59,U$8),0)</f>
        <v>0</v>
      </c>
      <c r="V45" s="178">
        <f t="array" ref="V45">IF(AND($L45&lt;&gt;"",V$8&lt;&gt;""),COUNTIFS($C$9:$C$59,$L45,$J$9:$J$59,V$8),0)</f>
        <v>0</v>
      </c>
      <c r="W45" s="178">
        <f t="array" ref="W45">IF(AND($L45&lt;&gt;"",W$8&lt;&gt;""),COUNTIFS($C$9:$C$59,$L45,$J$9:$J$59,W$8),0)</f>
        <v>0</v>
      </c>
      <c r="X45" s="178">
        <f t="array" ref="X45">IF(AND($L45&lt;&gt;"",X$8&lt;&gt;""),COUNTIFS($C$9:$C$59,$L45,$J$9:$J$59,X$8),0)</f>
        <v>0</v>
      </c>
      <c r="Y45" s="178">
        <f t="array" ref="Y45">IF(AND($L45&lt;&gt;"",Y$8&lt;&gt;""),COUNTIFS($C$9:$C$59,$L45,$J$9:$J$59,Y$8),0)</f>
        <v>0</v>
      </c>
      <c r="Z45" s="178">
        <f t="array" ref="Z45">IF(AND($L45&lt;&gt;"",Z$8&lt;&gt;""),COUNTIFS($C$9:$C$59,$L45,$J$9:$J$59,Z$8),0)</f>
        <v>0</v>
      </c>
      <c r="AA45" s="178">
        <f t="array" ref="AA45">IF(AND($L45&lt;&gt;"",AA$8&lt;&gt;""),COUNTIFS($C$9:$C$59,$L45,$J$9:$J$59,AA$8),0)</f>
        <v>0</v>
      </c>
      <c r="AB45" s="178">
        <f t="array" ref="AB45">IF(AND($L45&lt;&gt;"",AB$8&lt;&gt;""),COUNTIFS($C$9:$C$59,$L45,$J$9:$J$59,AB$8),0)</f>
        <v>0</v>
      </c>
      <c r="AC45" s="178">
        <f t="array" ref="AC45">IF(AND($L45&lt;&gt;"",AC$8&lt;&gt;""),COUNTIFS($C$9:$C$59,$L45,$J$9:$J$59,AC$8),0)</f>
        <v>0</v>
      </c>
      <c r="AD45" s="178">
        <f t="array" ref="AD45">IF(AND($L45&lt;&gt;"",AD$8&lt;&gt;""),COUNTIFS($C$9:$C$59,$L45,$J$9:$J$59,AD$8),0)</f>
        <v>0</v>
      </c>
      <c r="AE45" s="178">
        <f t="array" ref="AE45">IF(AND($L45&lt;&gt;"",AE$8&lt;&gt;""),COUNTIFS($C$9:$C$59,$L45,$J$9:$J$59,AE$8),0)</f>
        <v>0</v>
      </c>
      <c r="AF45" s="178">
        <f t="array" ref="AF45">IF(AND($L45&lt;&gt;"",AF$8&lt;&gt;""),COUNTIFS($C$9:$C$59,$L45,$J$9:$J$59,AF$8),0)</f>
        <v>0</v>
      </c>
      <c r="AG45" s="178">
        <f t="array" ref="AG45">IF(AND($L45&lt;&gt;"",AG$8&lt;&gt;""),COUNTIFS($C$9:$C$59,$L45,$J$9:$J$59,AG$8),0)</f>
        <v>0</v>
      </c>
      <c r="AH45" s="178">
        <f t="array" ref="AH45">IF(AND($L45&lt;&gt;"",AH$8&lt;&gt;""),COUNTIFS($C$9:$C$59,$L45,$J$9:$J$59,AH$8),0)</f>
        <v>0</v>
      </c>
      <c r="AI45" s="178">
        <f t="array" ref="AI45">IF(AND($L45&lt;&gt;"",AI$8&lt;&gt;""),COUNTIFS($C$9:$C$59,$L45,$J$9:$J$59,AI$8),0)</f>
        <v>0</v>
      </c>
      <c r="AJ45" s="178">
        <f t="array" ref="AJ45">IF(AND($L45&lt;&gt;"",AJ$8&lt;&gt;""),COUNTIFS($C$9:$C$59,$L45,$J$9:$J$59,AJ$8),0)</f>
        <v>0</v>
      </c>
      <c r="AK45" s="178">
        <f t="array" ref="AK45">IF(AND($L45&lt;&gt;"",AK$8&lt;&gt;""),COUNTIFS($C$9:$C$59,$L45,$J$9:$J$59,AK$8),0)</f>
        <v>0</v>
      </c>
      <c r="AL45" s="178">
        <f t="array" ref="AL45">IF(AND($L45&lt;&gt;"",AL$8&lt;&gt;""),COUNTIFS($C$9:$C$59,$L45,$J$9:$J$59,AL$8),0)</f>
        <v>0</v>
      </c>
      <c r="AM45" s="178">
        <f t="array" ref="AM45">IF(AND($L45&lt;&gt;"",AM$8&lt;&gt;""),COUNTIFS($C$9:$C$59,$L45,$J$9:$J$59,AM$8),0)</f>
        <v>0</v>
      </c>
      <c r="AN45" s="178">
        <f t="array" ref="AN45">IF(AND($L45&lt;&gt;"",AN$8&lt;&gt;""),COUNTIFS($C$9:$C$59,$L45,$J$9:$J$59,AN$8),0)</f>
        <v>0</v>
      </c>
      <c r="AO45" s="178">
        <f t="array" ref="AO45">IF(AND($L45&lt;&gt;"",AO$8&lt;&gt;""),COUNTIFS($C$9:$C$59,$L45,$J$9:$J$59,AO$8),0)</f>
        <v>0</v>
      </c>
      <c r="AP45" s="178">
        <f t="array" ref="AP45">IF(AND($L45&lt;&gt;"",AP$8&lt;&gt;""),COUNTIFS($C$9:$C$59,$L45,$J$9:$J$59,AP$8),0)</f>
        <v>0</v>
      </c>
      <c r="AQ45" s="178">
        <f t="array" ref="AQ45">IF(AND($L45&lt;&gt;"",AQ$8&lt;&gt;""),COUNTIFS($C$9:$C$59,$L45,$J$9:$J$59,AQ$8),0)</f>
        <v>0</v>
      </c>
      <c r="AR45" s="178">
        <f t="array" ref="AR45">IF(AND($L45&lt;&gt;"",AR$8&lt;&gt;""),COUNTIFS($C$9:$C$59,$L45,$J$9:$J$59,AR$8),0)</f>
        <v>0</v>
      </c>
      <c r="AS45" s="178">
        <f t="array" ref="AS45">IF(AND($L45&lt;&gt;"",AS$8&lt;&gt;""),COUNTIFS($C$9:$C$59,$L45,$J$9:$J$59,AS$8),0)</f>
        <v>0</v>
      </c>
      <c r="AT45" s="178">
        <f t="array" ref="AT45">IF(AND($L45&lt;&gt;"",AT$8&lt;&gt;""),COUNTIFS($C$9:$C$59,$L45,$J$9:$J$59,AT$8),0)</f>
        <v>0</v>
      </c>
      <c r="AU45" s="178">
        <f t="array" ref="AU45">IF(AND($L45&lt;&gt;"",AU$8&lt;&gt;""),COUNTIFS($C$9:$C$59,$L45,$J$9:$J$59,AU$8),0)</f>
        <v>0</v>
      </c>
      <c r="AV45" s="178">
        <f t="array" ref="AV45">IF(AND($L45&lt;&gt;"",AV$8&lt;&gt;""),COUNTIFS($C$9:$C$59,$L45,$J$9:$J$59,AV$8),0)</f>
        <v>0</v>
      </c>
      <c r="AW45" s="178">
        <f t="array" ref="AW45">IF(AND($L45&lt;&gt;"",AW$8&lt;&gt;""),COUNTIFS($C$9:$C$59,$L45,$J$9:$J$59,AW$8),0)</f>
        <v>0</v>
      </c>
      <c r="AX45" s="178">
        <f t="array" ref="AX45">IF(AND($L45&lt;&gt;"",AX$8&lt;&gt;""),COUNTIFS($C$9:$C$59,$L45,$J$9:$J$59,AX$8),0)</f>
        <v>0</v>
      </c>
      <c r="AY45" s="178">
        <f t="array" ref="AY45">IF(AND($L45&lt;&gt;"",AY$8&lt;&gt;""),COUNTIFS($C$9:$C$59,$L45,$J$9:$J$59,AY$8),0)</f>
        <v>0</v>
      </c>
      <c r="AZ45" s="178">
        <f t="array" ref="AZ45">IF(AND($L45&lt;&gt;"",AZ$8&lt;&gt;""),COUNTIFS($C$9:$C$59,$L45,$J$9:$J$59,AZ$8),0)</f>
        <v>0</v>
      </c>
      <c r="BA45" s="178">
        <f t="array" ref="BA45">IF(AND($L45&lt;&gt;"",BA$8&lt;&gt;""),COUNTIFS($C$9:$C$59,$L45,$J$9:$J$59,BA$8),0)</f>
        <v>0</v>
      </c>
      <c r="BB45" s="178">
        <f t="array" ref="BB45">IF(AND($L45&lt;&gt;"",BB$8&lt;&gt;""),COUNTIFS($C$9:$C$59,$L45,$J$9:$J$59,BB$8),0)</f>
        <v>0</v>
      </c>
      <c r="BC45" s="178">
        <f t="array" ref="BC45">IF(AND($L45&lt;&gt;"",BC$8&lt;&gt;""),COUNTIFS($C$9:$C$59,$L45,$J$9:$J$59,BC$8),0)</f>
        <v>0</v>
      </c>
      <c r="BD45" s="178">
        <f t="array" ref="BD45">IF(AND($L45&lt;&gt;"",BD$8&lt;&gt;""),COUNTIFS($C$9:$C$59,$L45,$J$9:$J$59,BD$8),0)</f>
        <v>0</v>
      </c>
      <c r="BE45" s="178">
        <f t="array" ref="BE45">IF(AND($L45&lt;&gt;"",BE$8&lt;&gt;""),COUNTIFS($C$9:$C$59,$L45,$J$9:$J$59,BE$8),0)</f>
        <v>0</v>
      </c>
      <c r="BF45" s="178">
        <f t="array" ref="BF45">IF(AND($L45&lt;&gt;"",BF$8&lt;&gt;""),COUNTIFS($C$9:$C$59,$L45,$J$9:$J$59,BF$8),0)</f>
        <v>0</v>
      </c>
      <c r="BG45" s="178">
        <f t="array" ref="BG45">IF(AND($L45&lt;&gt;"",BG$8&lt;&gt;""),COUNTIFS($C$9:$C$59,$L45,$J$9:$J$59,BG$8),0)</f>
        <v>0</v>
      </c>
      <c r="BH45" s="178">
        <f t="array" ref="BH45">IF(AND($L45&lt;&gt;"",BH$8&lt;&gt;""),COUNTIFS($C$9:$C$59,$L45,$J$9:$J$59,BH$8),0)</f>
        <v>0</v>
      </c>
      <c r="BI45" s="178">
        <f t="array" ref="BI45">IF(AND($L45&lt;&gt;"",BI$8&lt;&gt;""),COUNTIFS($C$9:$C$59,$L45,$J$9:$J$59,BI$8),0)</f>
        <v>0</v>
      </c>
      <c r="BJ45" s="178">
        <f t="array" ref="BJ45">IF(AND($L45&lt;&gt;"",BJ$8&lt;&gt;""),COUNTIFS($C$9:$C$59,$L45,$J$9:$J$59,BJ$8),0)</f>
        <v>0</v>
      </c>
    </row>
    <row r="46" spans="2:62" x14ac:dyDescent="0.2">
      <c r="B46" s="126" t="s">
        <v>244</v>
      </c>
      <c r="C46" s="267"/>
      <c r="D46" s="23"/>
      <c r="E46" s="128"/>
      <c r="F46" s="118"/>
      <c r="G46" s="118" t="s">
        <v>287</v>
      </c>
      <c r="H46" s="117" t="str">
        <f t="shared" si="0"/>
        <v>-</v>
      </c>
      <c r="I46" s="127"/>
      <c r="J46" s="171" t="str">
        <f t="shared" si="1"/>
        <v/>
      </c>
      <c r="L46" s="178" t="str">
        <f t="array" ref="L46">IFERROR(INDEX($C$9:$C$59,MATCH(0,COUNTIF($L$8:$L45,$C$9:$C$59),0)),"")</f>
        <v/>
      </c>
      <c r="M46" s="178">
        <f t="array" ref="M46">IF(AND($L46&lt;&gt;"",M$8&lt;&gt;""),COUNTIFS($C$9:$C$59,$L46,$J$9:$J$59,M$8),0)</f>
        <v>0</v>
      </c>
      <c r="N46" s="178">
        <f t="array" ref="N46">IF(AND($L46&lt;&gt;"",N$8&lt;&gt;""),COUNTIFS($C$9:$C$59,$L46,$J$9:$J$59,N$8),0)</f>
        <v>0</v>
      </c>
      <c r="O46" s="178">
        <f t="array" ref="O46">IF(AND($L46&lt;&gt;"",O$8&lt;&gt;""),COUNTIFS($C$9:$C$59,$L46,$J$9:$J$59,O$8),0)</f>
        <v>0</v>
      </c>
      <c r="P46" s="178">
        <f t="array" ref="P46">IF(AND($L46&lt;&gt;"",P$8&lt;&gt;""),COUNTIFS($C$9:$C$59,$L46,$J$9:$J$59,P$8),0)</f>
        <v>0</v>
      </c>
      <c r="Q46" s="178">
        <f t="array" ref="Q46">IF(AND($L46&lt;&gt;"",Q$8&lt;&gt;""),COUNTIFS($C$9:$C$59,$L46,$J$9:$J$59,Q$8),0)</f>
        <v>0</v>
      </c>
      <c r="R46" s="178">
        <f t="array" ref="R46">IF(AND($L46&lt;&gt;"",R$8&lt;&gt;""),COUNTIFS($C$9:$C$59,$L46,$J$9:$J$59,R$8),0)</f>
        <v>0</v>
      </c>
      <c r="S46" s="178">
        <f t="array" ref="S46">IF(AND($L46&lt;&gt;"",S$8&lt;&gt;""),COUNTIFS($C$9:$C$59,$L46,$J$9:$J$59,S$8),0)</f>
        <v>0</v>
      </c>
      <c r="T46" s="178">
        <f t="array" ref="T46">IF(AND($L46&lt;&gt;"",T$8&lt;&gt;""),COUNTIFS($C$9:$C$59,$L46,$J$9:$J$59,T$8),0)</f>
        <v>0</v>
      </c>
      <c r="U46" s="178">
        <f t="array" ref="U46">IF(AND($L46&lt;&gt;"",U$8&lt;&gt;""),COUNTIFS($C$9:$C$59,$L46,$J$9:$J$59,U$8),0)</f>
        <v>0</v>
      </c>
      <c r="V46" s="178">
        <f t="array" ref="V46">IF(AND($L46&lt;&gt;"",V$8&lt;&gt;""),COUNTIFS($C$9:$C$59,$L46,$J$9:$J$59,V$8),0)</f>
        <v>0</v>
      </c>
      <c r="W46" s="178">
        <f t="array" ref="W46">IF(AND($L46&lt;&gt;"",W$8&lt;&gt;""),COUNTIFS($C$9:$C$59,$L46,$J$9:$J$59,W$8),0)</f>
        <v>0</v>
      </c>
      <c r="X46" s="178">
        <f t="array" ref="X46">IF(AND($L46&lt;&gt;"",X$8&lt;&gt;""),COUNTIFS($C$9:$C$59,$L46,$J$9:$J$59,X$8),0)</f>
        <v>0</v>
      </c>
      <c r="Y46" s="178">
        <f t="array" ref="Y46">IF(AND($L46&lt;&gt;"",Y$8&lt;&gt;""),COUNTIFS($C$9:$C$59,$L46,$J$9:$J$59,Y$8),0)</f>
        <v>0</v>
      </c>
      <c r="Z46" s="178">
        <f t="array" ref="Z46">IF(AND($L46&lt;&gt;"",Z$8&lt;&gt;""),COUNTIFS($C$9:$C$59,$L46,$J$9:$J$59,Z$8),0)</f>
        <v>0</v>
      </c>
      <c r="AA46" s="178">
        <f t="array" ref="AA46">IF(AND($L46&lt;&gt;"",AA$8&lt;&gt;""),COUNTIFS($C$9:$C$59,$L46,$J$9:$J$59,AA$8),0)</f>
        <v>0</v>
      </c>
      <c r="AB46" s="178">
        <f t="array" ref="AB46">IF(AND($L46&lt;&gt;"",AB$8&lt;&gt;""),COUNTIFS($C$9:$C$59,$L46,$J$9:$J$59,AB$8),0)</f>
        <v>0</v>
      </c>
      <c r="AC46" s="178">
        <f t="array" ref="AC46">IF(AND($L46&lt;&gt;"",AC$8&lt;&gt;""),COUNTIFS($C$9:$C$59,$L46,$J$9:$J$59,AC$8),0)</f>
        <v>0</v>
      </c>
      <c r="AD46" s="178">
        <f t="array" ref="AD46">IF(AND($L46&lt;&gt;"",AD$8&lt;&gt;""),COUNTIFS($C$9:$C$59,$L46,$J$9:$J$59,AD$8),0)</f>
        <v>0</v>
      </c>
      <c r="AE46" s="178">
        <f t="array" ref="AE46">IF(AND($L46&lt;&gt;"",AE$8&lt;&gt;""),COUNTIFS($C$9:$C$59,$L46,$J$9:$J$59,AE$8),0)</f>
        <v>0</v>
      </c>
      <c r="AF46" s="178">
        <f t="array" ref="AF46">IF(AND($L46&lt;&gt;"",AF$8&lt;&gt;""),COUNTIFS($C$9:$C$59,$L46,$J$9:$J$59,AF$8),0)</f>
        <v>0</v>
      </c>
      <c r="AG46" s="178">
        <f t="array" ref="AG46">IF(AND($L46&lt;&gt;"",AG$8&lt;&gt;""),COUNTIFS($C$9:$C$59,$L46,$J$9:$J$59,AG$8),0)</f>
        <v>0</v>
      </c>
      <c r="AH46" s="178">
        <f t="array" ref="AH46">IF(AND($L46&lt;&gt;"",AH$8&lt;&gt;""),COUNTIFS($C$9:$C$59,$L46,$J$9:$J$59,AH$8),0)</f>
        <v>0</v>
      </c>
      <c r="AI46" s="178">
        <f t="array" ref="AI46">IF(AND($L46&lt;&gt;"",AI$8&lt;&gt;""),COUNTIFS($C$9:$C$59,$L46,$J$9:$J$59,AI$8),0)</f>
        <v>0</v>
      </c>
      <c r="AJ46" s="178">
        <f t="array" ref="AJ46">IF(AND($L46&lt;&gt;"",AJ$8&lt;&gt;""),COUNTIFS($C$9:$C$59,$L46,$J$9:$J$59,AJ$8),0)</f>
        <v>0</v>
      </c>
      <c r="AK46" s="178">
        <f t="array" ref="AK46">IF(AND($L46&lt;&gt;"",AK$8&lt;&gt;""),COUNTIFS($C$9:$C$59,$L46,$J$9:$J$59,AK$8),0)</f>
        <v>0</v>
      </c>
      <c r="AL46" s="178">
        <f t="array" ref="AL46">IF(AND($L46&lt;&gt;"",AL$8&lt;&gt;""),COUNTIFS($C$9:$C$59,$L46,$J$9:$J$59,AL$8),0)</f>
        <v>0</v>
      </c>
      <c r="AM46" s="178">
        <f t="array" ref="AM46">IF(AND($L46&lt;&gt;"",AM$8&lt;&gt;""),COUNTIFS($C$9:$C$59,$L46,$J$9:$J$59,AM$8),0)</f>
        <v>0</v>
      </c>
      <c r="AN46" s="178">
        <f t="array" ref="AN46">IF(AND($L46&lt;&gt;"",AN$8&lt;&gt;""),COUNTIFS($C$9:$C$59,$L46,$J$9:$J$59,AN$8),0)</f>
        <v>0</v>
      </c>
      <c r="AO46" s="178">
        <f t="array" ref="AO46">IF(AND($L46&lt;&gt;"",AO$8&lt;&gt;""),COUNTIFS($C$9:$C$59,$L46,$J$9:$J$59,AO$8),0)</f>
        <v>0</v>
      </c>
      <c r="AP46" s="178">
        <f t="array" ref="AP46">IF(AND($L46&lt;&gt;"",AP$8&lt;&gt;""),COUNTIFS($C$9:$C$59,$L46,$J$9:$J$59,AP$8),0)</f>
        <v>0</v>
      </c>
      <c r="AQ46" s="178">
        <f t="array" ref="AQ46">IF(AND($L46&lt;&gt;"",AQ$8&lt;&gt;""),COUNTIFS($C$9:$C$59,$L46,$J$9:$J$59,AQ$8),0)</f>
        <v>0</v>
      </c>
      <c r="AR46" s="178">
        <f t="array" ref="AR46">IF(AND($L46&lt;&gt;"",AR$8&lt;&gt;""),COUNTIFS($C$9:$C$59,$L46,$J$9:$J$59,AR$8),0)</f>
        <v>0</v>
      </c>
      <c r="AS46" s="178">
        <f t="array" ref="AS46">IF(AND($L46&lt;&gt;"",AS$8&lt;&gt;""),COUNTIFS($C$9:$C$59,$L46,$J$9:$J$59,AS$8),0)</f>
        <v>0</v>
      </c>
      <c r="AT46" s="178">
        <f t="array" ref="AT46">IF(AND($L46&lt;&gt;"",AT$8&lt;&gt;""),COUNTIFS($C$9:$C$59,$L46,$J$9:$J$59,AT$8),0)</f>
        <v>0</v>
      </c>
      <c r="AU46" s="178">
        <f t="array" ref="AU46">IF(AND($L46&lt;&gt;"",AU$8&lt;&gt;""),COUNTIFS($C$9:$C$59,$L46,$J$9:$J$59,AU$8),0)</f>
        <v>0</v>
      </c>
      <c r="AV46" s="178">
        <f t="array" ref="AV46">IF(AND($L46&lt;&gt;"",AV$8&lt;&gt;""),COUNTIFS($C$9:$C$59,$L46,$J$9:$J$59,AV$8),0)</f>
        <v>0</v>
      </c>
      <c r="AW46" s="178">
        <f t="array" ref="AW46">IF(AND($L46&lt;&gt;"",AW$8&lt;&gt;""),COUNTIFS($C$9:$C$59,$L46,$J$9:$J$59,AW$8),0)</f>
        <v>0</v>
      </c>
      <c r="AX46" s="178">
        <f t="array" ref="AX46">IF(AND($L46&lt;&gt;"",AX$8&lt;&gt;""),COUNTIFS($C$9:$C$59,$L46,$J$9:$J$59,AX$8),0)</f>
        <v>0</v>
      </c>
      <c r="AY46" s="178">
        <f t="array" ref="AY46">IF(AND($L46&lt;&gt;"",AY$8&lt;&gt;""),COUNTIFS($C$9:$C$59,$L46,$J$9:$J$59,AY$8),0)</f>
        <v>0</v>
      </c>
      <c r="AZ46" s="178">
        <f t="array" ref="AZ46">IF(AND($L46&lt;&gt;"",AZ$8&lt;&gt;""),COUNTIFS($C$9:$C$59,$L46,$J$9:$J$59,AZ$8),0)</f>
        <v>0</v>
      </c>
      <c r="BA46" s="178">
        <f t="array" ref="BA46">IF(AND($L46&lt;&gt;"",BA$8&lt;&gt;""),COUNTIFS($C$9:$C$59,$L46,$J$9:$J$59,BA$8),0)</f>
        <v>0</v>
      </c>
      <c r="BB46" s="178">
        <f t="array" ref="BB46">IF(AND($L46&lt;&gt;"",BB$8&lt;&gt;""),COUNTIFS($C$9:$C$59,$L46,$J$9:$J$59,BB$8),0)</f>
        <v>0</v>
      </c>
      <c r="BC46" s="178">
        <f t="array" ref="BC46">IF(AND($L46&lt;&gt;"",BC$8&lt;&gt;""),COUNTIFS($C$9:$C$59,$L46,$J$9:$J$59,BC$8),0)</f>
        <v>0</v>
      </c>
      <c r="BD46" s="178">
        <f t="array" ref="BD46">IF(AND($L46&lt;&gt;"",BD$8&lt;&gt;""),COUNTIFS($C$9:$C$59,$L46,$J$9:$J$59,BD$8),0)</f>
        <v>0</v>
      </c>
      <c r="BE46" s="178">
        <f t="array" ref="BE46">IF(AND($L46&lt;&gt;"",BE$8&lt;&gt;""),COUNTIFS($C$9:$C$59,$L46,$J$9:$J$59,BE$8),0)</f>
        <v>0</v>
      </c>
      <c r="BF46" s="178">
        <f t="array" ref="BF46">IF(AND($L46&lt;&gt;"",BF$8&lt;&gt;""),COUNTIFS($C$9:$C$59,$L46,$J$9:$J$59,BF$8),0)</f>
        <v>0</v>
      </c>
      <c r="BG46" s="178">
        <f t="array" ref="BG46">IF(AND($L46&lt;&gt;"",BG$8&lt;&gt;""),COUNTIFS($C$9:$C$59,$L46,$J$9:$J$59,BG$8),0)</f>
        <v>0</v>
      </c>
      <c r="BH46" s="178">
        <f t="array" ref="BH46">IF(AND($L46&lt;&gt;"",BH$8&lt;&gt;""),COUNTIFS($C$9:$C$59,$L46,$J$9:$J$59,BH$8),0)</f>
        <v>0</v>
      </c>
      <c r="BI46" s="178">
        <f t="array" ref="BI46">IF(AND($L46&lt;&gt;"",BI$8&lt;&gt;""),COUNTIFS($C$9:$C$59,$L46,$J$9:$J$59,BI$8),0)</f>
        <v>0</v>
      </c>
      <c r="BJ46" s="178">
        <f t="array" ref="BJ46">IF(AND($L46&lt;&gt;"",BJ$8&lt;&gt;""),COUNTIFS($C$9:$C$59,$L46,$J$9:$J$59,BJ$8),0)</f>
        <v>0</v>
      </c>
    </row>
    <row r="47" spans="2:62" x14ac:dyDescent="0.2">
      <c r="B47" s="126" t="s">
        <v>245</v>
      </c>
      <c r="C47" s="267"/>
      <c r="D47" s="23"/>
      <c r="E47" s="128"/>
      <c r="F47" s="118"/>
      <c r="G47" s="118" t="s">
        <v>287</v>
      </c>
      <c r="H47" s="117" t="str">
        <f t="shared" si="0"/>
        <v>-</v>
      </c>
      <c r="I47" s="127"/>
      <c r="J47" s="171" t="str">
        <f t="shared" si="1"/>
        <v/>
      </c>
      <c r="L47" s="178" t="str">
        <f t="array" ref="L47">IFERROR(INDEX($C$9:$C$59,MATCH(0,COUNTIF($L$8:$L46,$C$9:$C$59),0)),"")</f>
        <v/>
      </c>
      <c r="M47" s="178">
        <f t="array" ref="M47">IF(AND($L47&lt;&gt;"",M$8&lt;&gt;""),COUNTIFS($C$9:$C$59,$L47,$J$9:$J$59,M$8),0)</f>
        <v>0</v>
      </c>
      <c r="N47" s="178">
        <f t="array" ref="N47">IF(AND($L47&lt;&gt;"",N$8&lt;&gt;""),COUNTIFS($C$9:$C$59,$L47,$J$9:$J$59,N$8),0)</f>
        <v>0</v>
      </c>
      <c r="O47" s="178">
        <f t="array" ref="O47">IF(AND($L47&lt;&gt;"",O$8&lt;&gt;""),COUNTIFS($C$9:$C$59,$L47,$J$9:$J$59,O$8),0)</f>
        <v>0</v>
      </c>
      <c r="P47" s="178">
        <f t="array" ref="P47">IF(AND($L47&lt;&gt;"",P$8&lt;&gt;""),COUNTIFS($C$9:$C$59,$L47,$J$9:$J$59,P$8),0)</f>
        <v>0</v>
      </c>
      <c r="Q47" s="178">
        <f t="array" ref="Q47">IF(AND($L47&lt;&gt;"",Q$8&lt;&gt;""),COUNTIFS($C$9:$C$59,$L47,$J$9:$J$59,Q$8),0)</f>
        <v>0</v>
      </c>
      <c r="R47" s="178">
        <f t="array" ref="R47">IF(AND($L47&lt;&gt;"",R$8&lt;&gt;""),COUNTIFS($C$9:$C$59,$L47,$J$9:$J$59,R$8),0)</f>
        <v>0</v>
      </c>
      <c r="S47" s="178">
        <f t="array" ref="S47">IF(AND($L47&lt;&gt;"",S$8&lt;&gt;""),COUNTIFS($C$9:$C$59,$L47,$J$9:$J$59,S$8),0)</f>
        <v>0</v>
      </c>
      <c r="T47" s="178">
        <f t="array" ref="T47">IF(AND($L47&lt;&gt;"",T$8&lt;&gt;""),COUNTIFS($C$9:$C$59,$L47,$J$9:$J$59,T$8),0)</f>
        <v>0</v>
      </c>
      <c r="U47" s="178">
        <f t="array" ref="U47">IF(AND($L47&lt;&gt;"",U$8&lt;&gt;""),COUNTIFS($C$9:$C$59,$L47,$J$9:$J$59,U$8),0)</f>
        <v>0</v>
      </c>
      <c r="V47" s="178">
        <f t="array" ref="V47">IF(AND($L47&lt;&gt;"",V$8&lt;&gt;""),COUNTIFS($C$9:$C$59,$L47,$J$9:$J$59,V$8),0)</f>
        <v>0</v>
      </c>
      <c r="W47" s="178">
        <f t="array" ref="W47">IF(AND($L47&lt;&gt;"",W$8&lt;&gt;""),COUNTIFS($C$9:$C$59,$L47,$J$9:$J$59,W$8),0)</f>
        <v>0</v>
      </c>
      <c r="X47" s="178">
        <f t="array" ref="X47">IF(AND($L47&lt;&gt;"",X$8&lt;&gt;""),COUNTIFS($C$9:$C$59,$L47,$J$9:$J$59,X$8),0)</f>
        <v>0</v>
      </c>
      <c r="Y47" s="178">
        <f t="array" ref="Y47">IF(AND($L47&lt;&gt;"",Y$8&lt;&gt;""),COUNTIFS($C$9:$C$59,$L47,$J$9:$J$59,Y$8),0)</f>
        <v>0</v>
      </c>
      <c r="Z47" s="178">
        <f t="array" ref="Z47">IF(AND($L47&lt;&gt;"",Z$8&lt;&gt;""),COUNTIFS($C$9:$C$59,$L47,$J$9:$J$59,Z$8),0)</f>
        <v>0</v>
      </c>
      <c r="AA47" s="178">
        <f t="array" ref="AA47">IF(AND($L47&lt;&gt;"",AA$8&lt;&gt;""),COUNTIFS($C$9:$C$59,$L47,$J$9:$J$59,AA$8),0)</f>
        <v>0</v>
      </c>
      <c r="AB47" s="178">
        <f t="array" ref="AB47">IF(AND($L47&lt;&gt;"",AB$8&lt;&gt;""),COUNTIFS($C$9:$C$59,$L47,$J$9:$J$59,AB$8),0)</f>
        <v>0</v>
      </c>
      <c r="AC47" s="178">
        <f t="array" ref="AC47">IF(AND($L47&lt;&gt;"",AC$8&lt;&gt;""),COUNTIFS($C$9:$C$59,$L47,$J$9:$J$59,AC$8),0)</f>
        <v>0</v>
      </c>
      <c r="AD47" s="178">
        <f t="array" ref="AD47">IF(AND($L47&lt;&gt;"",AD$8&lt;&gt;""),COUNTIFS($C$9:$C$59,$L47,$J$9:$J$59,AD$8),0)</f>
        <v>0</v>
      </c>
      <c r="AE47" s="178">
        <f t="array" ref="AE47">IF(AND($L47&lt;&gt;"",AE$8&lt;&gt;""),COUNTIFS($C$9:$C$59,$L47,$J$9:$J$59,AE$8),0)</f>
        <v>0</v>
      </c>
      <c r="AF47" s="178">
        <f t="array" ref="AF47">IF(AND($L47&lt;&gt;"",AF$8&lt;&gt;""),COUNTIFS($C$9:$C$59,$L47,$J$9:$J$59,AF$8),0)</f>
        <v>0</v>
      </c>
      <c r="AG47" s="178">
        <f t="array" ref="AG47">IF(AND($L47&lt;&gt;"",AG$8&lt;&gt;""),COUNTIFS($C$9:$C$59,$L47,$J$9:$J$59,AG$8),0)</f>
        <v>0</v>
      </c>
      <c r="AH47" s="178">
        <f t="array" ref="AH47">IF(AND($L47&lt;&gt;"",AH$8&lt;&gt;""),COUNTIFS($C$9:$C$59,$L47,$J$9:$J$59,AH$8),0)</f>
        <v>0</v>
      </c>
      <c r="AI47" s="178">
        <f t="array" ref="AI47">IF(AND($L47&lt;&gt;"",AI$8&lt;&gt;""),COUNTIFS($C$9:$C$59,$L47,$J$9:$J$59,AI$8),0)</f>
        <v>0</v>
      </c>
      <c r="AJ47" s="178">
        <f t="array" ref="AJ47">IF(AND($L47&lt;&gt;"",AJ$8&lt;&gt;""),COUNTIFS($C$9:$C$59,$L47,$J$9:$J$59,AJ$8),0)</f>
        <v>0</v>
      </c>
      <c r="AK47" s="178">
        <f t="array" ref="AK47">IF(AND($L47&lt;&gt;"",AK$8&lt;&gt;""),COUNTIFS($C$9:$C$59,$L47,$J$9:$J$59,AK$8),0)</f>
        <v>0</v>
      </c>
      <c r="AL47" s="178">
        <f t="array" ref="AL47">IF(AND($L47&lt;&gt;"",AL$8&lt;&gt;""),COUNTIFS($C$9:$C$59,$L47,$J$9:$J$59,AL$8),0)</f>
        <v>0</v>
      </c>
      <c r="AM47" s="178">
        <f t="array" ref="AM47">IF(AND($L47&lt;&gt;"",AM$8&lt;&gt;""),COUNTIFS($C$9:$C$59,$L47,$J$9:$J$59,AM$8),0)</f>
        <v>0</v>
      </c>
      <c r="AN47" s="178">
        <f t="array" ref="AN47">IF(AND($L47&lt;&gt;"",AN$8&lt;&gt;""),COUNTIFS($C$9:$C$59,$L47,$J$9:$J$59,AN$8),0)</f>
        <v>0</v>
      </c>
      <c r="AO47" s="178">
        <f t="array" ref="AO47">IF(AND($L47&lt;&gt;"",AO$8&lt;&gt;""),COUNTIFS($C$9:$C$59,$L47,$J$9:$J$59,AO$8),0)</f>
        <v>0</v>
      </c>
      <c r="AP47" s="178">
        <f t="array" ref="AP47">IF(AND($L47&lt;&gt;"",AP$8&lt;&gt;""),COUNTIFS($C$9:$C$59,$L47,$J$9:$J$59,AP$8),0)</f>
        <v>0</v>
      </c>
      <c r="AQ47" s="178">
        <f t="array" ref="AQ47">IF(AND($L47&lt;&gt;"",AQ$8&lt;&gt;""),COUNTIFS($C$9:$C$59,$L47,$J$9:$J$59,AQ$8),0)</f>
        <v>0</v>
      </c>
      <c r="AR47" s="178">
        <f t="array" ref="AR47">IF(AND($L47&lt;&gt;"",AR$8&lt;&gt;""),COUNTIFS($C$9:$C$59,$L47,$J$9:$J$59,AR$8),0)</f>
        <v>0</v>
      </c>
      <c r="AS47" s="178">
        <f t="array" ref="AS47">IF(AND($L47&lt;&gt;"",AS$8&lt;&gt;""),COUNTIFS($C$9:$C$59,$L47,$J$9:$J$59,AS$8),0)</f>
        <v>0</v>
      </c>
      <c r="AT47" s="178">
        <f t="array" ref="AT47">IF(AND($L47&lt;&gt;"",AT$8&lt;&gt;""),COUNTIFS($C$9:$C$59,$L47,$J$9:$J$59,AT$8),0)</f>
        <v>0</v>
      </c>
      <c r="AU47" s="178">
        <f t="array" ref="AU47">IF(AND($L47&lt;&gt;"",AU$8&lt;&gt;""),COUNTIFS($C$9:$C$59,$L47,$J$9:$J$59,AU$8),0)</f>
        <v>0</v>
      </c>
      <c r="AV47" s="178">
        <f t="array" ref="AV47">IF(AND($L47&lt;&gt;"",AV$8&lt;&gt;""),COUNTIFS($C$9:$C$59,$L47,$J$9:$J$59,AV$8),0)</f>
        <v>0</v>
      </c>
      <c r="AW47" s="178">
        <f t="array" ref="AW47">IF(AND($L47&lt;&gt;"",AW$8&lt;&gt;""),COUNTIFS($C$9:$C$59,$L47,$J$9:$J$59,AW$8),0)</f>
        <v>0</v>
      </c>
      <c r="AX47" s="178">
        <f t="array" ref="AX47">IF(AND($L47&lt;&gt;"",AX$8&lt;&gt;""),COUNTIFS($C$9:$C$59,$L47,$J$9:$J$59,AX$8),0)</f>
        <v>0</v>
      </c>
      <c r="AY47" s="178">
        <f t="array" ref="AY47">IF(AND($L47&lt;&gt;"",AY$8&lt;&gt;""),COUNTIFS($C$9:$C$59,$L47,$J$9:$J$59,AY$8),0)</f>
        <v>0</v>
      </c>
      <c r="AZ47" s="178">
        <f t="array" ref="AZ47">IF(AND($L47&lt;&gt;"",AZ$8&lt;&gt;""),COUNTIFS($C$9:$C$59,$L47,$J$9:$J$59,AZ$8),0)</f>
        <v>0</v>
      </c>
      <c r="BA47" s="178">
        <f t="array" ref="BA47">IF(AND($L47&lt;&gt;"",BA$8&lt;&gt;""),COUNTIFS($C$9:$C$59,$L47,$J$9:$J$59,BA$8),0)</f>
        <v>0</v>
      </c>
      <c r="BB47" s="178">
        <f t="array" ref="BB47">IF(AND($L47&lt;&gt;"",BB$8&lt;&gt;""),COUNTIFS($C$9:$C$59,$L47,$J$9:$J$59,BB$8),0)</f>
        <v>0</v>
      </c>
      <c r="BC47" s="178">
        <f t="array" ref="BC47">IF(AND($L47&lt;&gt;"",BC$8&lt;&gt;""),COUNTIFS($C$9:$C$59,$L47,$J$9:$J$59,BC$8),0)</f>
        <v>0</v>
      </c>
      <c r="BD47" s="178">
        <f t="array" ref="BD47">IF(AND($L47&lt;&gt;"",BD$8&lt;&gt;""),COUNTIFS($C$9:$C$59,$L47,$J$9:$J$59,BD$8),0)</f>
        <v>0</v>
      </c>
      <c r="BE47" s="178">
        <f t="array" ref="BE47">IF(AND($L47&lt;&gt;"",BE$8&lt;&gt;""),COUNTIFS($C$9:$C$59,$L47,$J$9:$J$59,BE$8),0)</f>
        <v>0</v>
      </c>
      <c r="BF47" s="178">
        <f t="array" ref="BF47">IF(AND($L47&lt;&gt;"",BF$8&lt;&gt;""),COUNTIFS($C$9:$C$59,$L47,$J$9:$J$59,BF$8),0)</f>
        <v>0</v>
      </c>
      <c r="BG47" s="178">
        <f t="array" ref="BG47">IF(AND($L47&lt;&gt;"",BG$8&lt;&gt;""),COUNTIFS($C$9:$C$59,$L47,$J$9:$J$59,BG$8),0)</f>
        <v>0</v>
      </c>
      <c r="BH47" s="178">
        <f t="array" ref="BH47">IF(AND($L47&lt;&gt;"",BH$8&lt;&gt;""),COUNTIFS($C$9:$C$59,$L47,$J$9:$J$59,BH$8),0)</f>
        <v>0</v>
      </c>
      <c r="BI47" s="178">
        <f t="array" ref="BI47">IF(AND($L47&lt;&gt;"",BI$8&lt;&gt;""),COUNTIFS($C$9:$C$59,$L47,$J$9:$J$59,BI$8),0)</f>
        <v>0</v>
      </c>
      <c r="BJ47" s="178">
        <f t="array" ref="BJ47">IF(AND($L47&lt;&gt;"",BJ$8&lt;&gt;""),COUNTIFS($C$9:$C$59,$L47,$J$9:$J$59,BJ$8),0)</f>
        <v>0</v>
      </c>
    </row>
    <row r="48" spans="2:62" x14ac:dyDescent="0.2">
      <c r="B48" s="126" t="s">
        <v>246</v>
      </c>
      <c r="C48" s="267"/>
      <c r="D48" s="23"/>
      <c r="E48" s="128"/>
      <c r="F48" s="118"/>
      <c r="G48" s="118" t="s">
        <v>287</v>
      </c>
      <c r="H48" s="117" t="str">
        <f t="shared" si="0"/>
        <v>-</v>
      </c>
      <c r="I48" s="127"/>
      <c r="J48" s="171" t="str">
        <f t="shared" si="1"/>
        <v/>
      </c>
      <c r="L48" s="178" t="str">
        <f t="array" ref="L48">IFERROR(INDEX($C$9:$C$59,MATCH(0,COUNTIF($L$8:$L47,$C$9:$C$59),0)),"")</f>
        <v/>
      </c>
      <c r="M48" s="178">
        <f t="array" ref="M48">IF(AND($L48&lt;&gt;"",M$8&lt;&gt;""),COUNTIFS($C$9:$C$59,$L48,$J$9:$J$59,M$8),0)</f>
        <v>0</v>
      </c>
      <c r="N48" s="178">
        <f t="array" ref="N48">IF(AND($L48&lt;&gt;"",N$8&lt;&gt;""),COUNTIFS($C$9:$C$59,$L48,$J$9:$J$59,N$8),0)</f>
        <v>0</v>
      </c>
      <c r="O48" s="178">
        <f t="array" ref="O48">IF(AND($L48&lt;&gt;"",O$8&lt;&gt;""),COUNTIFS($C$9:$C$59,$L48,$J$9:$J$59,O$8),0)</f>
        <v>0</v>
      </c>
      <c r="P48" s="178">
        <f t="array" ref="P48">IF(AND($L48&lt;&gt;"",P$8&lt;&gt;""),COUNTIFS($C$9:$C$59,$L48,$J$9:$J$59,P$8),0)</f>
        <v>0</v>
      </c>
      <c r="Q48" s="178">
        <f t="array" ref="Q48">IF(AND($L48&lt;&gt;"",Q$8&lt;&gt;""),COUNTIFS($C$9:$C$59,$L48,$J$9:$J$59,Q$8),0)</f>
        <v>0</v>
      </c>
      <c r="R48" s="178">
        <f t="array" ref="R48">IF(AND($L48&lt;&gt;"",R$8&lt;&gt;""),COUNTIFS($C$9:$C$59,$L48,$J$9:$J$59,R$8),0)</f>
        <v>0</v>
      </c>
      <c r="S48" s="178">
        <f t="array" ref="S48">IF(AND($L48&lt;&gt;"",S$8&lt;&gt;""),COUNTIFS($C$9:$C$59,$L48,$J$9:$J$59,S$8),0)</f>
        <v>0</v>
      </c>
      <c r="T48" s="178">
        <f t="array" ref="T48">IF(AND($L48&lt;&gt;"",T$8&lt;&gt;""),COUNTIFS($C$9:$C$59,$L48,$J$9:$J$59,T$8),0)</f>
        <v>0</v>
      </c>
      <c r="U48" s="178">
        <f t="array" ref="U48">IF(AND($L48&lt;&gt;"",U$8&lt;&gt;""),COUNTIFS($C$9:$C$59,$L48,$J$9:$J$59,U$8),0)</f>
        <v>0</v>
      </c>
      <c r="V48" s="178">
        <f t="array" ref="V48">IF(AND($L48&lt;&gt;"",V$8&lt;&gt;""),COUNTIFS($C$9:$C$59,$L48,$J$9:$J$59,V$8),0)</f>
        <v>0</v>
      </c>
      <c r="W48" s="178">
        <f t="array" ref="W48">IF(AND($L48&lt;&gt;"",W$8&lt;&gt;""),COUNTIFS($C$9:$C$59,$L48,$J$9:$J$59,W$8),0)</f>
        <v>0</v>
      </c>
      <c r="X48" s="178">
        <f t="array" ref="X48">IF(AND($L48&lt;&gt;"",X$8&lt;&gt;""),COUNTIFS($C$9:$C$59,$L48,$J$9:$J$59,X$8),0)</f>
        <v>0</v>
      </c>
      <c r="Y48" s="178">
        <f t="array" ref="Y48">IF(AND($L48&lt;&gt;"",Y$8&lt;&gt;""),COUNTIFS($C$9:$C$59,$L48,$J$9:$J$59,Y$8),0)</f>
        <v>0</v>
      </c>
      <c r="Z48" s="178">
        <f t="array" ref="Z48">IF(AND($L48&lt;&gt;"",Z$8&lt;&gt;""),COUNTIFS($C$9:$C$59,$L48,$J$9:$J$59,Z$8),0)</f>
        <v>0</v>
      </c>
      <c r="AA48" s="178">
        <f t="array" ref="AA48">IF(AND($L48&lt;&gt;"",AA$8&lt;&gt;""),COUNTIFS($C$9:$C$59,$L48,$J$9:$J$59,AA$8),0)</f>
        <v>0</v>
      </c>
      <c r="AB48" s="178">
        <f t="array" ref="AB48">IF(AND($L48&lt;&gt;"",AB$8&lt;&gt;""),COUNTIFS($C$9:$C$59,$L48,$J$9:$J$59,AB$8),0)</f>
        <v>0</v>
      </c>
      <c r="AC48" s="178">
        <f t="array" ref="AC48">IF(AND($L48&lt;&gt;"",AC$8&lt;&gt;""),COUNTIFS($C$9:$C$59,$L48,$J$9:$J$59,AC$8),0)</f>
        <v>0</v>
      </c>
      <c r="AD48" s="178">
        <f t="array" ref="AD48">IF(AND($L48&lt;&gt;"",AD$8&lt;&gt;""),COUNTIFS($C$9:$C$59,$L48,$J$9:$J$59,AD$8),0)</f>
        <v>0</v>
      </c>
      <c r="AE48" s="178">
        <f t="array" ref="AE48">IF(AND($L48&lt;&gt;"",AE$8&lt;&gt;""),COUNTIFS($C$9:$C$59,$L48,$J$9:$J$59,AE$8),0)</f>
        <v>0</v>
      </c>
      <c r="AF48" s="178">
        <f t="array" ref="AF48">IF(AND($L48&lt;&gt;"",AF$8&lt;&gt;""),COUNTIFS($C$9:$C$59,$L48,$J$9:$J$59,AF$8),0)</f>
        <v>0</v>
      </c>
      <c r="AG48" s="178">
        <f t="array" ref="AG48">IF(AND($L48&lt;&gt;"",AG$8&lt;&gt;""),COUNTIFS($C$9:$C$59,$L48,$J$9:$J$59,AG$8),0)</f>
        <v>0</v>
      </c>
      <c r="AH48" s="178">
        <f t="array" ref="AH48">IF(AND($L48&lt;&gt;"",AH$8&lt;&gt;""),COUNTIFS($C$9:$C$59,$L48,$J$9:$J$59,AH$8),0)</f>
        <v>0</v>
      </c>
      <c r="AI48" s="178">
        <f t="array" ref="AI48">IF(AND($L48&lt;&gt;"",AI$8&lt;&gt;""),COUNTIFS($C$9:$C$59,$L48,$J$9:$J$59,AI$8),0)</f>
        <v>0</v>
      </c>
      <c r="AJ48" s="178">
        <f t="array" ref="AJ48">IF(AND($L48&lt;&gt;"",AJ$8&lt;&gt;""),COUNTIFS($C$9:$C$59,$L48,$J$9:$J$59,AJ$8),0)</f>
        <v>0</v>
      </c>
      <c r="AK48" s="178">
        <f t="array" ref="AK48">IF(AND($L48&lt;&gt;"",AK$8&lt;&gt;""),COUNTIFS($C$9:$C$59,$L48,$J$9:$J$59,AK$8),0)</f>
        <v>0</v>
      </c>
      <c r="AL48" s="178">
        <f t="array" ref="AL48">IF(AND($L48&lt;&gt;"",AL$8&lt;&gt;""),COUNTIFS($C$9:$C$59,$L48,$J$9:$J$59,AL$8),0)</f>
        <v>0</v>
      </c>
      <c r="AM48" s="178">
        <f t="array" ref="AM48">IF(AND($L48&lt;&gt;"",AM$8&lt;&gt;""),COUNTIFS($C$9:$C$59,$L48,$J$9:$J$59,AM$8),0)</f>
        <v>0</v>
      </c>
      <c r="AN48" s="178">
        <f t="array" ref="AN48">IF(AND($L48&lt;&gt;"",AN$8&lt;&gt;""),COUNTIFS($C$9:$C$59,$L48,$J$9:$J$59,AN$8),0)</f>
        <v>0</v>
      </c>
      <c r="AO48" s="178">
        <f t="array" ref="AO48">IF(AND($L48&lt;&gt;"",AO$8&lt;&gt;""),COUNTIFS($C$9:$C$59,$L48,$J$9:$J$59,AO$8),0)</f>
        <v>0</v>
      </c>
      <c r="AP48" s="178">
        <f t="array" ref="AP48">IF(AND($L48&lt;&gt;"",AP$8&lt;&gt;""),COUNTIFS($C$9:$C$59,$L48,$J$9:$J$59,AP$8),0)</f>
        <v>0</v>
      </c>
      <c r="AQ48" s="178">
        <f t="array" ref="AQ48">IF(AND($L48&lt;&gt;"",AQ$8&lt;&gt;""),COUNTIFS($C$9:$C$59,$L48,$J$9:$J$59,AQ$8),0)</f>
        <v>0</v>
      </c>
      <c r="AR48" s="178">
        <f t="array" ref="AR48">IF(AND($L48&lt;&gt;"",AR$8&lt;&gt;""),COUNTIFS($C$9:$C$59,$L48,$J$9:$J$59,AR$8),0)</f>
        <v>0</v>
      </c>
      <c r="AS48" s="178">
        <f t="array" ref="AS48">IF(AND($L48&lt;&gt;"",AS$8&lt;&gt;""),COUNTIFS($C$9:$C$59,$L48,$J$9:$J$59,AS$8),0)</f>
        <v>0</v>
      </c>
      <c r="AT48" s="178">
        <f t="array" ref="AT48">IF(AND($L48&lt;&gt;"",AT$8&lt;&gt;""),COUNTIFS($C$9:$C$59,$L48,$J$9:$J$59,AT$8),0)</f>
        <v>0</v>
      </c>
      <c r="AU48" s="178">
        <f t="array" ref="AU48">IF(AND($L48&lt;&gt;"",AU$8&lt;&gt;""),COUNTIFS($C$9:$C$59,$L48,$J$9:$J$59,AU$8),0)</f>
        <v>0</v>
      </c>
      <c r="AV48" s="178">
        <f t="array" ref="AV48">IF(AND($L48&lt;&gt;"",AV$8&lt;&gt;""),COUNTIFS($C$9:$C$59,$L48,$J$9:$J$59,AV$8),0)</f>
        <v>0</v>
      </c>
      <c r="AW48" s="178">
        <f t="array" ref="AW48">IF(AND($L48&lt;&gt;"",AW$8&lt;&gt;""),COUNTIFS($C$9:$C$59,$L48,$J$9:$J$59,AW$8),0)</f>
        <v>0</v>
      </c>
      <c r="AX48" s="178">
        <f t="array" ref="AX48">IF(AND($L48&lt;&gt;"",AX$8&lt;&gt;""),COUNTIFS($C$9:$C$59,$L48,$J$9:$J$59,AX$8),0)</f>
        <v>0</v>
      </c>
      <c r="AY48" s="178">
        <f t="array" ref="AY48">IF(AND($L48&lt;&gt;"",AY$8&lt;&gt;""),COUNTIFS($C$9:$C$59,$L48,$J$9:$J$59,AY$8),0)</f>
        <v>0</v>
      </c>
      <c r="AZ48" s="178">
        <f t="array" ref="AZ48">IF(AND($L48&lt;&gt;"",AZ$8&lt;&gt;""),COUNTIFS($C$9:$C$59,$L48,$J$9:$J$59,AZ$8),0)</f>
        <v>0</v>
      </c>
      <c r="BA48" s="178">
        <f t="array" ref="BA48">IF(AND($L48&lt;&gt;"",BA$8&lt;&gt;""),COUNTIFS($C$9:$C$59,$L48,$J$9:$J$59,BA$8),0)</f>
        <v>0</v>
      </c>
      <c r="BB48" s="178">
        <f t="array" ref="BB48">IF(AND($L48&lt;&gt;"",BB$8&lt;&gt;""),COUNTIFS($C$9:$C$59,$L48,$J$9:$J$59,BB$8),0)</f>
        <v>0</v>
      </c>
      <c r="BC48" s="178">
        <f t="array" ref="BC48">IF(AND($L48&lt;&gt;"",BC$8&lt;&gt;""),COUNTIFS($C$9:$C$59,$L48,$J$9:$J$59,BC$8),0)</f>
        <v>0</v>
      </c>
      <c r="BD48" s="178">
        <f t="array" ref="BD48">IF(AND($L48&lt;&gt;"",BD$8&lt;&gt;""),COUNTIFS($C$9:$C$59,$L48,$J$9:$J$59,BD$8),0)</f>
        <v>0</v>
      </c>
      <c r="BE48" s="178">
        <f t="array" ref="BE48">IF(AND($L48&lt;&gt;"",BE$8&lt;&gt;""),COUNTIFS($C$9:$C$59,$L48,$J$9:$J$59,BE$8),0)</f>
        <v>0</v>
      </c>
      <c r="BF48" s="178">
        <f t="array" ref="BF48">IF(AND($L48&lt;&gt;"",BF$8&lt;&gt;""),COUNTIFS($C$9:$C$59,$L48,$J$9:$J$59,BF$8),0)</f>
        <v>0</v>
      </c>
      <c r="BG48" s="178">
        <f t="array" ref="BG48">IF(AND($L48&lt;&gt;"",BG$8&lt;&gt;""),COUNTIFS($C$9:$C$59,$L48,$J$9:$J$59,BG$8),0)</f>
        <v>0</v>
      </c>
      <c r="BH48" s="178">
        <f t="array" ref="BH48">IF(AND($L48&lt;&gt;"",BH$8&lt;&gt;""),COUNTIFS($C$9:$C$59,$L48,$J$9:$J$59,BH$8),0)</f>
        <v>0</v>
      </c>
      <c r="BI48" s="178">
        <f t="array" ref="BI48">IF(AND($L48&lt;&gt;"",BI$8&lt;&gt;""),COUNTIFS($C$9:$C$59,$L48,$J$9:$J$59,BI$8),0)</f>
        <v>0</v>
      </c>
      <c r="BJ48" s="178">
        <f t="array" ref="BJ48">IF(AND($L48&lt;&gt;"",BJ$8&lt;&gt;""),COUNTIFS($C$9:$C$59,$L48,$J$9:$J$59,BJ$8),0)</f>
        <v>0</v>
      </c>
    </row>
    <row r="49" spans="2:62" x14ac:dyDescent="0.2">
      <c r="B49" s="126" t="s">
        <v>247</v>
      </c>
      <c r="C49" s="267"/>
      <c r="D49" s="23"/>
      <c r="E49" s="128"/>
      <c r="F49" s="118"/>
      <c r="G49" s="118" t="s">
        <v>287</v>
      </c>
      <c r="H49" s="117" t="str">
        <f t="shared" si="0"/>
        <v>-</v>
      </c>
      <c r="I49" s="127"/>
      <c r="J49" s="171" t="str">
        <f t="shared" si="1"/>
        <v/>
      </c>
      <c r="L49" s="178" t="str">
        <f t="array" ref="L49">IFERROR(INDEX($C$9:$C$59,MATCH(0,COUNTIF($L$8:$L48,$C$9:$C$59),0)),"")</f>
        <v/>
      </c>
      <c r="M49" s="178">
        <f t="array" ref="M49">IF(AND($L49&lt;&gt;"",M$8&lt;&gt;""),COUNTIFS($C$9:$C$59,$L49,$J$9:$J$59,M$8),0)</f>
        <v>0</v>
      </c>
      <c r="N49" s="178">
        <f t="array" ref="N49">IF(AND($L49&lt;&gt;"",N$8&lt;&gt;""),COUNTIFS($C$9:$C$59,$L49,$J$9:$J$59,N$8),0)</f>
        <v>0</v>
      </c>
      <c r="O49" s="178">
        <f t="array" ref="O49">IF(AND($L49&lt;&gt;"",O$8&lt;&gt;""),COUNTIFS($C$9:$C$59,$L49,$J$9:$J$59,O$8),0)</f>
        <v>0</v>
      </c>
      <c r="P49" s="178">
        <f t="array" ref="P49">IF(AND($L49&lt;&gt;"",P$8&lt;&gt;""),COUNTIFS($C$9:$C$59,$L49,$J$9:$J$59,P$8),0)</f>
        <v>0</v>
      </c>
      <c r="Q49" s="178">
        <f t="array" ref="Q49">IF(AND($L49&lt;&gt;"",Q$8&lt;&gt;""),COUNTIFS($C$9:$C$59,$L49,$J$9:$J$59,Q$8),0)</f>
        <v>0</v>
      </c>
      <c r="R49" s="178">
        <f t="array" ref="R49">IF(AND($L49&lt;&gt;"",R$8&lt;&gt;""),COUNTIFS($C$9:$C$59,$L49,$J$9:$J$59,R$8),0)</f>
        <v>0</v>
      </c>
      <c r="S49" s="178">
        <f t="array" ref="S49">IF(AND($L49&lt;&gt;"",S$8&lt;&gt;""),COUNTIFS($C$9:$C$59,$L49,$J$9:$J$59,S$8),0)</f>
        <v>0</v>
      </c>
      <c r="T49" s="178">
        <f t="array" ref="T49">IF(AND($L49&lt;&gt;"",T$8&lt;&gt;""),COUNTIFS($C$9:$C$59,$L49,$J$9:$J$59,T$8),0)</f>
        <v>0</v>
      </c>
      <c r="U49" s="178">
        <f t="array" ref="U49">IF(AND($L49&lt;&gt;"",U$8&lt;&gt;""),COUNTIFS($C$9:$C$59,$L49,$J$9:$J$59,U$8),0)</f>
        <v>0</v>
      </c>
      <c r="V49" s="178">
        <f t="array" ref="V49">IF(AND($L49&lt;&gt;"",V$8&lt;&gt;""),COUNTIFS($C$9:$C$59,$L49,$J$9:$J$59,V$8),0)</f>
        <v>0</v>
      </c>
      <c r="W49" s="178">
        <f t="array" ref="W49">IF(AND($L49&lt;&gt;"",W$8&lt;&gt;""),COUNTIFS($C$9:$C$59,$L49,$J$9:$J$59,W$8),0)</f>
        <v>0</v>
      </c>
      <c r="X49" s="178">
        <f t="array" ref="X49">IF(AND($L49&lt;&gt;"",X$8&lt;&gt;""),COUNTIFS($C$9:$C$59,$L49,$J$9:$J$59,X$8),0)</f>
        <v>0</v>
      </c>
      <c r="Y49" s="178">
        <f t="array" ref="Y49">IF(AND($L49&lt;&gt;"",Y$8&lt;&gt;""),COUNTIFS($C$9:$C$59,$L49,$J$9:$J$59,Y$8),0)</f>
        <v>0</v>
      </c>
      <c r="Z49" s="178">
        <f t="array" ref="Z49">IF(AND($L49&lt;&gt;"",Z$8&lt;&gt;""),COUNTIFS($C$9:$C$59,$L49,$J$9:$J$59,Z$8),0)</f>
        <v>0</v>
      </c>
      <c r="AA49" s="178">
        <f t="array" ref="AA49">IF(AND($L49&lt;&gt;"",AA$8&lt;&gt;""),COUNTIFS($C$9:$C$59,$L49,$J$9:$J$59,AA$8),0)</f>
        <v>0</v>
      </c>
      <c r="AB49" s="178">
        <f t="array" ref="AB49">IF(AND($L49&lt;&gt;"",AB$8&lt;&gt;""),COUNTIFS($C$9:$C$59,$L49,$J$9:$J$59,AB$8),0)</f>
        <v>0</v>
      </c>
      <c r="AC49" s="178">
        <f t="array" ref="AC49">IF(AND($L49&lt;&gt;"",AC$8&lt;&gt;""),COUNTIFS($C$9:$C$59,$L49,$J$9:$J$59,AC$8),0)</f>
        <v>0</v>
      </c>
      <c r="AD49" s="178">
        <f t="array" ref="AD49">IF(AND($L49&lt;&gt;"",AD$8&lt;&gt;""),COUNTIFS($C$9:$C$59,$L49,$J$9:$J$59,AD$8),0)</f>
        <v>0</v>
      </c>
      <c r="AE49" s="178">
        <f t="array" ref="AE49">IF(AND($L49&lt;&gt;"",AE$8&lt;&gt;""),COUNTIFS($C$9:$C$59,$L49,$J$9:$J$59,AE$8),0)</f>
        <v>0</v>
      </c>
      <c r="AF49" s="178">
        <f t="array" ref="AF49">IF(AND($L49&lt;&gt;"",AF$8&lt;&gt;""),COUNTIFS($C$9:$C$59,$L49,$J$9:$J$59,AF$8),0)</f>
        <v>0</v>
      </c>
      <c r="AG49" s="178">
        <f t="array" ref="AG49">IF(AND($L49&lt;&gt;"",AG$8&lt;&gt;""),COUNTIFS($C$9:$C$59,$L49,$J$9:$J$59,AG$8),0)</f>
        <v>0</v>
      </c>
      <c r="AH49" s="178">
        <f t="array" ref="AH49">IF(AND($L49&lt;&gt;"",AH$8&lt;&gt;""),COUNTIFS($C$9:$C$59,$L49,$J$9:$J$59,AH$8),0)</f>
        <v>0</v>
      </c>
      <c r="AI49" s="178">
        <f t="array" ref="AI49">IF(AND($L49&lt;&gt;"",AI$8&lt;&gt;""),COUNTIFS($C$9:$C$59,$L49,$J$9:$J$59,AI$8),0)</f>
        <v>0</v>
      </c>
      <c r="AJ49" s="178">
        <f t="array" ref="AJ49">IF(AND($L49&lt;&gt;"",AJ$8&lt;&gt;""),COUNTIFS($C$9:$C$59,$L49,$J$9:$J$59,AJ$8),0)</f>
        <v>0</v>
      </c>
      <c r="AK49" s="178">
        <f t="array" ref="AK49">IF(AND($L49&lt;&gt;"",AK$8&lt;&gt;""),COUNTIFS($C$9:$C$59,$L49,$J$9:$J$59,AK$8),0)</f>
        <v>0</v>
      </c>
      <c r="AL49" s="178">
        <f t="array" ref="AL49">IF(AND($L49&lt;&gt;"",AL$8&lt;&gt;""),COUNTIFS($C$9:$C$59,$L49,$J$9:$J$59,AL$8),0)</f>
        <v>0</v>
      </c>
      <c r="AM49" s="178">
        <f t="array" ref="AM49">IF(AND($L49&lt;&gt;"",AM$8&lt;&gt;""),COUNTIFS($C$9:$C$59,$L49,$J$9:$J$59,AM$8),0)</f>
        <v>0</v>
      </c>
      <c r="AN49" s="178">
        <f t="array" ref="AN49">IF(AND($L49&lt;&gt;"",AN$8&lt;&gt;""),COUNTIFS($C$9:$C$59,$L49,$J$9:$J$59,AN$8),0)</f>
        <v>0</v>
      </c>
      <c r="AO49" s="178">
        <f t="array" ref="AO49">IF(AND($L49&lt;&gt;"",AO$8&lt;&gt;""),COUNTIFS($C$9:$C$59,$L49,$J$9:$J$59,AO$8),0)</f>
        <v>0</v>
      </c>
      <c r="AP49" s="178">
        <f t="array" ref="AP49">IF(AND($L49&lt;&gt;"",AP$8&lt;&gt;""),COUNTIFS($C$9:$C$59,$L49,$J$9:$J$59,AP$8),0)</f>
        <v>0</v>
      </c>
      <c r="AQ49" s="178">
        <f t="array" ref="AQ49">IF(AND($L49&lt;&gt;"",AQ$8&lt;&gt;""),COUNTIFS($C$9:$C$59,$L49,$J$9:$J$59,AQ$8),0)</f>
        <v>0</v>
      </c>
      <c r="AR49" s="178">
        <f t="array" ref="AR49">IF(AND($L49&lt;&gt;"",AR$8&lt;&gt;""),COUNTIFS($C$9:$C$59,$L49,$J$9:$J$59,AR$8),0)</f>
        <v>0</v>
      </c>
      <c r="AS49" s="178">
        <f t="array" ref="AS49">IF(AND($L49&lt;&gt;"",AS$8&lt;&gt;""),COUNTIFS($C$9:$C$59,$L49,$J$9:$J$59,AS$8),0)</f>
        <v>0</v>
      </c>
      <c r="AT49" s="178">
        <f t="array" ref="AT49">IF(AND($L49&lt;&gt;"",AT$8&lt;&gt;""),COUNTIFS($C$9:$C$59,$L49,$J$9:$J$59,AT$8),0)</f>
        <v>0</v>
      </c>
      <c r="AU49" s="178">
        <f t="array" ref="AU49">IF(AND($L49&lt;&gt;"",AU$8&lt;&gt;""),COUNTIFS($C$9:$C$59,$L49,$J$9:$J$59,AU$8),0)</f>
        <v>0</v>
      </c>
      <c r="AV49" s="178">
        <f t="array" ref="AV49">IF(AND($L49&lt;&gt;"",AV$8&lt;&gt;""),COUNTIFS($C$9:$C$59,$L49,$J$9:$J$59,AV$8),0)</f>
        <v>0</v>
      </c>
      <c r="AW49" s="178">
        <f t="array" ref="AW49">IF(AND($L49&lt;&gt;"",AW$8&lt;&gt;""),COUNTIFS($C$9:$C$59,$L49,$J$9:$J$59,AW$8),0)</f>
        <v>0</v>
      </c>
      <c r="AX49" s="178">
        <f t="array" ref="AX49">IF(AND($L49&lt;&gt;"",AX$8&lt;&gt;""),COUNTIFS($C$9:$C$59,$L49,$J$9:$J$59,AX$8),0)</f>
        <v>0</v>
      </c>
      <c r="AY49" s="178">
        <f t="array" ref="AY49">IF(AND($L49&lt;&gt;"",AY$8&lt;&gt;""),COUNTIFS($C$9:$C$59,$L49,$J$9:$J$59,AY$8),0)</f>
        <v>0</v>
      </c>
      <c r="AZ49" s="178">
        <f t="array" ref="AZ49">IF(AND($L49&lt;&gt;"",AZ$8&lt;&gt;""),COUNTIFS($C$9:$C$59,$L49,$J$9:$J$59,AZ$8),0)</f>
        <v>0</v>
      </c>
      <c r="BA49" s="178">
        <f t="array" ref="BA49">IF(AND($L49&lt;&gt;"",BA$8&lt;&gt;""),COUNTIFS($C$9:$C$59,$L49,$J$9:$J$59,BA$8),0)</f>
        <v>0</v>
      </c>
      <c r="BB49" s="178">
        <f t="array" ref="BB49">IF(AND($L49&lt;&gt;"",BB$8&lt;&gt;""),COUNTIFS($C$9:$C$59,$L49,$J$9:$J$59,BB$8),0)</f>
        <v>0</v>
      </c>
      <c r="BC49" s="178">
        <f t="array" ref="BC49">IF(AND($L49&lt;&gt;"",BC$8&lt;&gt;""),COUNTIFS($C$9:$C$59,$L49,$J$9:$J$59,BC$8),0)</f>
        <v>0</v>
      </c>
      <c r="BD49" s="178">
        <f t="array" ref="BD49">IF(AND($L49&lt;&gt;"",BD$8&lt;&gt;""),COUNTIFS($C$9:$C$59,$L49,$J$9:$J$59,BD$8),0)</f>
        <v>0</v>
      </c>
      <c r="BE49" s="178">
        <f t="array" ref="BE49">IF(AND($L49&lt;&gt;"",BE$8&lt;&gt;""),COUNTIFS($C$9:$C$59,$L49,$J$9:$J$59,BE$8),0)</f>
        <v>0</v>
      </c>
      <c r="BF49" s="178">
        <f t="array" ref="BF49">IF(AND($L49&lt;&gt;"",BF$8&lt;&gt;""),COUNTIFS($C$9:$C$59,$L49,$J$9:$J$59,BF$8),0)</f>
        <v>0</v>
      </c>
      <c r="BG49" s="178">
        <f t="array" ref="BG49">IF(AND($L49&lt;&gt;"",BG$8&lt;&gt;""),COUNTIFS($C$9:$C$59,$L49,$J$9:$J$59,BG$8),0)</f>
        <v>0</v>
      </c>
      <c r="BH49" s="178">
        <f t="array" ref="BH49">IF(AND($L49&lt;&gt;"",BH$8&lt;&gt;""),COUNTIFS($C$9:$C$59,$L49,$J$9:$J$59,BH$8),0)</f>
        <v>0</v>
      </c>
      <c r="BI49" s="178">
        <f t="array" ref="BI49">IF(AND($L49&lt;&gt;"",BI$8&lt;&gt;""),COUNTIFS($C$9:$C$59,$L49,$J$9:$J$59,BI$8),0)</f>
        <v>0</v>
      </c>
      <c r="BJ49" s="178">
        <f t="array" ref="BJ49">IF(AND($L49&lt;&gt;"",BJ$8&lt;&gt;""),COUNTIFS($C$9:$C$59,$L49,$J$9:$J$59,BJ$8),0)</f>
        <v>0</v>
      </c>
    </row>
    <row r="50" spans="2:62" x14ac:dyDescent="0.2">
      <c r="B50" s="126" t="s">
        <v>248</v>
      </c>
      <c r="C50" s="267"/>
      <c r="D50" s="23"/>
      <c r="E50" s="128"/>
      <c r="F50" s="118"/>
      <c r="G50" s="118" t="s">
        <v>287</v>
      </c>
      <c r="H50" s="117" t="str">
        <f t="shared" si="0"/>
        <v>-</v>
      </c>
      <c r="I50" s="127"/>
      <c r="J50" s="171" t="str">
        <f t="shared" si="1"/>
        <v/>
      </c>
      <c r="L50" s="178" t="str">
        <f t="array" ref="L50">IFERROR(INDEX($C$9:$C$59,MATCH(0,COUNTIF($L$8:$L49,$C$9:$C$59),0)),"")</f>
        <v/>
      </c>
      <c r="M50" s="178">
        <f t="array" ref="M50">IF(AND($L50&lt;&gt;"",M$8&lt;&gt;""),COUNTIFS($C$9:$C$59,$L50,$J$9:$J$59,M$8),0)</f>
        <v>0</v>
      </c>
      <c r="N50" s="178">
        <f t="array" ref="N50">IF(AND($L50&lt;&gt;"",N$8&lt;&gt;""),COUNTIFS($C$9:$C$59,$L50,$J$9:$J$59,N$8),0)</f>
        <v>0</v>
      </c>
      <c r="O50" s="178">
        <f t="array" ref="O50">IF(AND($L50&lt;&gt;"",O$8&lt;&gt;""),COUNTIFS($C$9:$C$59,$L50,$J$9:$J$59,O$8),0)</f>
        <v>0</v>
      </c>
      <c r="P50" s="178">
        <f t="array" ref="P50">IF(AND($L50&lt;&gt;"",P$8&lt;&gt;""),COUNTIFS($C$9:$C$59,$L50,$J$9:$J$59,P$8),0)</f>
        <v>0</v>
      </c>
      <c r="Q50" s="178">
        <f t="array" ref="Q50">IF(AND($L50&lt;&gt;"",Q$8&lt;&gt;""),COUNTIFS($C$9:$C$59,$L50,$J$9:$J$59,Q$8),0)</f>
        <v>0</v>
      </c>
      <c r="R50" s="178">
        <f t="array" ref="R50">IF(AND($L50&lt;&gt;"",R$8&lt;&gt;""),COUNTIFS($C$9:$C$59,$L50,$J$9:$J$59,R$8),0)</f>
        <v>0</v>
      </c>
      <c r="S50" s="178">
        <f t="array" ref="S50">IF(AND($L50&lt;&gt;"",S$8&lt;&gt;""),COUNTIFS($C$9:$C$59,$L50,$J$9:$J$59,S$8),0)</f>
        <v>0</v>
      </c>
      <c r="T50" s="178">
        <f t="array" ref="T50">IF(AND($L50&lt;&gt;"",T$8&lt;&gt;""),COUNTIFS($C$9:$C$59,$L50,$J$9:$J$59,T$8),0)</f>
        <v>0</v>
      </c>
      <c r="U50" s="178">
        <f t="array" ref="U50">IF(AND($L50&lt;&gt;"",U$8&lt;&gt;""),COUNTIFS($C$9:$C$59,$L50,$J$9:$J$59,U$8),0)</f>
        <v>0</v>
      </c>
      <c r="V50" s="178">
        <f t="array" ref="V50">IF(AND($L50&lt;&gt;"",V$8&lt;&gt;""),COUNTIFS($C$9:$C$59,$L50,$J$9:$J$59,V$8),0)</f>
        <v>0</v>
      </c>
      <c r="W50" s="178">
        <f t="array" ref="W50">IF(AND($L50&lt;&gt;"",W$8&lt;&gt;""),COUNTIFS($C$9:$C$59,$L50,$J$9:$J$59,W$8),0)</f>
        <v>0</v>
      </c>
      <c r="X50" s="178">
        <f t="array" ref="X50">IF(AND($L50&lt;&gt;"",X$8&lt;&gt;""),COUNTIFS($C$9:$C$59,$L50,$J$9:$J$59,X$8),0)</f>
        <v>0</v>
      </c>
      <c r="Y50" s="178">
        <f t="array" ref="Y50">IF(AND($L50&lt;&gt;"",Y$8&lt;&gt;""),COUNTIFS($C$9:$C$59,$L50,$J$9:$J$59,Y$8),0)</f>
        <v>0</v>
      </c>
      <c r="Z50" s="178">
        <f t="array" ref="Z50">IF(AND($L50&lt;&gt;"",Z$8&lt;&gt;""),COUNTIFS($C$9:$C$59,$L50,$J$9:$J$59,Z$8),0)</f>
        <v>0</v>
      </c>
      <c r="AA50" s="178">
        <f t="array" ref="AA50">IF(AND($L50&lt;&gt;"",AA$8&lt;&gt;""),COUNTIFS($C$9:$C$59,$L50,$J$9:$J$59,AA$8),0)</f>
        <v>0</v>
      </c>
      <c r="AB50" s="178">
        <f t="array" ref="AB50">IF(AND($L50&lt;&gt;"",AB$8&lt;&gt;""),COUNTIFS($C$9:$C$59,$L50,$J$9:$J$59,AB$8),0)</f>
        <v>0</v>
      </c>
      <c r="AC50" s="178">
        <f t="array" ref="AC50">IF(AND($L50&lt;&gt;"",AC$8&lt;&gt;""),COUNTIFS($C$9:$C$59,$L50,$J$9:$J$59,AC$8),0)</f>
        <v>0</v>
      </c>
      <c r="AD50" s="178">
        <f t="array" ref="AD50">IF(AND($L50&lt;&gt;"",AD$8&lt;&gt;""),COUNTIFS($C$9:$C$59,$L50,$J$9:$J$59,AD$8),0)</f>
        <v>0</v>
      </c>
      <c r="AE50" s="178">
        <f t="array" ref="AE50">IF(AND($L50&lt;&gt;"",AE$8&lt;&gt;""),COUNTIFS($C$9:$C$59,$L50,$J$9:$J$59,AE$8),0)</f>
        <v>0</v>
      </c>
      <c r="AF50" s="178">
        <f t="array" ref="AF50">IF(AND($L50&lt;&gt;"",AF$8&lt;&gt;""),COUNTIFS($C$9:$C$59,$L50,$J$9:$J$59,AF$8),0)</f>
        <v>0</v>
      </c>
      <c r="AG50" s="178">
        <f t="array" ref="AG50">IF(AND($L50&lt;&gt;"",AG$8&lt;&gt;""),COUNTIFS($C$9:$C$59,$L50,$J$9:$J$59,AG$8),0)</f>
        <v>0</v>
      </c>
      <c r="AH50" s="178">
        <f t="array" ref="AH50">IF(AND($L50&lt;&gt;"",AH$8&lt;&gt;""),COUNTIFS($C$9:$C$59,$L50,$J$9:$J$59,AH$8),0)</f>
        <v>0</v>
      </c>
      <c r="AI50" s="178">
        <f t="array" ref="AI50">IF(AND($L50&lt;&gt;"",AI$8&lt;&gt;""),COUNTIFS($C$9:$C$59,$L50,$J$9:$J$59,AI$8),0)</f>
        <v>0</v>
      </c>
      <c r="AJ50" s="178">
        <f t="array" ref="AJ50">IF(AND($L50&lt;&gt;"",AJ$8&lt;&gt;""),COUNTIFS($C$9:$C$59,$L50,$J$9:$J$59,AJ$8),0)</f>
        <v>0</v>
      </c>
      <c r="AK50" s="178">
        <f t="array" ref="AK50">IF(AND($L50&lt;&gt;"",AK$8&lt;&gt;""),COUNTIFS($C$9:$C$59,$L50,$J$9:$J$59,AK$8),0)</f>
        <v>0</v>
      </c>
      <c r="AL50" s="178">
        <f t="array" ref="AL50">IF(AND($L50&lt;&gt;"",AL$8&lt;&gt;""),COUNTIFS($C$9:$C$59,$L50,$J$9:$J$59,AL$8),0)</f>
        <v>0</v>
      </c>
      <c r="AM50" s="178">
        <f t="array" ref="AM50">IF(AND($L50&lt;&gt;"",AM$8&lt;&gt;""),COUNTIFS($C$9:$C$59,$L50,$J$9:$J$59,AM$8),0)</f>
        <v>0</v>
      </c>
      <c r="AN50" s="178">
        <f t="array" ref="AN50">IF(AND($L50&lt;&gt;"",AN$8&lt;&gt;""),COUNTIFS($C$9:$C$59,$L50,$J$9:$J$59,AN$8),0)</f>
        <v>0</v>
      </c>
      <c r="AO50" s="178">
        <f t="array" ref="AO50">IF(AND($L50&lt;&gt;"",AO$8&lt;&gt;""),COUNTIFS($C$9:$C$59,$L50,$J$9:$J$59,AO$8),0)</f>
        <v>0</v>
      </c>
      <c r="AP50" s="178">
        <f t="array" ref="AP50">IF(AND($L50&lt;&gt;"",AP$8&lt;&gt;""),COUNTIFS($C$9:$C$59,$L50,$J$9:$J$59,AP$8),0)</f>
        <v>0</v>
      </c>
      <c r="AQ50" s="178">
        <f t="array" ref="AQ50">IF(AND($L50&lt;&gt;"",AQ$8&lt;&gt;""),COUNTIFS($C$9:$C$59,$L50,$J$9:$J$59,AQ$8),0)</f>
        <v>0</v>
      </c>
      <c r="AR50" s="178">
        <f t="array" ref="AR50">IF(AND($L50&lt;&gt;"",AR$8&lt;&gt;""),COUNTIFS($C$9:$C$59,$L50,$J$9:$J$59,AR$8),0)</f>
        <v>0</v>
      </c>
      <c r="AS50" s="178">
        <f t="array" ref="AS50">IF(AND($L50&lt;&gt;"",AS$8&lt;&gt;""),COUNTIFS($C$9:$C$59,$L50,$J$9:$J$59,AS$8),0)</f>
        <v>0</v>
      </c>
      <c r="AT50" s="178">
        <f t="array" ref="AT50">IF(AND($L50&lt;&gt;"",AT$8&lt;&gt;""),COUNTIFS($C$9:$C$59,$L50,$J$9:$J$59,AT$8),0)</f>
        <v>0</v>
      </c>
      <c r="AU50" s="178">
        <f t="array" ref="AU50">IF(AND($L50&lt;&gt;"",AU$8&lt;&gt;""),COUNTIFS($C$9:$C$59,$L50,$J$9:$J$59,AU$8),0)</f>
        <v>0</v>
      </c>
      <c r="AV50" s="178">
        <f t="array" ref="AV50">IF(AND($L50&lt;&gt;"",AV$8&lt;&gt;""),COUNTIFS($C$9:$C$59,$L50,$J$9:$J$59,AV$8),0)</f>
        <v>0</v>
      </c>
      <c r="AW50" s="178">
        <f t="array" ref="AW50">IF(AND($L50&lt;&gt;"",AW$8&lt;&gt;""),COUNTIFS($C$9:$C$59,$L50,$J$9:$J$59,AW$8),0)</f>
        <v>0</v>
      </c>
      <c r="AX50" s="178">
        <f t="array" ref="AX50">IF(AND($L50&lt;&gt;"",AX$8&lt;&gt;""),COUNTIFS($C$9:$C$59,$L50,$J$9:$J$59,AX$8),0)</f>
        <v>0</v>
      </c>
      <c r="AY50" s="178">
        <f t="array" ref="AY50">IF(AND($L50&lt;&gt;"",AY$8&lt;&gt;""),COUNTIFS($C$9:$C$59,$L50,$J$9:$J$59,AY$8),0)</f>
        <v>0</v>
      </c>
      <c r="AZ50" s="178">
        <f t="array" ref="AZ50">IF(AND($L50&lt;&gt;"",AZ$8&lt;&gt;""),COUNTIFS($C$9:$C$59,$L50,$J$9:$J$59,AZ$8),0)</f>
        <v>0</v>
      </c>
      <c r="BA50" s="178">
        <f t="array" ref="BA50">IF(AND($L50&lt;&gt;"",BA$8&lt;&gt;""),COUNTIFS($C$9:$C$59,$L50,$J$9:$J$59,BA$8),0)</f>
        <v>0</v>
      </c>
      <c r="BB50" s="178">
        <f t="array" ref="BB50">IF(AND($L50&lt;&gt;"",BB$8&lt;&gt;""),COUNTIFS($C$9:$C$59,$L50,$J$9:$J$59,BB$8),0)</f>
        <v>0</v>
      </c>
      <c r="BC50" s="178">
        <f t="array" ref="BC50">IF(AND($L50&lt;&gt;"",BC$8&lt;&gt;""),COUNTIFS($C$9:$C$59,$L50,$J$9:$J$59,BC$8),0)</f>
        <v>0</v>
      </c>
      <c r="BD50" s="178">
        <f t="array" ref="BD50">IF(AND($L50&lt;&gt;"",BD$8&lt;&gt;""),COUNTIFS($C$9:$C$59,$L50,$J$9:$J$59,BD$8),0)</f>
        <v>0</v>
      </c>
      <c r="BE50" s="178">
        <f t="array" ref="BE50">IF(AND($L50&lt;&gt;"",BE$8&lt;&gt;""),COUNTIFS($C$9:$C$59,$L50,$J$9:$J$59,BE$8),0)</f>
        <v>0</v>
      </c>
      <c r="BF50" s="178">
        <f t="array" ref="BF50">IF(AND($L50&lt;&gt;"",BF$8&lt;&gt;""),COUNTIFS($C$9:$C$59,$L50,$J$9:$J$59,BF$8),0)</f>
        <v>0</v>
      </c>
      <c r="BG50" s="178">
        <f t="array" ref="BG50">IF(AND($L50&lt;&gt;"",BG$8&lt;&gt;""),COUNTIFS($C$9:$C$59,$L50,$J$9:$J$59,BG$8),0)</f>
        <v>0</v>
      </c>
      <c r="BH50" s="178">
        <f t="array" ref="BH50">IF(AND($L50&lt;&gt;"",BH$8&lt;&gt;""),COUNTIFS($C$9:$C$59,$L50,$J$9:$J$59,BH$8),0)</f>
        <v>0</v>
      </c>
      <c r="BI50" s="178">
        <f t="array" ref="BI50">IF(AND($L50&lt;&gt;"",BI$8&lt;&gt;""),COUNTIFS($C$9:$C$59,$L50,$J$9:$J$59,BI$8),0)</f>
        <v>0</v>
      </c>
      <c r="BJ50" s="178">
        <f t="array" ref="BJ50">IF(AND($L50&lt;&gt;"",BJ$8&lt;&gt;""),COUNTIFS($C$9:$C$59,$L50,$J$9:$J$59,BJ$8),0)</f>
        <v>0</v>
      </c>
    </row>
    <row r="51" spans="2:62" x14ac:dyDescent="0.2">
      <c r="B51" s="126" t="s">
        <v>249</v>
      </c>
      <c r="C51" s="267"/>
      <c r="D51" s="23"/>
      <c r="E51" s="128"/>
      <c r="F51" s="118"/>
      <c r="G51" s="118" t="s">
        <v>287</v>
      </c>
      <c r="H51" s="117" t="str">
        <f t="shared" si="0"/>
        <v>-</v>
      </c>
      <c r="I51" s="127"/>
      <c r="J51" s="171" t="str">
        <f t="shared" si="1"/>
        <v/>
      </c>
      <c r="L51" s="178" t="str">
        <f t="array" ref="L51">IFERROR(INDEX($C$9:$C$59,MATCH(0,COUNTIF($L$8:$L50,$C$9:$C$59),0)),"")</f>
        <v/>
      </c>
      <c r="M51" s="178">
        <f t="array" ref="M51">IF(AND($L51&lt;&gt;"",M$8&lt;&gt;""),COUNTIFS($C$9:$C$59,$L51,$J$9:$J$59,M$8),0)</f>
        <v>0</v>
      </c>
      <c r="N51" s="178">
        <f t="array" ref="N51">IF(AND($L51&lt;&gt;"",N$8&lt;&gt;""),COUNTIFS($C$9:$C$59,$L51,$J$9:$J$59,N$8),0)</f>
        <v>0</v>
      </c>
      <c r="O51" s="178">
        <f t="array" ref="O51">IF(AND($L51&lt;&gt;"",O$8&lt;&gt;""),COUNTIFS($C$9:$C$59,$L51,$J$9:$J$59,O$8),0)</f>
        <v>0</v>
      </c>
      <c r="P51" s="178">
        <f t="array" ref="P51">IF(AND($L51&lt;&gt;"",P$8&lt;&gt;""),COUNTIFS($C$9:$C$59,$L51,$J$9:$J$59,P$8),0)</f>
        <v>0</v>
      </c>
      <c r="Q51" s="178">
        <f t="array" ref="Q51">IF(AND($L51&lt;&gt;"",Q$8&lt;&gt;""),COUNTIFS($C$9:$C$59,$L51,$J$9:$J$59,Q$8),0)</f>
        <v>0</v>
      </c>
      <c r="R51" s="178">
        <f t="array" ref="R51">IF(AND($L51&lt;&gt;"",R$8&lt;&gt;""),COUNTIFS($C$9:$C$59,$L51,$J$9:$J$59,R$8),0)</f>
        <v>0</v>
      </c>
      <c r="S51" s="178">
        <f t="array" ref="S51">IF(AND($L51&lt;&gt;"",S$8&lt;&gt;""),COUNTIFS($C$9:$C$59,$L51,$J$9:$J$59,S$8),0)</f>
        <v>0</v>
      </c>
      <c r="T51" s="178">
        <f t="array" ref="T51">IF(AND($L51&lt;&gt;"",T$8&lt;&gt;""),COUNTIFS($C$9:$C$59,$L51,$J$9:$J$59,T$8),0)</f>
        <v>0</v>
      </c>
      <c r="U51" s="178">
        <f t="array" ref="U51">IF(AND($L51&lt;&gt;"",U$8&lt;&gt;""),COUNTIFS($C$9:$C$59,$L51,$J$9:$J$59,U$8),0)</f>
        <v>0</v>
      </c>
      <c r="V51" s="178">
        <f t="array" ref="V51">IF(AND($L51&lt;&gt;"",V$8&lt;&gt;""),COUNTIFS($C$9:$C$59,$L51,$J$9:$J$59,V$8),0)</f>
        <v>0</v>
      </c>
      <c r="W51" s="178">
        <f t="array" ref="W51">IF(AND($L51&lt;&gt;"",W$8&lt;&gt;""),COUNTIFS($C$9:$C$59,$L51,$J$9:$J$59,W$8),0)</f>
        <v>0</v>
      </c>
      <c r="X51" s="178">
        <f t="array" ref="X51">IF(AND($L51&lt;&gt;"",X$8&lt;&gt;""),COUNTIFS($C$9:$C$59,$L51,$J$9:$J$59,X$8),0)</f>
        <v>0</v>
      </c>
      <c r="Y51" s="178">
        <f t="array" ref="Y51">IF(AND($L51&lt;&gt;"",Y$8&lt;&gt;""),COUNTIFS($C$9:$C$59,$L51,$J$9:$J$59,Y$8),0)</f>
        <v>0</v>
      </c>
      <c r="Z51" s="178">
        <f t="array" ref="Z51">IF(AND($L51&lt;&gt;"",Z$8&lt;&gt;""),COUNTIFS($C$9:$C$59,$L51,$J$9:$J$59,Z$8),0)</f>
        <v>0</v>
      </c>
      <c r="AA51" s="178">
        <f t="array" ref="AA51">IF(AND($L51&lt;&gt;"",AA$8&lt;&gt;""),COUNTIFS($C$9:$C$59,$L51,$J$9:$J$59,AA$8),0)</f>
        <v>0</v>
      </c>
      <c r="AB51" s="178">
        <f t="array" ref="AB51">IF(AND($L51&lt;&gt;"",AB$8&lt;&gt;""),COUNTIFS($C$9:$C$59,$L51,$J$9:$J$59,AB$8),0)</f>
        <v>0</v>
      </c>
      <c r="AC51" s="178">
        <f t="array" ref="AC51">IF(AND($L51&lt;&gt;"",AC$8&lt;&gt;""),COUNTIFS($C$9:$C$59,$L51,$J$9:$J$59,AC$8),0)</f>
        <v>0</v>
      </c>
      <c r="AD51" s="178">
        <f t="array" ref="AD51">IF(AND($L51&lt;&gt;"",AD$8&lt;&gt;""),COUNTIFS($C$9:$C$59,$L51,$J$9:$J$59,AD$8),0)</f>
        <v>0</v>
      </c>
      <c r="AE51" s="178">
        <f t="array" ref="AE51">IF(AND($L51&lt;&gt;"",AE$8&lt;&gt;""),COUNTIFS($C$9:$C$59,$L51,$J$9:$J$59,AE$8),0)</f>
        <v>0</v>
      </c>
      <c r="AF51" s="178">
        <f t="array" ref="AF51">IF(AND($L51&lt;&gt;"",AF$8&lt;&gt;""),COUNTIFS($C$9:$C$59,$L51,$J$9:$J$59,AF$8),0)</f>
        <v>0</v>
      </c>
      <c r="AG51" s="178">
        <f t="array" ref="AG51">IF(AND($L51&lt;&gt;"",AG$8&lt;&gt;""),COUNTIFS($C$9:$C$59,$L51,$J$9:$J$59,AG$8),0)</f>
        <v>0</v>
      </c>
      <c r="AH51" s="178">
        <f t="array" ref="AH51">IF(AND($L51&lt;&gt;"",AH$8&lt;&gt;""),COUNTIFS($C$9:$C$59,$L51,$J$9:$J$59,AH$8),0)</f>
        <v>0</v>
      </c>
      <c r="AI51" s="178">
        <f t="array" ref="AI51">IF(AND($L51&lt;&gt;"",AI$8&lt;&gt;""),COUNTIFS($C$9:$C$59,$L51,$J$9:$J$59,AI$8),0)</f>
        <v>0</v>
      </c>
      <c r="AJ51" s="178">
        <f t="array" ref="AJ51">IF(AND($L51&lt;&gt;"",AJ$8&lt;&gt;""),COUNTIFS($C$9:$C$59,$L51,$J$9:$J$59,AJ$8),0)</f>
        <v>0</v>
      </c>
      <c r="AK51" s="178">
        <f t="array" ref="AK51">IF(AND($L51&lt;&gt;"",AK$8&lt;&gt;""),COUNTIFS($C$9:$C$59,$L51,$J$9:$J$59,AK$8),0)</f>
        <v>0</v>
      </c>
      <c r="AL51" s="178">
        <f t="array" ref="AL51">IF(AND($L51&lt;&gt;"",AL$8&lt;&gt;""),COUNTIFS($C$9:$C$59,$L51,$J$9:$J$59,AL$8),0)</f>
        <v>0</v>
      </c>
      <c r="AM51" s="178">
        <f t="array" ref="AM51">IF(AND($L51&lt;&gt;"",AM$8&lt;&gt;""),COUNTIFS($C$9:$C$59,$L51,$J$9:$J$59,AM$8),0)</f>
        <v>0</v>
      </c>
      <c r="AN51" s="178">
        <f t="array" ref="AN51">IF(AND($L51&lt;&gt;"",AN$8&lt;&gt;""),COUNTIFS($C$9:$C$59,$L51,$J$9:$J$59,AN$8),0)</f>
        <v>0</v>
      </c>
      <c r="AO51" s="178">
        <f t="array" ref="AO51">IF(AND($L51&lt;&gt;"",AO$8&lt;&gt;""),COUNTIFS($C$9:$C$59,$L51,$J$9:$J$59,AO$8),0)</f>
        <v>0</v>
      </c>
      <c r="AP51" s="178">
        <f t="array" ref="AP51">IF(AND($L51&lt;&gt;"",AP$8&lt;&gt;""),COUNTIFS($C$9:$C$59,$L51,$J$9:$J$59,AP$8),0)</f>
        <v>0</v>
      </c>
      <c r="AQ51" s="178">
        <f t="array" ref="AQ51">IF(AND($L51&lt;&gt;"",AQ$8&lt;&gt;""),COUNTIFS($C$9:$C$59,$L51,$J$9:$J$59,AQ$8),0)</f>
        <v>0</v>
      </c>
      <c r="AR51" s="178">
        <f t="array" ref="AR51">IF(AND($L51&lt;&gt;"",AR$8&lt;&gt;""),COUNTIFS($C$9:$C$59,$L51,$J$9:$J$59,AR$8),0)</f>
        <v>0</v>
      </c>
      <c r="AS51" s="178">
        <f t="array" ref="AS51">IF(AND($L51&lt;&gt;"",AS$8&lt;&gt;""),COUNTIFS($C$9:$C$59,$L51,$J$9:$J$59,AS$8),0)</f>
        <v>0</v>
      </c>
      <c r="AT51" s="178">
        <f t="array" ref="AT51">IF(AND($L51&lt;&gt;"",AT$8&lt;&gt;""),COUNTIFS($C$9:$C$59,$L51,$J$9:$J$59,AT$8),0)</f>
        <v>0</v>
      </c>
      <c r="AU51" s="178">
        <f t="array" ref="AU51">IF(AND($L51&lt;&gt;"",AU$8&lt;&gt;""),COUNTIFS($C$9:$C$59,$L51,$J$9:$J$59,AU$8),0)</f>
        <v>0</v>
      </c>
      <c r="AV51" s="178">
        <f t="array" ref="AV51">IF(AND($L51&lt;&gt;"",AV$8&lt;&gt;""),COUNTIFS($C$9:$C$59,$L51,$J$9:$J$59,AV$8),0)</f>
        <v>0</v>
      </c>
      <c r="AW51" s="178">
        <f t="array" ref="AW51">IF(AND($L51&lt;&gt;"",AW$8&lt;&gt;""),COUNTIFS($C$9:$C$59,$L51,$J$9:$J$59,AW$8),0)</f>
        <v>0</v>
      </c>
      <c r="AX51" s="178">
        <f t="array" ref="AX51">IF(AND($L51&lt;&gt;"",AX$8&lt;&gt;""),COUNTIFS($C$9:$C$59,$L51,$J$9:$J$59,AX$8),0)</f>
        <v>0</v>
      </c>
      <c r="AY51" s="178">
        <f t="array" ref="AY51">IF(AND($L51&lt;&gt;"",AY$8&lt;&gt;""),COUNTIFS($C$9:$C$59,$L51,$J$9:$J$59,AY$8),0)</f>
        <v>0</v>
      </c>
      <c r="AZ51" s="178">
        <f t="array" ref="AZ51">IF(AND($L51&lt;&gt;"",AZ$8&lt;&gt;""),COUNTIFS($C$9:$C$59,$L51,$J$9:$J$59,AZ$8),0)</f>
        <v>0</v>
      </c>
      <c r="BA51" s="178">
        <f t="array" ref="BA51">IF(AND($L51&lt;&gt;"",BA$8&lt;&gt;""),COUNTIFS($C$9:$C$59,$L51,$J$9:$J$59,BA$8),0)</f>
        <v>0</v>
      </c>
      <c r="BB51" s="178">
        <f t="array" ref="BB51">IF(AND($L51&lt;&gt;"",BB$8&lt;&gt;""),COUNTIFS($C$9:$C$59,$L51,$J$9:$J$59,BB$8),0)</f>
        <v>0</v>
      </c>
      <c r="BC51" s="178">
        <f t="array" ref="BC51">IF(AND($L51&lt;&gt;"",BC$8&lt;&gt;""),COUNTIFS($C$9:$C$59,$L51,$J$9:$J$59,BC$8),0)</f>
        <v>0</v>
      </c>
      <c r="BD51" s="178">
        <f t="array" ref="BD51">IF(AND($L51&lt;&gt;"",BD$8&lt;&gt;""),COUNTIFS($C$9:$C$59,$L51,$J$9:$J$59,BD$8),0)</f>
        <v>0</v>
      </c>
      <c r="BE51" s="178">
        <f t="array" ref="BE51">IF(AND($L51&lt;&gt;"",BE$8&lt;&gt;""),COUNTIFS($C$9:$C$59,$L51,$J$9:$J$59,BE$8),0)</f>
        <v>0</v>
      </c>
      <c r="BF51" s="178">
        <f t="array" ref="BF51">IF(AND($L51&lt;&gt;"",BF$8&lt;&gt;""),COUNTIFS($C$9:$C$59,$L51,$J$9:$J$59,BF$8),0)</f>
        <v>0</v>
      </c>
      <c r="BG51" s="178">
        <f t="array" ref="BG51">IF(AND($L51&lt;&gt;"",BG$8&lt;&gt;""),COUNTIFS($C$9:$C$59,$L51,$J$9:$J$59,BG$8),0)</f>
        <v>0</v>
      </c>
      <c r="BH51" s="178">
        <f t="array" ref="BH51">IF(AND($L51&lt;&gt;"",BH$8&lt;&gt;""),COUNTIFS($C$9:$C$59,$L51,$J$9:$J$59,BH$8),0)</f>
        <v>0</v>
      </c>
      <c r="BI51" s="178">
        <f t="array" ref="BI51">IF(AND($L51&lt;&gt;"",BI$8&lt;&gt;""),COUNTIFS($C$9:$C$59,$L51,$J$9:$J$59,BI$8),0)</f>
        <v>0</v>
      </c>
      <c r="BJ51" s="178">
        <f t="array" ref="BJ51">IF(AND($L51&lt;&gt;"",BJ$8&lt;&gt;""),COUNTIFS($C$9:$C$59,$L51,$J$9:$J$59,BJ$8),0)</f>
        <v>0</v>
      </c>
    </row>
    <row r="52" spans="2:62" x14ac:dyDescent="0.2">
      <c r="B52" s="126" t="s">
        <v>250</v>
      </c>
      <c r="C52" s="267"/>
      <c r="D52" s="23"/>
      <c r="E52" s="128"/>
      <c r="F52" s="118"/>
      <c r="G52" s="118" t="s">
        <v>287</v>
      </c>
      <c r="H52" s="117" t="str">
        <f t="shared" si="0"/>
        <v>-</v>
      </c>
      <c r="I52" s="127"/>
      <c r="J52" s="171" t="str">
        <f t="shared" si="1"/>
        <v/>
      </c>
      <c r="L52" s="178" t="str">
        <f t="array" ref="L52">IFERROR(INDEX($C$9:$C$59,MATCH(0,COUNTIF($L$8:$L51,$C$9:$C$59),0)),"")</f>
        <v/>
      </c>
      <c r="M52" s="178">
        <f t="array" ref="M52">IF(AND($L52&lt;&gt;"",M$8&lt;&gt;""),COUNTIFS($C$9:$C$59,$L52,$J$9:$J$59,M$8),0)</f>
        <v>0</v>
      </c>
      <c r="N52" s="178">
        <f t="array" ref="N52">IF(AND($L52&lt;&gt;"",N$8&lt;&gt;""),COUNTIFS($C$9:$C$59,$L52,$J$9:$J$59,N$8),0)</f>
        <v>0</v>
      </c>
      <c r="O52" s="178">
        <f t="array" ref="O52">IF(AND($L52&lt;&gt;"",O$8&lt;&gt;""),COUNTIFS($C$9:$C$59,$L52,$J$9:$J$59,O$8),0)</f>
        <v>0</v>
      </c>
      <c r="P52" s="178">
        <f t="array" ref="P52">IF(AND($L52&lt;&gt;"",P$8&lt;&gt;""),COUNTIFS($C$9:$C$59,$L52,$J$9:$J$59,P$8),0)</f>
        <v>0</v>
      </c>
      <c r="Q52" s="178">
        <f t="array" ref="Q52">IF(AND($L52&lt;&gt;"",Q$8&lt;&gt;""),COUNTIFS($C$9:$C$59,$L52,$J$9:$J$59,Q$8),0)</f>
        <v>0</v>
      </c>
      <c r="R52" s="178">
        <f t="array" ref="R52">IF(AND($L52&lt;&gt;"",R$8&lt;&gt;""),COUNTIFS($C$9:$C$59,$L52,$J$9:$J$59,R$8),0)</f>
        <v>0</v>
      </c>
      <c r="S52" s="178">
        <f t="array" ref="S52">IF(AND($L52&lt;&gt;"",S$8&lt;&gt;""),COUNTIFS($C$9:$C$59,$L52,$J$9:$J$59,S$8),0)</f>
        <v>0</v>
      </c>
      <c r="T52" s="178">
        <f t="array" ref="T52">IF(AND($L52&lt;&gt;"",T$8&lt;&gt;""),COUNTIFS($C$9:$C$59,$L52,$J$9:$J$59,T$8),0)</f>
        <v>0</v>
      </c>
      <c r="U52" s="178">
        <f t="array" ref="U52">IF(AND($L52&lt;&gt;"",U$8&lt;&gt;""),COUNTIFS($C$9:$C$59,$L52,$J$9:$J$59,U$8),0)</f>
        <v>0</v>
      </c>
      <c r="V52" s="178">
        <f t="array" ref="V52">IF(AND($L52&lt;&gt;"",V$8&lt;&gt;""),COUNTIFS($C$9:$C$59,$L52,$J$9:$J$59,V$8),0)</f>
        <v>0</v>
      </c>
      <c r="W52" s="178">
        <f t="array" ref="W52">IF(AND($L52&lt;&gt;"",W$8&lt;&gt;""),COUNTIFS($C$9:$C$59,$L52,$J$9:$J$59,W$8),0)</f>
        <v>0</v>
      </c>
      <c r="X52" s="178">
        <f t="array" ref="X52">IF(AND($L52&lt;&gt;"",X$8&lt;&gt;""),COUNTIFS($C$9:$C$59,$L52,$J$9:$J$59,X$8),0)</f>
        <v>0</v>
      </c>
      <c r="Y52" s="178">
        <f t="array" ref="Y52">IF(AND($L52&lt;&gt;"",Y$8&lt;&gt;""),COUNTIFS($C$9:$C$59,$L52,$J$9:$J$59,Y$8),0)</f>
        <v>0</v>
      </c>
      <c r="Z52" s="178">
        <f t="array" ref="Z52">IF(AND($L52&lt;&gt;"",Z$8&lt;&gt;""),COUNTIFS($C$9:$C$59,$L52,$J$9:$J$59,Z$8),0)</f>
        <v>0</v>
      </c>
      <c r="AA52" s="178">
        <f t="array" ref="AA52">IF(AND($L52&lt;&gt;"",AA$8&lt;&gt;""),COUNTIFS($C$9:$C$59,$L52,$J$9:$J$59,AA$8),0)</f>
        <v>0</v>
      </c>
      <c r="AB52" s="178">
        <f t="array" ref="AB52">IF(AND($L52&lt;&gt;"",AB$8&lt;&gt;""),COUNTIFS($C$9:$C$59,$L52,$J$9:$J$59,AB$8),0)</f>
        <v>0</v>
      </c>
      <c r="AC52" s="178">
        <f t="array" ref="AC52">IF(AND($L52&lt;&gt;"",AC$8&lt;&gt;""),COUNTIFS($C$9:$C$59,$L52,$J$9:$J$59,AC$8),0)</f>
        <v>0</v>
      </c>
      <c r="AD52" s="178">
        <f t="array" ref="AD52">IF(AND($L52&lt;&gt;"",AD$8&lt;&gt;""),COUNTIFS($C$9:$C$59,$L52,$J$9:$J$59,AD$8),0)</f>
        <v>0</v>
      </c>
      <c r="AE52" s="178">
        <f t="array" ref="AE52">IF(AND($L52&lt;&gt;"",AE$8&lt;&gt;""),COUNTIFS($C$9:$C$59,$L52,$J$9:$J$59,AE$8),0)</f>
        <v>0</v>
      </c>
      <c r="AF52" s="178">
        <f t="array" ref="AF52">IF(AND($L52&lt;&gt;"",AF$8&lt;&gt;""),COUNTIFS($C$9:$C$59,$L52,$J$9:$J$59,AF$8),0)</f>
        <v>0</v>
      </c>
      <c r="AG52" s="178">
        <f t="array" ref="AG52">IF(AND($L52&lt;&gt;"",AG$8&lt;&gt;""),COUNTIFS($C$9:$C$59,$L52,$J$9:$J$59,AG$8),0)</f>
        <v>0</v>
      </c>
      <c r="AH52" s="178">
        <f t="array" ref="AH52">IF(AND($L52&lt;&gt;"",AH$8&lt;&gt;""),COUNTIFS($C$9:$C$59,$L52,$J$9:$J$59,AH$8),0)</f>
        <v>0</v>
      </c>
      <c r="AI52" s="178">
        <f t="array" ref="AI52">IF(AND($L52&lt;&gt;"",AI$8&lt;&gt;""),COUNTIFS($C$9:$C$59,$L52,$J$9:$J$59,AI$8),0)</f>
        <v>0</v>
      </c>
      <c r="AJ52" s="178">
        <f t="array" ref="AJ52">IF(AND($L52&lt;&gt;"",AJ$8&lt;&gt;""),COUNTIFS($C$9:$C$59,$L52,$J$9:$J$59,AJ$8),0)</f>
        <v>0</v>
      </c>
      <c r="AK52" s="178">
        <f t="array" ref="AK52">IF(AND($L52&lt;&gt;"",AK$8&lt;&gt;""),COUNTIFS($C$9:$C$59,$L52,$J$9:$J$59,AK$8),0)</f>
        <v>0</v>
      </c>
      <c r="AL52" s="178">
        <f t="array" ref="AL52">IF(AND($L52&lt;&gt;"",AL$8&lt;&gt;""),COUNTIFS($C$9:$C$59,$L52,$J$9:$J$59,AL$8),0)</f>
        <v>0</v>
      </c>
      <c r="AM52" s="178">
        <f t="array" ref="AM52">IF(AND($L52&lt;&gt;"",AM$8&lt;&gt;""),COUNTIFS($C$9:$C$59,$L52,$J$9:$J$59,AM$8),0)</f>
        <v>0</v>
      </c>
      <c r="AN52" s="178">
        <f t="array" ref="AN52">IF(AND($L52&lt;&gt;"",AN$8&lt;&gt;""),COUNTIFS($C$9:$C$59,$L52,$J$9:$J$59,AN$8),0)</f>
        <v>0</v>
      </c>
      <c r="AO52" s="178">
        <f t="array" ref="AO52">IF(AND($L52&lt;&gt;"",AO$8&lt;&gt;""),COUNTIFS($C$9:$C$59,$L52,$J$9:$J$59,AO$8),0)</f>
        <v>0</v>
      </c>
      <c r="AP52" s="178">
        <f t="array" ref="AP52">IF(AND($L52&lt;&gt;"",AP$8&lt;&gt;""),COUNTIFS($C$9:$C$59,$L52,$J$9:$J$59,AP$8),0)</f>
        <v>0</v>
      </c>
      <c r="AQ52" s="178">
        <f t="array" ref="AQ52">IF(AND($L52&lt;&gt;"",AQ$8&lt;&gt;""),COUNTIFS($C$9:$C$59,$L52,$J$9:$J$59,AQ$8),0)</f>
        <v>0</v>
      </c>
      <c r="AR52" s="178">
        <f t="array" ref="AR52">IF(AND($L52&lt;&gt;"",AR$8&lt;&gt;""),COUNTIFS($C$9:$C$59,$L52,$J$9:$J$59,AR$8),0)</f>
        <v>0</v>
      </c>
      <c r="AS52" s="178">
        <f t="array" ref="AS52">IF(AND($L52&lt;&gt;"",AS$8&lt;&gt;""),COUNTIFS($C$9:$C$59,$L52,$J$9:$J$59,AS$8),0)</f>
        <v>0</v>
      </c>
      <c r="AT52" s="178">
        <f t="array" ref="AT52">IF(AND($L52&lt;&gt;"",AT$8&lt;&gt;""),COUNTIFS($C$9:$C$59,$L52,$J$9:$J$59,AT$8),0)</f>
        <v>0</v>
      </c>
      <c r="AU52" s="178">
        <f t="array" ref="AU52">IF(AND($L52&lt;&gt;"",AU$8&lt;&gt;""),COUNTIFS($C$9:$C$59,$L52,$J$9:$J$59,AU$8),0)</f>
        <v>0</v>
      </c>
      <c r="AV52" s="178">
        <f t="array" ref="AV52">IF(AND($L52&lt;&gt;"",AV$8&lt;&gt;""),COUNTIFS($C$9:$C$59,$L52,$J$9:$J$59,AV$8),0)</f>
        <v>0</v>
      </c>
      <c r="AW52" s="178">
        <f t="array" ref="AW52">IF(AND($L52&lt;&gt;"",AW$8&lt;&gt;""),COUNTIFS($C$9:$C$59,$L52,$J$9:$J$59,AW$8),0)</f>
        <v>0</v>
      </c>
      <c r="AX52" s="178">
        <f t="array" ref="AX52">IF(AND($L52&lt;&gt;"",AX$8&lt;&gt;""),COUNTIFS($C$9:$C$59,$L52,$J$9:$J$59,AX$8),0)</f>
        <v>0</v>
      </c>
      <c r="AY52" s="178">
        <f t="array" ref="AY52">IF(AND($L52&lt;&gt;"",AY$8&lt;&gt;""),COUNTIFS($C$9:$C$59,$L52,$J$9:$J$59,AY$8),0)</f>
        <v>0</v>
      </c>
      <c r="AZ52" s="178">
        <f t="array" ref="AZ52">IF(AND($L52&lt;&gt;"",AZ$8&lt;&gt;""),COUNTIFS($C$9:$C$59,$L52,$J$9:$J$59,AZ$8),0)</f>
        <v>0</v>
      </c>
      <c r="BA52" s="178">
        <f t="array" ref="BA52">IF(AND($L52&lt;&gt;"",BA$8&lt;&gt;""),COUNTIFS($C$9:$C$59,$L52,$J$9:$J$59,BA$8),0)</f>
        <v>0</v>
      </c>
      <c r="BB52" s="178">
        <f t="array" ref="BB52">IF(AND($L52&lt;&gt;"",BB$8&lt;&gt;""),COUNTIFS($C$9:$C$59,$L52,$J$9:$J$59,BB$8),0)</f>
        <v>0</v>
      </c>
      <c r="BC52" s="178">
        <f t="array" ref="BC52">IF(AND($L52&lt;&gt;"",BC$8&lt;&gt;""),COUNTIFS($C$9:$C$59,$L52,$J$9:$J$59,BC$8),0)</f>
        <v>0</v>
      </c>
      <c r="BD52" s="178">
        <f t="array" ref="BD52">IF(AND($L52&lt;&gt;"",BD$8&lt;&gt;""),COUNTIFS($C$9:$C$59,$L52,$J$9:$J$59,BD$8),0)</f>
        <v>0</v>
      </c>
      <c r="BE52" s="178">
        <f t="array" ref="BE52">IF(AND($L52&lt;&gt;"",BE$8&lt;&gt;""),COUNTIFS($C$9:$C$59,$L52,$J$9:$J$59,BE$8),0)</f>
        <v>0</v>
      </c>
      <c r="BF52" s="178">
        <f t="array" ref="BF52">IF(AND($L52&lt;&gt;"",BF$8&lt;&gt;""),COUNTIFS($C$9:$C$59,$L52,$J$9:$J$59,BF$8),0)</f>
        <v>0</v>
      </c>
      <c r="BG52" s="178">
        <f t="array" ref="BG52">IF(AND($L52&lt;&gt;"",BG$8&lt;&gt;""),COUNTIFS($C$9:$C$59,$L52,$J$9:$J$59,BG$8),0)</f>
        <v>0</v>
      </c>
      <c r="BH52" s="178">
        <f t="array" ref="BH52">IF(AND($L52&lt;&gt;"",BH$8&lt;&gt;""),COUNTIFS($C$9:$C$59,$L52,$J$9:$J$59,BH$8),0)</f>
        <v>0</v>
      </c>
      <c r="BI52" s="178">
        <f t="array" ref="BI52">IF(AND($L52&lt;&gt;"",BI$8&lt;&gt;""),COUNTIFS($C$9:$C$59,$L52,$J$9:$J$59,BI$8),0)</f>
        <v>0</v>
      </c>
      <c r="BJ52" s="178">
        <f t="array" ref="BJ52">IF(AND($L52&lt;&gt;"",BJ$8&lt;&gt;""),COUNTIFS($C$9:$C$59,$L52,$J$9:$J$59,BJ$8),0)</f>
        <v>0</v>
      </c>
    </row>
    <row r="53" spans="2:62" x14ac:dyDescent="0.2">
      <c r="B53" s="126" t="s">
        <v>251</v>
      </c>
      <c r="C53" s="267"/>
      <c r="D53" s="23"/>
      <c r="E53" s="128"/>
      <c r="F53" s="118"/>
      <c r="G53" s="118" t="s">
        <v>287</v>
      </c>
      <c r="H53" s="117" t="str">
        <f t="shared" si="0"/>
        <v>-</v>
      </c>
      <c r="I53" s="127"/>
      <c r="J53" s="171" t="str">
        <f t="shared" si="1"/>
        <v/>
      </c>
      <c r="L53" s="178" t="str">
        <f t="array" ref="L53">IFERROR(INDEX($C$9:$C$59,MATCH(0,COUNTIF($L$8:$L52,$C$9:$C$59),0)),"")</f>
        <v/>
      </c>
      <c r="M53" s="178">
        <f t="array" ref="M53">IF(AND($L53&lt;&gt;"",M$8&lt;&gt;""),COUNTIFS($C$9:$C$59,$L53,$J$9:$J$59,M$8),0)</f>
        <v>0</v>
      </c>
      <c r="N53" s="178">
        <f t="array" ref="N53">IF(AND($L53&lt;&gt;"",N$8&lt;&gt;""),COUNTIFS($C$9:$C$59,$L53,$J$9:$J$59,N$8),0)</f>
        <v>0</v>
      </c>
      <c r="O53" s="178">
        <f t="array" ref="O53">IF(AND($L53&lt;&gt;"",O$8&lt;&gt;""),COUNTIFS($C$9:$C$59,$L53,$J$9:$J$59,O$8),0)</f>
        <v>0</v>
      </c>
      <c r="P53" s="178">
        <f t="array" ref="P53">IF(AND($L53&lt;&gt;"",P$8&lt;&gt;""),COUNTIFS($C$9:$C$59,$L53,$J$9:$J$59,P$8),0)</f>
        <v>0</v>
      </c>
      <c r="Q53" s="178">
        <f t="array" ref="Q53">IF(AND($L53&lt;&gt;"",Q$8&lt;&gt;""),COUNTIFS($C$9:$C$59,$L53,$J$9:$J$59,Q$8),0)</f>
        <v>0</v>
      </c>
      <c r="R53" s="178">
        <f t="array" ref="R53">IF(AND($L53&lt;&gt;"",R$8&lt;&gt;""),COUNTIFS($C$9:$C$59,$L53,$J$9:$J$59,R$8),0)</f>
        <v>0</v>
      </c>
      <c r="S53" s="178">
        <f t="array" ref="S53">IF(AND($L53&lt;&gt;"",S$8&lt;&gt;""),COUNTIFS($C$9:$C$59,$L53,$J$9:$J$59,S$8),0)</f>
        <v>0</v>
      </c>
      <c r="T53" s="178">
        <f t="array" ref="T53">IF(AND($L53&lt;&gt;"",T$8&lt;&gt;""),COUNTIFS($C$9:$C$59,$L53,$J$9:$J$59,T$8),0)</f>
        <v>0</v>
      </c>
      <c r="U53" s="178">
        <f t="array" ref="U53">IF(AND($L53&lt;&gt;"",U$8&lt;&gt;""),COUNTIFS($C$9:$C$59,$L53,$J$9:$J$59,U$8),0)</f>
        <v>0</v>
      </c>
      <c r="V53" s="178">
        <f t="array" ref="V53">IF(AND($L53&lt;&gt;"",V$8&lt;&gt;""),COUNTIFS($C$9:$C$59,$L53,$J$9:$J$59,V$8),0)</f>
        <v>0</v>
      </c>
      <c r="W53" s="178">
        <f t="array" ref="W53">IF(AND($L53&lt;&gt;"",W$8&lt;&gt;""),COUNTIFS($C$9:$C$59,$L53,$J$9:$J$59,W$8),0)</f>
        <v>0</v>
      </c>
      <c r="X53" s="178">
        <f t="array" ref="X53">IF(AND($L53&lt;&gt;"",X$8&lt;&gt;""),COUNTIFS($C$9:$C$59,$L53,$J$9:$J$59,X$8),0)</f>
        <v>0</v>
      </c>
      <c r="Y53" s="178">
        <f t="array" ref="Y53">IF(AND($L53&lt;&gt;"",Y$8&lt;&gt;""),COUNTIFS($C$9:$C$59,$L53,$J$9:$J$59,Y$8),0)</f>
        <v>0</v>
      </c>
      <c r="Z53" s="178">
        <f t="array" ref="Z53">IF(AND($L53&lt;&gt;"",Z$8&lt;&gt;""),COUNTIFS($C$9:$C$59,$L53,$J$9:$J$59,Z$8),0)</f>
        <v>0</v>
      </c>
      <c r="AA53" s="178">
        <f t="array" ref="AA53">IF(AND($L53&lt;&gt;"",AA$8&lt;&gt;""),COUNTIFS($C$9:$C$59,$L53,$J$9:$J$59,AA$8),0)</f>
        <v>0</v>
      </c>
      <c r="AB53" s="178">
        <f t="array" ref="AB53">IF(AND($L53&lt;&gt;"",AB$8&lt;&gt;""),COUNTIFS($C$9:$C$59,$L53,$J$9:$J$59,AB$8),0)</f>
        <v>0</v>
      </c>
      <c r="AC53" s="178">
        <f t="array" ref="AC53">IF(AND($L53&lt;&gt;"",AC$8&lt;&gt;""),COUNTIFS($C$9:$C$59,$L53,$J$9:$J$59,AC$8),0)</f>
        <v>0</v>
      </c>
      <c r="AD53" s="178">
        <f t="array" ref="AD53">IF(AND($L53&lt;&gt;"",AD$8&lt;&gt;""),COUNTIFS($C$9:$C$59,$L53,$J$9:$J$59,AD$8),0)</f>
        <v>0</v>
      </c>
      <c r="AE53" s="178">
        <f t="array" ref="AE53">IF(AND($L53&lt;&gt;"",AE$8&lt;&gt;""),COUNTIFS($C$9:$C$59,$L53,$J$9:$J$59,AE$8),0)</f>
        <v>0</v>
      </c>
      <c r="AF53" s="178">
        <f t="array" ref="AF53">IF(AND($L53&lt;&gt;"",AF$8&lt;&gt;""),COUNTIFS($C$9:$C$59,$L53,$J$9:$J$59,AF$8),0)</f>
        <v>0</v>
      </c>
      <c r="AG53" s="178">
        <f t="array" ref="AG53">IF(AND($L53&lt;&gt;"",AG$8&lt;&gt;""),COUNTIFS($C$9:$C$59,$L53,$J$9:$J$59,AG$8),0)</f>
        <v>0</v>
      </c>
      <c r="AH53" s="178">
        <f t="array" ref="AH53">IF(AND($L53&lt;&gt;"",AH$8&lt;&gt;""),COUNTIFS($C$9:$C$59,$L53,$J$9:$J$59,AH$8),0)</f>
        <v>0</v>
      </c>
      <c r="AI53" s="178">
        <f t="array" ref="AI53">IF(AND($L53&lt;&gt;"",AI$8&lt;&gt;""),COUNTIFS($C$9:$C$59,$L53,$J$9:$J$59,AI$8),0)</f>
        <v>0</v>
      </c>
      <c r="AJ53" s="178">
        <f t="array" ref="AJ53">IF(AND($L53&lt;&gt;"",AJ$8&lt;&gt;""),COUNTIFS($C$9:$C$59,$L53,$J$9:$J$59,AJ$8),0)</f>
        <v>0</v>
      </c>
      <c r="AK53" s="178">
        <f t="array" ref="AK53">IF(AND($L53&lt;&gt;"",AK$8&lt;&gt;""),COUNTIFS($C$9:$C$59,$L53,$J$9:$J$59,AK$8),0)</f>
        <v>0</v>
      </c>
      <c r="AL53" s="178">
        <f t="array" ref="AL53">IF(AND($L53&lt;&gt;"",AL$8&lt;&gt;""),COUNTIFS($C$9:$C$59,$L53,$J$9:$J$59,AL$8),0)</f>
        <v>0</v>
      </c>
      <c r="AM53" s="178">
        <f t="array" ref="AM53">IF(AND($L53&lt;&gt;"",AM$8&lt;&gt;""),COUNTIFS($C$9:$C$59,$L53,$J$9:$J$59,AM$8),0)</f>
        <v>0</v>
      </c>
      <c r="AN53" s="178">
        <f t="array" ref="AN53">IF(AND($L53&lt;&gt;"",AN$8&lt;&gt;""),COUNTIFS($C$9:$C$59,$L53,$J$9:$J$59,AN$8),0)</f>
        <v>0</v>
      </c>
      <c r="AO53" s="178">
        <f t="array" ref="AO53">IF(AND($L53&lt;&gt;"",AO$8&lt;&gt;""),COUNTIFS($C$9:$C$59,$L53,$J$9:$J$59,AO$8),0)</f>
        <v>0</v>
      </c>
      <c r="AP53" s="178">
        <f t="array" ref="AP53">IF(AND($L53&lt;&gt;"",AP$8&lt;&gt;""),COUNTIFS($C$9:$C$59,$L53,$J$9:$J$59,AP$8),0)</f>
        <v>0</v>
      </c>
      <c r="AQ53" s="178">
        <f t="array" ref="AQ53">IF(AND($L53&lt;&gt;"",AQ$8&lt;&gt;""),COUNTIFS($C$9:$C$59,$L53,$J$9:$J$59,AQ$8),0)</f>
        <v>0</v>
      </c>
      <c r="AR53" s="178">
        <f t="array" ref="AR53">IF(AND($L53&lt;&gt;"",AR$8&lt;&gt;""),COUNTIFS($C$9:$C$59,$L53,$J$9:$J$59,AR$8),0)</f>
        <v>0</v>
      </c>
      <c r="AS53" s="178">
        <f t="array" ref="AS53">IF(AND($L53&lt;&gt;"",AS$8&lt;&gt;""),COUNTIFS($C$9:$C$59,$L53,$J$9:$J$59,AS$8),0)</f>
        <v>0</v>
      </c>
      <c r="AT53" s="178">
        <f t="array" ref="AT53">IF(AND($L53&lt;&gt;"",AT$8&lt;&gt;""),COUNTIFS($C$9:$C$59,$L53,$J$9:$J$59,AT$8),0)</f>
        <v>0</v>
      </c>
      <c r="AU53" s="178">
        <f t="array" ref="AU53">IF(AND($L53&lt;&gt;"",AU$8&lt;&gt;""),COUNTIFS($C$9:$C$59,$L53,$J$9:$J$59,AU$8),0)</f>
        <v>0</v>
      </c>
      <c r="AV53" s="178">
        <f t="array" ref="AV53">IF(AND($L53&lt;&gt;"",AV$8&lt;&gt;""),COUNTIFS($C$9:$C$59,$L53,$J$9:$J$59,AV$8),0)</f>
        <v>0</v>
      </c>
      <c r="AW53" s="178">
        <f t="array" ref="AW53">IF(AND($L53&lt;&gt;"",AW$8&lt;&gt;""),COUNTIFS($C$9:$C$59,$L53,$J$9:$J$59,AW$8),0)</f>
        <v>0</v>
      </c>
      <c r="AX53" s="178">
        <f t="array" ref="AX53">IF(AND($L53&lt;&gt;"",AX$8&lt;&gt;""),COUNTIFS($C$9:$C$59,$L53,$J$9:$J$59,AX$8),0)</f>
        <v>0</v>
      </c>
      <c r="AY53" s="178">
        <f t="array" ref="AY53">IF(AND($L53&lt;&gt;"",AY$8&lt;&gt;""),COUNTIFS($C$9:$C$59,$L53,$J$9:$J$59,AY$8),0)</f>
        <v>0</v>
      </c>
      <c r="AZ53" s="178">
        <f t="array" ref="AZ53">IF(AND($L53&lt;&gt;"",AZ$8&lt;&gt;""),COUNTIFS($C$9:$C$59,$L53,$J$9:$J$59,AZ$8),0)</f>
        <v>0</v>
      </c>
      <c r="BA53" s="178">
        <f t="array" ref="BA53">IF(AND($L53&lt;&gt;"",BA$8&lt;&gt;""),COUNTIFS($C$9:$C$59,$L53,$J$9:$J$59,BA$8),0)</f>
        <v>0</v>
      </c>
      <c r="BB53" s="178">
        <f t="array" ref="BB53">IF(AND($L53&lt;&gt;"",BB$8&lt;&gt;""),COUNTIFS($C$9:$C$59,$L53,$J$9:$J$59,BB$8),0)</f>
        <v>0</v>
      </c>
      <c r="BC53" s="178">
        <f t="array" ref="BC53">IF(AND($L53&lt;&gt;"",BC$8&lt;&gt;""),COUNTIFS($C$9:$C$59,$L53,$J$9:$J$59,BC$8),0)</f>
        <v>0</v>
      </c>
      <c r="BD53" s="178">
        <f t="array" ref="BD53">IF(AND($L53&lt;&gt;"",BD$8&lt;&gt;""),COUNTIFS($C$9:$C$59,$L53,$J$9:$J$59,BD$8),0)</f>
        <v>0</v>
      </c>
      <c r="BE53" s="178">
        <f t="array" ref="BE53">IF(AND($L53&lt;&gt;"",BE$8&lt;&gt;""),COUNTIFS($C$9:$C$59,$L53,$J$9:$J$59,BE$8),0)</f>
        <v>0</v>
      </c>
      <c r="BF53" s="178">
        <f t="array" ref="BF53">IF(AND($L53&lt;&gt;"",BF$8&lt;&gt;""),COUNTIFS($C$9:$C$59,$L53,$J$9:$J$59,BF$8),0)</f>
        <v>0</v>
      </c>
      <c r="BG53" s="178">
        <f t="array" ref="BG53">IF(AND($L53&lt;&gt;"",BG$8&lt;&gt;""),COUNTIFS($C$9:$C$59,$L53,$J$9:$J$59,BG$8),0)</f>
        <v>0</v>
      </c>
      <c r="BH53" s="178">
        <f t="array" ref="BH53">IF(AND($L53&lt;&gt;"",BH$8&lt;&gt;""),COUNTIFS($C$9:$C$59,$L53,$J$9:$J$59,BH$8),0)</f>
        <v>0</v>
      </c>
      <c r="BI53" s="178">
        <f t="array" ref="BI53">IF(AND($L53&lt;&gt;"",BI$8&lt;&gt;""),COUNTIFS($C$9:$C$59,$L53,$J$9:$J$59,BI$8),0)</f>
        <v>0</v>
      </c>
      <c r="BJ53" s="178">
        <f t="array" ref="BJ53">IF(AND($L53&lt;&gt;"",BJ$8&lt;&gt;""),COUNTIFS($C$9:$C$59,$L53,$J$9:$J$59,BJ$8),0)</f>
        <v>0</v>
      </c>
    </row>
    <row r="54" spans="2:62" x14ac:dyDescent="0.2">
      <c r="B54" s="126" t="s">
        <v>252</v>
      </c>
      <c r="C54" s="267"/>
      <c r="D54" s="23"/>
      <c r="E54" s="128"/>
      <c r="F54" s="118"/>
      <c r="G54" s="118" t="s">
        <v>287</v>
      </c>
      <c r="H54" s="117" t="str">
        <f t="shared" si="0"/>
        <v>-</v>
      </c>
      <c r="I54" s="127"/>
      <c r="J54" s="171" t="str">
        <f t="shared" si="1"/>
        <v/>
      </c>
      <c r="L54" s="178" t="str">
        <f t="array" ref="L54">IFERROR(INDEX($C$9:$C$59,MATCH(0,COUNTIF($L$8:$L53,$C$9:$C$59),0)),"")</f>
        <v/>
      </c>
      <c r="M54" s="178">
        <f t="array" ref="M54">IF(AND($L54&lt;&gt;"",M$8&lt;&gt;""),COUNTIFS($C$9:$C$59,$L54,$J$9:$J$59,M$8),0)</f>
        <v>0</v>
      </c>
      <c r="N54" s="178">
        <f t="array" ref="N54">IF(AND($L54&lt;&gt;"",N$8&lt;&gt;""),COUNTIFS($C$9:$C$59,$L54,$J$9:$J$59,N$8),0)</f>
        <v>0</v>
      </c>
      <c r="O54" s="178">
        <f t="array" ref="O54">IF(AND($L54&lt;&gt;"",O$8&lt;&gt;""),COUNTIFS($C$9:$C$59,$L54,$J$9:$J$59,O$8),0)</f>
        <v>0</v>
      </c>
      <c r="P54" s="178">
        <f t="array" ref="P54">IF(AND($L54&lt;&gt;"",P$8&lt;&gt;""),COUNTIFS($C$9:$C$59,$L54,$J$9:$J$59,P$8),0)</f>
        <v>0</v>
      </c>
      <c r="Q54" s="178">
        <f t="array" ref="Q54">IF(AND($L54&lt;&gt;"",Q$8&lt;&gt;""),COUNTIFS($C$9:$C$59,$L54,$J$9:$J$59,Q$8),0)</f>
        <v>0</v>
      </c>
      <c r="R54" s="178">
        <f t="array" ref="R54">IF(AND($L54&lt;&gt;"",R$8&lt;&gt;""),COUNTIFS($C$9:$C$59,$L54,$J$9:$J$59,R$8),0)</f>
        <v>0</v>
      </c>
      <c r="S54" s="178">
        <f t="array" ref="S54">IF(AND($L54&lt;&gt;"",S$8&lt;&gt;""),COUNTIFS($C$9:$C$59,$L54,$J$9:$J$59,S$8),0)</f>
        <v>0</v>
      </c>
      <c r="T54" s="178">
        <f t="array" ref="T54">IF(AND($L54&lt;&gt;"",T$8&lt;&gt;""),COUNTIFS($C$9:$C$59,$L54,$J$9:$J$59,T$8),0)</f>
        <v>0</v>
      </c>
      <c r="U54" s="178">
        <f t="array" ref="U54">IF(AND($L54&lt;&gt;"",U$8&lt;&gt;""),COUNTIFS($C$9:$C$59,$L54,$J$9:$J$59,U$8),0)</f>
        <v>0</v>
      </c>
      <c r="V54" s="178">
        <f t="array" ref="V54">IF(AND($L54&lt;&gt;"",V$8&lt;&gt;""),COUNTIFS($C$9:$C$59,$L54,$J$9:$J$59,V$8),0)</f>
        <v>0</v>
      </c>
      <c r="W54" s="178">
        <f t="array" ref="W54">IF(AND($L54&lt;&gt;"",W$8&lt;&gt;""),COUNTIFS($C$9:$C$59,$L54,$J$9:$J$59,W$8),0)</f>
        <v>0</v>
      </c>
      <c r="X54" s="178">
        <f t="array" ref="X54">IF(AND($L54&lt;&gt;"",X$8&lt;&gt;""),COUNTIFS($C$9:$C$59,$L54,$J$9:$J$59,X$8),0)</f>
        <v>0</v>
      </c>
      <c r="Y54" s="178">
        <f t="array" ref="Y54">IF(AND($L54&lt;&gt;"",Y$8&lt;&gt;""),COUNTIFS($C$9:$C$59,$L54,$J$9:$J$59,Y$8),0)</f>
        <v>0</v>
      </c>
      <c r="Z54" s="178">
        <f t="array" ref="Z54">IF(AND($L54&lt;&gt;"",Z$8&lt;&gt;""),COUNTIFS($C$9:$C$59,$L54,$J$9:$J$59,Z$8),0)</f>
        <v>0</v>
      </c>
      <c r="AA54" s="178">
        <f t="array" ref="AA54">IF(AND($L54&lt;&gt;"",AA$8&lt;&gt;""),COUNTIFS($C$9:$C$59,$L54,$J$9:$J$59,AA$8),0)</f>
        <v>0</v>
      </c>
      <c r="AB54" s="178">
        <f t="array" ref="AB54">IF(AND($L54&lt;&gt;"",AB$8&lt;&gt;""),COUNTIFS($C$9:$C$59,$L54,$J$9:$J$59,AB$8),0)</f>
        <v>0</v>
      </c>
      <c r="AC54" s="178">
        <f t="array" ref="AC54">IF(AND($L54&lt;&gt;"",AC$8&lt;&gt;""),COUNTIFS($C$9:$C$59,$L54,$J$9:$J$59,AC$8),0)</f>
        <v>0</v>
      </c>
      <c r="AD54" s="178">
        <f t="array" ref="AD54">IF(AND($L54&lt;&gt;"",AD$8&lt;&gt;""),COUNTIFS($C$9:$C$59,$L54,$J$9:$J$59,AD$8),0)</f>
        <v>0</v>
      </c>
      <c r="AE54" s="178">
        <f t="array" ref="AE54">IF(AND($L54&lt;&gt;"",AE$8&lt;&gt;""),COUNTIFS($C$9:$C$59,$L54,$J$9:$J$59,AE$8),0)</f>
        <v>0</v>
      </c>
      <c r="AF54" s="178">
        <f t="array" ref="AF54">IF(AND($L54&lt;&gt;"",AF$8&lt;&gt;""),COUNTIFS($C$9:$C$59,$L54,$J$9:$J$59,AF$8),0)</f>
        <v>0</v>
      </c>
      <c r="AG54" s="178">
        <f t="array" ref="AG54">IF(AND($L54&lt;&gt;"",AG$8&lt;&gt;""),COUNTIFS($C$9:$C$59,$L54,$J$9:$J$59,AG$8),0)</f>
        <v>0</v>
      </c>
      <c r="AH54" s="178">
        <f t="array" ref="AH54">IF(AND($L54&lt;&gt;"",AH$8&lt;&gt;""),COUNTIFS($C$9:$C$59,$L54,$J$9:$J$59,AH$8),0)</f>
        <v>0</v>
      </c>
      <c r="AI54" s="178">
        <f t="array" ref="AI54">IF(AND($L54&lt;&gt;"",AI$8&lt;&gt;""),COUNTIFS($C$9:$C$59,$L54,$J$9:$J$59,AI$8),0)</f>
        <v>0</v>
      </c>
      <c r="AJ54" s="178">
        <f t="array" ref="AJ54">IF(AND($L54&lt;&gt;"",AJ$8&lt;&gt;""),COUNTIFS($C$9:$C$59,$L54,$J$9:$J$59,AJ$8),0)</f>
        <v>0</v>
      </c>
      <c r="AK54" s="178">
        <f t="array" ref="AK54">IF(AND($L54&lt;&gt;"",AK$8&lt;&gt;""),COUNTIFS($C$9:$C$59,$L54,$J$9:$J$59,AK$8),0)</f>
        <v>0</v>
      </c>
      <c r="AL54" s="178">
        <f t="array" ref="AL54">IF(AND($L54&lt;&gt;"",AL$8&lt;&gt;""),COUNTIFS($C$9:$C$59,$L54,$J$9:$J$59,AL$8),0)</f>
        <v>0</v>
      </c>
      <c r="AM54" s="178">
        <f t="array" ref="AM54">IF(AND($L54&lt;&gt;"",AM$8&lt;&gt;""),COUNTIFS($C$9:$C$59,$L54,$J$9:$J$59,AM$8),0)</f>
        <v>0</v>
      </c>
      <c r="AN54" s="178">
        <f t="array" ref="AN54">IF(AND($L54&lt;&gt;"",AN$8&lt;&gt;""),COUNTIFS($C$9:$C$59,$L54,$J$9:$J$59,AN$8),0)</f>
        <v>0</v>
      </c>
      <c r="AO54" s="178">
        <f t="array" ref="AO54">IF(AND($L54&lt;&gt;"",AO$8&lt;&gt;""),COUNTIFS($C$9:$C$59,$L54,$J$9:$J$59,AO$8),0)</f>
        <v>0</v>
      </c>
      <c r="AP54" s="178">
        <f t="array" ref="AP54">IF(AND($L54&lt;&gt;"",AP$8&lt;&gt;""),COUNTIFS($C$9:$C$59,$L54,$J$9:$J$59,AP$8),0)</f>
        <v>0</v>
      </c>
      <c r="AQ54" s="178">
        <f t="array" ref="AQ54">IF(AND($L54&lt;&gt;"",AQ$8&lt;&gt;""),COUNTIFS($C$9:$C$59,$L54,$J$9:$J$59,AQ$8),0)</f>
        <v>0</v>
      </c>
      <c r="AR54" s="178">
        <f t="array" ref="AR54">IF(AND($L54&lt;&gt;"",AR$8&lt;&gt;""),COUNTIFS($C$9:$C$59,$L54,$J$9:$J$59,AR$8),0)</f>
        <v>0</v>
      </c>
      <c r="AS54" s="178">
        <f t="array" ref="AS54">IF(AND($L54&lt;&gt;"",AS$8&lt;&gt;""),COUNTIFS($C$9:$C$59,$L54,$J$9:$J$59,AS$8),0)</f>
        <v>0</v>
      </c>
      <c r="AT54" s="178">
        <f t="array" ref="AT54">IF(AND($L54&lt;&gt;"",AT$8&lt;&gt;""),COUNTIFS($C$9:$C$59,$L54,$J$9:$J$59,AT$8),0)</f>
        <v>0</v>
      </c>
      <c r="AU54" s="178">
        <f t="array" ref="AU54">IF(AND($L54&lt;&gt;"",AU$8&lt;&gt;""),COUNTIFS($C$9:$C$59,$L54,$J$9:$J$59,AU$8),0)</f>
        <v>0</v>
      </c>
      <c r="AV54" s="178">
        <f t="array" ref="AV54">IF(AND($L54&lt;&gt;"",AV$8&lt;&gt;""),COUNTIFS($C$9:$C$59,$L54,$J$9:$J$59,AV$8),0)</f>
        <v>0</v>
      </c>
      <c r="AW54" s="178">
        <f t="array" ref="AW54">IF(AND($L54&lt;&gt;"",AW$8&lt;&gt;""),COUNTIFS($C$9:$C$59,$L54,$J$9:$J$59,AW$8),0)</f>
        <v>0</v>
      </c>
      <c r="AX54" s="178">
        <f t="array" ref="AX54">IF(AND($L54&lt;&gt;"",AX$8&lt;&gt;""),COUNTIFS($C$9:$C$59,$L54,$J$9:$J$59,AX$8),0)</f>
        <v>0</v>
      </c>
      <c r="AY54" s="178">
        <f t="array" ref="AY54">IF(AND($L54&lt;&gt;"",AY$8&lt;&gt;""),COUNTIFS($C$9:$C$59,$L54,$J$9:$J$59,AY$8),0)</f>
        <v>0</v>
      </c>
      <c r="AZ54" s="178">
        <f t="array" ref="AZ54">IF(AND($L54&lt;&gt;"",AZ$8&lt;&gt;""),COUNTIFS($C$9:$C$59,$L54,$J$9:$J$59,AZ$8),0)</f>
        <v>0</v>
      </c>
      <c r="BA54" s="178">
        <f t="array" ref="BA54">IF(AND($L54&lt;&gt;"",BA$8&lt;&gt;""),COUNTIFS($C$9:$C$59,$L54,$J$9:$J$59,BA$8),0)</f>
        <v>0</v>
      </c>
      <c r="BB54" s="178">
        <f t="array" ref="BB54">IF(AND($L54&lt;&gt;"",BB$8&lt;&gt;""),COUNTIFS($C$9:$C$59,$L54,$J$9:$J$59,BB$8),0)</f>
        <v>0</v>
      </c>
      <c r="BC54" s="178">
        <f t="array" ref="BC54">IF(AND($L54&lt;&gt;"",BC$8&lt;&gt;""),COUNTIFS($C$9:$C$59,$L54,$J$9:$J$59,BC$8),0)</f>
        <v>0</v>
      </c>
      <c r="BD54" s="178">
        <f t="array" ref="BD54">IF(AND($L54&lt;&gt;"",BD$8&lt;&gt;""),COUNTIFS($C$9:$C$59,$L54,$J$9:$J$59,BD$8),0)</f>
        <v>0</v>
      </c>
      <c r="BE54" s="178">
        <f t="array" ref="BE54">IF(AND($L54&lt;&gt;"",BE$8&lt;&gt;""),COUNTIFS($C$9:$C$59,$L54,$J$9:$J$59,BE$8),0)</f>
        <v>0</v>
      </c>
      <c r="BF54" s="178">
        <f t="array" ref="BF54">IF(AND($L54&lt;&gt;"",BF$8&lt;&gt;""),COUNTIFS($C$9:$C$59,$L54,$J$9:$J$59,BF$8),0)</f>
        <v>0</v>
      </c>
      <c r="BG54" s="178">
        <f t="array" ref="BG54">IF(AND($L54&lt;&gt;"",BG$8&lt;&gt;""),COUNTIFS($C$9:$C$59,$L54,$J$9:$J$59,BG$8),0)</f>
        <v>0</v>
      </c>
      <c r="BH54" s="178">
        <f t="array" ref="BH54">IF(AND($L54&lt;&gt;"",BH$8&lt;&gt;""),COUNTIFS($C$9:$C$59,$L54,$J$9:$J$59,BH$8),0)</f>
        <v>0</v>
      </c>
      <c r="BI54" s="178">
        <f t="array" ref="BI54">IF(AND($L54&lt;&gt;"",BI$8&lt;&gt;""),COUNTIFS($C$9:$C$59,$L54,$J$9:$J$59,BI$8),0)</f>
        <v>0</v>
      </c>
      <c r="BJ54" s="178">
        <f t="array" ref="BJ54">IF(AND($L54&lt;&gt;"",BJ$8&lt;&gt;""),COUNTIFS($C$9:$C$59,$L54,$J$9:$J$59,BJ$8),0)</f>
        <v>0</v>
      </c>
    </row>
    <row r="55" spans="2:62" x14ac:dyDescent="0.2">
      <c r="B55" s="126" t="s">
        <v>253</v>
      </c>
      <c r="C55" s="267"/>
      <c r="D55" s="23"/>
      <c r="E55" s="128"/>
      <c r="F55" s="118"/>
      <c r="G55" s="118" t="s">
        <v>287</v>
      </c>
      <c r="H55" s="117" t="str">
        <f t="shared" si="0"/>
        <v>-</v>
      </c>
      <c r="I55" s="127"/>
      <c r="J55" s="171" t="str">
        <f t="shared" si="1"/>
        <v/>
      </c>
      <c r="L55" s="178" t="str">
        <f t="array" ref="L55">IFERROR(INDEX($C$9:$C$59,MATCH(0,COUNTIF($L$8:$L54,$C$9:$C$59),0)),"")</f>
        <v/>
      </c>
      <c r="M55" s="178">
        <f t="array" ref="M55">IF(AND($L55&lt;&gt;"",M$8&lt;&gt;""),COUNTIFS($C$9:$C$59,$L55,$J$9:$J$59,M$8),0)</f>
        <v>0</v>
      </c>
      <c r="N55" s="178">
        <f t="array" ref="N55">IF(AND($L55&lt;&gt;"",N$8&lt;&gt;""),COUNTIFS($C$9:$C$59,$L55,$J$9:$J$59,N$8),0)</f>
        <v>0</v>
      </c>
      <c r="O55" s="178">
        <f t="array" ref="O55">IF(AND($L55&lt;&gt;"",O$8&lt;&gt;""),COUNTIFS($C$9:$C$59,$L55,$J$9:$J$59,O$8),0)</f>
        <v>0</v>
      </c>
      <c r="P55" s="178">
        <f t="array" ref="P55">IF(AND($L55&lt;&gt;"",P$8&lt;&gt;""),COUNTIFS($C$9:$C$59,$L55,$J$9:$J$59,P$8),0)</f>
        <v>0</v>
      </c>
      <c r="Q55" s="178">
        <f t="array" ref="Q55">IF(AND($L55&lt;&gt;"",Q$8&lt;&gt;""),COUNTIFS($C$9:$C$59,$L55,$J$9:$J$59,Q$8),0)</f>
        <v>0</v>
      </c>
      <c r="R55" s="178">
        <f t="array" ref="R55">IF(AND($L55&lt;&gt;"",R$8&lt;&gt;""),COUNTIFS($C$9:$C$59,$L55,$J$9:$J$59,R$8),0)</f>
        <v>0</v>
      </c>
      <c r="S55" s="178">
        <f t="array" ref="S55">IF(AND($L55&lt;&gt;"",S$8&lt;&gt;""),COUNTIFS($C$9:$C$59,$L55,$J$9:$J$59,S$8),0)</f>
        <v>0</v>
      </c>
      <c r="T55" s="178">
        <f t="array" ref="T55">IF(AND($L55&lt;&gt;"",T$8&lt;&gt;""),COUNTIFS($C$9:$C$59,$L55,$J$9:$J$59,T$8),0)</f>
        <v>0</v>
      </c>
      <c r="U55" s="178">
        <f t="array" ref="U55">IF(AND($L55&lt;&gt;"",U$8&lt;&gt;""),COUNTIFS($C$9:$C$59,$L55,$J$9:$J$59,U$8),0)</f>
        <v>0</v>
      </c>
      <c r="V55" s="178">
        <f t="array" ref="V55">IF(AND($L55&lt;&gt;"",V$8&lt;&gt;""),COUNTIFS($C$9:$C$59,$L55,$J$9:$J$59,V$8),0)</f>
        <v>0</v>
      </c>
      <c r="W55" s="178">
        <f t="array" ref="W55">IF(AND($L55&lt;&gt;"",W$8&lt;&gt;""),COUNTIFS($C$9:$C$59,$L55,$J$9:$J$59,W$8),0)</f>
        <v>0</v>
      </c>
      <c r="X55" s="178">
        <f t="array" ref="X55">IF(AND($L55&lt;&gt;"",X$8&lt;&gt;""),COUNTIFS($C$9:$C$59,$L55,$J$9:$J$59,X$8),0)</f>
        <v>0</v>
      </c>
      <c r="Y55" s="178">
        <f t="array" ref="Y55">IF(AND($L55&lt;&gt;"",Y$8&lt;&gt;""),COUNTIFS($C$9:$C$59,$L55,$J$9:$J$59,Y$8),0)</f>
        <v>0</v>
      </c>
      <c r="Z55" s="178">
        <f t="array" ref="Z55">IF(AND($L55&lt;&gt;"",Z$8&lt;&gt;""),COUNTIFS($C$9:$C$59,$L55,$J$9:$J$59,Z$8),0)</f>
        <v>0</v>
      </c>
      <c r="AA55" s="178">
        <f t="array" ref="AA55">IF(AND($L55&lt;&gt;"",AA$8&lt;&gt;""),COUNTIFS($C$9:$C$59,$L55,$J$9:$J$59,AA$8),0)</f>
        <v>0</v>
      </c>
      <c r="AB55" s="178">
        <f t="array" ref="AB55">IF(AND($L55&lt;&gt;"",AB$8&lt;&gt;""),COUNTIFS($C$9:$C$59,$L55,$J$9:$J$59,AB$8),0)</f>
        <v>0</v>
      </c>
      <c r="AC55" s="178">
        <f t="array" ref="AC55">IF(AND($L55&lt;&gt;"",AC$8&lt;&gt;""),COUNTIFS($C$9:$C$59,$L55,$J$9:$J$59,AC$8),0)</f>
        <v>0</v>
      </c>
      <c r="AD55" s="178">
        <f t="array" ref="AD55">IF(AND($L55&lt;&gt;"",AD$8&lt;&gt;""),COUNTIFS($C$9:$C$59,$L55,$J$9:$J$59,AD$8),0)</f>
        <v>0</v>
      </c>
      <c r="AE55" s="178">
        <f t="array" ref="AE55">IF(AND($L55&lt;&gt;"",AE$8&lt;&gt;""),COUNTIFS($C$9:$C$59,$L55,$J$9:$J$59,AE$8),0)</f>
        <v>0</v>
      </c>
      <c r="AF55" s="178">
        <f t="array" ref="AF55">IF(AND($L55&lt;&gt;"",AF$8&lt;&gt;""),COUNTIFS($C$9:$C$59,$L55,$J$9:$J$59,AF$8),0)</f>
        <v>0</v>
      </c>
      <c r="AG55" s="178">
        <f t="array" ref="AG55">IF(AND($L55&lt;&gt;"",AG$8&lt;&gt;""),COUNTIFS($C$9:$C$59,$L55,$J$9:$J$59,AG$8),0)</f>
        <v>0</v>
      </c>
      <c r="AH55" s="178">
        <f t="array" ref="AH55">IF(AND($L55&lt;&gt;"",AH$8&lt;&gt;""),COUNTIFS($C$9:$C$59,$L55,$J$9:$J$59,AH$8),0)</f>
        <v>0</v>
      </c>
      <c r="AI55" s="178">
        <f t="array" ref="AI55">IF(AND($L55&lt;&gt;"",AI$8&lt;&gt;""),COUNTIFS($C$9:$C$59,$L55,$J$9:$J$59,AI$8),0)</f>
        <v>0</v>
      </c>
      <c r="AJ55" s="178">
        <f t="array" ref="AJ55">IF(AND($L55&lt;&gt;"",AJ$8&lt;&gt;""),COUNTIFS($C$9:$C$59,$L55,$J$9:$J$59,AJ$8),0)</f>
        <v>0</v>
      </c>
      <c r="AK55" s="178">
        <f t="array" ref="AK55">IF(AND($L55&lt;&gt;"",AK$8&lt;&gt;""),COUNTIFS($C$9:$C$59,$L55,$J$9:$J$59,AK$8),0)</f>
        <v>0</v>
      </c>
      <c r="AL55" s="178">
        <f t="array" ref="AL55">IF(AND($L55&lt;&gt;"",AL$8&lt;&gt;""),COUNTIFS($C$9:$C$59,$L55,$J$9:$J$59,AL$8),0)</f>
        <v>0</v>
      </c>
      <c r="AM55" s="178">
        <f t="array" ref="AM55">IF(AND($L55&lt;&gt;"",AM$8&lt;&gt;""),COUNTIFS($C$9:$C$59,$L55,$J$9:$J$59,AM$8),0)</f>
        <v>0</v>
      </c>
      <c r="AN55" s="178">
        <f t="array" ref="AN55">IF(AND($L55&lt;&gt;"",AN$8&lt;&gt;""),COUNTIFS($C$9:$C$59,$L55,$J$9:$J$59,AN$8),0)</f>
        <v>0</v>
      </c>
      <c r="AO55" s="178">
        <f t="array" ref="AO55">IF(AND($L55&lt;&gt;"",AO$8&lt;&gt;""),COUNTIFS($C$9:$C$59,$L55,$J$9:$J$59,AO$8),0)</f>
        <v>0</v>
      </c>
      <c r="AP55" s="178">
        <f t="array" ref="AP55">IF(AND($L55&lt;&gt;"",AP$8&lt;&gt;""),COUNTIFS($C$9:$C$59,$L55,$J$9:$J$59,AP$8),0)</f>
        <v>0</v>
      </c>
      <c r="AQ55" s="178">
        <f t="array" ref="AQ55">IF(AND($L55&lt;&gt;"",AQ$8&lt;&gt;""),COUNTIFS($C$9:$C$59,$L55,$J$9:$J$59,AQ$8),0)</f>
        <v>0</v>
      </c>
      <c r="AR55" s="178">
        <f t="array" ref="AR55">IF(AND($L55&lt;&gt;"",AR$8&lt;&gt;""),COUNTIFS($C$9:$C$59,$L55,$J$9:$J$59,AR$8),0)</f>
        <v>0</v>
      </c>
      <c r="AS55" s="178">
        <f t="array" ref="AS55">IF(AND($L55&lt;&gt;"",AS$8&lt;&gt;""),COUNTIFS($C$9:$C$59,$L55,$J$9:$J$59,AS$8),0)</f>
        <v>0</v>
      </c>
      <c r="AT55" s="178">
        <f t="array" ref="AT55">IF(AND($L55&lt;&gt;"",AT$8&lt;&gt;""),COUNTIFS($C$9:$C$59,$L55,$J$9:$J$59,AT$8),0)</f>
        <v>0</v>
      </c>
      <c r="AU55" s="178">
        <f t="array" ref="AU55">IF(AND($L55&lt;&gt;"",AU$8&lt;&gt;""),COUNTIFS($C$9:$C$59,$L55,$J$9:$J$59,AU$8),0)</f>
        <v>0</v>
      </c>
      <c r="AV55" s="178">
        <f t="array" ref="AV55">IF(AND($L55&lt;&gt;"",AV$8&lt;&gt;""),COUNTIFS($C$9:$C$59,$L55,$J$9:$J$59,AV$8),0)</f>
        <v>0</v>
      </c>
      <c r="AW55" s="178">
        <f t="array" ref="AW55">IF(AND($L55&lt;&gt;"",AW$8&lt;&gt;""),COUNTIFS($C$9:$C$59,$L55,$J$9:$J$59,AW$8),0)</f>
        <v>0</v>
      </c>
      <c r="AX55" s="178">
        <f t="array" ref="AX55">IF(AND($L55&lt;&gt;"",AX$8&lt;&gt;""),COUNTIFS($C$9:$C$59,$L55,$J$9:$J$59,AX$8),0)</f>
        <v>0</v>
      </c>
      <c r="AY55" s="178">
        <f t="array" ref="AY55">IF(AND($L55&lt;&gt;"",AY$8&lt;&gt;""),COUNTIFS($C$9:$C$59,$L55,$J$9:$J$59,AY$8),0)</f>
        <v>0</v>
      </c>
      <c r="AZ55" s="178">
        <f t="array" ref="AZ55">IF(AND($L55&lt;&gt;"",AZ$8&lt;&gt;""),COUNTIFS($C$9:$C$59,$L55,$J$9:$J$59,AZ$8),0)</f>
        <v>0</v>
      </c>
      <c r="BA55" s="178">
        <f t="array" ref="BA55">IF(AND($L55&lt;&gt;"",BA$8&lt;&gt;""),COUNTIFS($C$9:$C$59,$L55,$J$9:$J$59,BA$8),0)</f>
        <v>0</v>
      </c>
      <c r="BB55" s="178">
        <f t="array" ref="BB55">IF(AND($L55&lt;&gt;"",BB$8&lt;&gt;""),COUNTIFS($C$9:$C$59,$L55,$J$9:$J$59,BB$8),0)</f>
        <v>0</v>
      </c>
      <c r="BC55" s="178">
        <f t="array" ref="BC55">IF(AND($L55&lt;&gt;"",BC$8&lt;&gt;""),COUNTIFS($C$9:$C$59,$L55,$J$9:$J$59,BC$8),0)</f>
        <v>0</v>
      </c>
      <c r="BD55" s="178">
        <f t="array" ref="BD55">IF(AND($L55&lt;&gt;"",BD$8&lt;&gt;""),COUNTIFS($C$9:$C$59,$L55,$J$9:$J$59,BD$8),0)</f>
        <v>0</v>
      </c>
      <c r="BE55" s="178">
        <f t="array" ref="BE55">IF(AND($L55&lt;&gt;"",BE$8&lt;&gt;""),COUNTIFS($C$9:$C$59,$L55,$J$9:$J$59,BE$8),0)</f>
        <v>0</v>
      </c>
      <c r="BF55" s="178">
        <f t="array" ref="BF55">IF(AND($L55&lt;&gt;"",BF$8&lt;&gt;""),COUNTIFS($C$9:$C$59,$L55,$J$9:$J$59,BF$8),0)</f>
        <v>0</v>
      </c>
      <c r="BG55" s="178">
        <f t="array" ref="BG55">IF(AND($L55&lt;&gt;"",BG$8&lt;&gt;""),COUNTIFS($C$9:$C$59,$L55,$J$9:$J$59,BG$8),0)</f>
        <v>0</v>
      </c>
      <c r="BH55" s="178">
        <f t="array" ref="BH55">IF(AND($L55&lt;&gt;"",BH$8&lt;&gt;""),COUNTIFS($C$9:$C$59,$L55,$J$9:$J$59,BH$8),0)</f>
        <v>0</v>
      </c>
      <c r="BI55" s="178">
        <f t="array" ref="BI55">IF(AND($L55&lt;&gt;"",BI$8&lt;&gt;""),COUNTIFS($C$9:$C$59,$L55,$J$9:$J$59,BI$8),0)</f>
        <v>0</v>
      </c>
      <c r="BJ55" s="178">
        <f t="array" ref="BJ55">IF(AND($L55&lt;&gt;"",BJ$8&lt;&gt;""),COUNTIFS($C$9:$C$59,$L55,$J$9:$J$59,BJ$8),0)</f>
        <v>0</v>
      </c>
    </row>
    <row r="56" spans="2:62" x14ac:dyDescent="0.2">
      <c r="B56" s="126" t="s">
        <v>254</v>
      </c>
      <c r="C56" s="267"/>
      <c r="D56" s="23"/>
      <c r="E56" s="128"/>
      <c r="F56" s="118"/>
      <c r="G56" s="118" t="s">
        <v>287</v>
      </c>
      <c r="H56" s="117" t="str">
        <f t="shared" si="0"/>
        <v>-</v>
      </c>
      <c r="I56" s="127"/>
      <c r="J56" s="171" t="str">
        <f t="shared" si="1"/>
        <v/>
      </c>
      <c r="L56" s="178" t="str">
        <f t="array" ref="L56">IFERROR(INDEX($C$9:$C$59,MATCH(0,COUNTIF($L$8:$L55,$C$9:$C$59),0)),"")</f>
        <v/>
      </c>
      <c r="M56" s="178">
        <f t="array" ref="M56">IF(AND($L56&lt;&gt;"",M$8&lt;&gt;""),COUNTIFS($C$9:$C$59,$L56,$J$9:$J$59,M$8),0)</f>
        <v>0</v>
      </c>
      <c r="N56" s="178">
        <f t="array" ref="N56">IF(AND($L56&lt;&gt;"",N$8&lt;&gt;""),COUNTIFS($C$9:$C$59,$L56,$J$9:$J$59,N$8),0)</f>
        <v>0</v>
      </c>
      <c r="O56" s="178">
        <f t="array" ref="O56">IF(AND($L56&lt;&gt;"",O$8&lt;&gt;""),COUNTIFS($C$9:$C$59,$L56,$J$9:$J$59,O$8),0)</f>
        <v>0</v>
      </c>
      <c r="P56" s="178">
        <f t="array" ref="P56">IF(AND($L56&lt;&gt;"",P$8&lt;&gt;""),COUNTIFS($C$9:$C$59,$L56,$J$9:$J$59,P$8),0)</f>
        <v>0</v>
      </c>
      <c r="Q56" s="178">
        <f t="array" ref="Q56">IF(AND($L56&lt;&gt;"",Q$8&lt;&gt;""),COUNTIFS($C$9:$C$59,$L56,$J$9:$J$59,Q$8),0)</f>
        <v>0</v>
      </c>
      <c r="R56" s="178">
        <f t="array" ref="R56">IF(AND($L56&lt;&gt;"",R$8&lt;&gt;""),COUNTIFS($C$9:$C$59,$L56,$J$9:$J$59,R$8),0)</f>
        <v>0</v>
      </c>
      <c r="S56" s="178">
        <f t="array" ref="S56">IF(AND($L56&lt;&gt;"",S$8&lt;&gt;""),COUNTIFS($C$9:$C$59,$L56,$J$9:$J$59,S$8),0)</f>
        <v>0</v>
      </c>
      <c r="T56" s="178">
        <f t="array" ref="T56">IF(AND($L56&lt;&gt;"",T$8&lt;&gt;""),COUNTIFS($C$9:$C$59,$L56,$J$9:$J$59,T$8),0)</f>
        <v>0</v>
      </c>
      <c r="U56" s="178">
        <f t="array" ref="U56">IF(AND($L56&lt;&gt;"",U$8&lt;&gt;""),COUNTIFS($C$9:$C$59,$L56,$J$9:$J$59,U$8),0)</f>
        <v>0</v>
      </c>
      <c r="V56" s="178">
        <f t="array" ref="V56">IF(AND($L56&lt;&gt;"",V$8&lt;&gt;""),COUNTIFS($C$9:$C$59,$L56,$J$9:$J$59,V$8),0)</f>
        <v>0</v>
      </c>
      <c r="W56" s="178">
        <f t="array" ref="W56">IF(AND($L56&lt;&gt;"",W$8&lt;&gt;""),COUNTIFS($C$9:$C$59,$L56,$J$9:$J$59,W$8),0)</f>
        <v>0</v>
      </c>
      <c r="X56" s="178">
        <f t="array" ref="X56">IF(AND($L56&lt;&gt;"",X$8&lt;&gt;""),COUNTIFS($C$9:$C$59,$L56,$J$9:$J$59,X$8),0)</f>
        <v>0</v>
      </c>
      <c r="Y56" s="178">
        <f t="array" ref="Y56">IF(AND($L56&lt;&gt;"",Y$8&lt;&gt;""),COUNTIFS($C$9:$C$59,$L56,$J$9:$J$59,Y$8),0)</f>
        <v>0</v>
      </c>
      <c r="Z56" s="178">
        <f t="array" ref="Z56">IF(AND($L56&lt;&gt;"",Z$8&lt;&gt;""),COUNTIFS($C$9:$C$59,$L56,$J$9:$J$59,Z$8),0)</f>
        <v>0</v>
      </c>
      <c r="AA56" s="178">
        <f t="array" ref="AA56">IF(AND($L56&lt;&gt;"",AA$8&lt;&gt;""),COUNTIFS($C$9:$C$59,$L56,$J$9:$J$59,AA$8),0)</f>
        <v>0</v>
      </c>
      <c r="AB56" s="178">
        <f t="array" ref="AB56">IF(AND($L56&lt;&gt;"",AB$8&lt;&gt;""),COUNTIFS($C$9:$C$59,$L56,$J$9:$J$59,AB$8),0)</f>
        <v>0</v>
      </c>
      <c r="AC56" s="178">
        <f t="array" ref="AC56">IF(AND($L56&lt;&gt;"",AC$8&lt;&gt;""),COUNTIFS($C$9:$C$59,$L56,$J$9:$J$59,AC$8),0)</f>
        <v>0</v>
      </c>
      <c r="AD56" s="178">
        <f t="array" ref="AD56">IF(AND($L56&lt;&gt;"",AD$8&lt;&gt;""),COUNTIFS($C$9:$C$59,$L56,$J$9:$J$59,AD$8),0)</f>
        <v>0</v>
      </c>
      <c r="AE56" s="178">
        <f t="array" ref="AE56">IF(AND($L56&lt;&gt;"",AE$8&lt;&gt;""),COUNTIFS($C$9:$C$59,$L56,$J$9:$J$59,AE$8),0)</f>
        <v>0</v>
      </c>
      <c r="AF56" s="178">
        <f t="array" ref="AF56">IF(AND($L56&lt;&gt;"",AF$8&lt;&gt;""),COUNTIFS($C$9:$C$59,$L56,$J$9:$J$59,AF$8),0)</f>
        <v>0</v>
      </c>
      <c r="AG56" s="178">
        <f t="array" ref="AG56">IF(AND($L56&lt;&gt;"",AG$8&lt;&gt;""),COUNTIFS($C$9:$C$59,$L56,$J$9:$J$59,AG$8),0)</f>
        <v>0</v>
      </c>
      <c r="AH56" s="178">
        <f t="array" ref="AH56">IF(AND($L56&lt;&gt;"",AH$8&lt;&gt;""),COUNTIFS($C$9:$C$59,$L56,$J$9:$J$59,AH$8),0)</f>
        <v>0</v>
      </c>
      <c r="AI56" s="178">
        <f t="array" ref="AI56">IF(AND($L56&lt;&gt;"",AI$8&lt;&gt;""),COUNTIFS($C$9:$C$59,$L56,$J$9:$J$59,AI$8),0)</f>
        <v>0</v>
      </c>
      <c r="AJ56" s="178">
        <f t="array" ref="AJ56">IF(AND($L56&lt;&gt;"",AJ$8&lt;&gt;""),COUNTIFS($C$9:$C$59,$L56,$J$9:$J$59,AJ$8),0)</f>
        <v>0</v>
      </c>
      <c r="AK56" s="178">
        <f t="array" ref="AK56">IF(AND($L56&lt;&gt;"",AK$8&lt;&gt;""),COUNTIFS($C$9:$C$59,$L56,$J$9:$J$59,AK$8),0)</f>
        <v>0</v>
      </c>
      <c r="AL56" s="178">
        <f t="array" ref="AL56">IF(AND($L56&lt;&gt;"",AL$8&lt;&gt;""),COUNTIFS($C$9:$C$59,$L56,$J$9:$J$59,AL$8),0)</f>
        <v>0</v>
      </c>
      <c r="AM56" s="178">
        <f t="array" ref="AM56">IF(AND($L56&lt;&gt;"",AM$8&lt;&gt;""),COUNTIFS($C$9:$C$59,$L56,$J$9:$J$59,AM$8),0)</f>
        <v>0</v>
      </c>
      <c r="AN56" s="178">
        <f t="array" ref="AN56">IF(AND($L56&lt;&gt;"",AN$8&lt;&gt;""),COUNTIFS($C$9:$C$59,$L56,$J$9:$J$59,AN$8),0)</f>
        <v>0</v>
      </c>
      <c r="AO56" s="178">
        <f t="array" ref="AO56">IF(AND($L56&lt;&gt;"",AO$8&lt;&gt;""),COUNTIFS($C$9:$C$59,$L56,$J$9:$J$59,AO$8),0)</f>
        <v>0</v>
      </c>
      <c r="AP56" s="178">
        <f t="array" ref="AP56">IF(AND($L56&lt;&gt;"",AP$8&lt;&gt;""),COUNTIFS($C$9:$C$59,$L56,$J$9:$J$59,AP$8),0)</f>
        <v>0</v>
      </c>
      <c r="AQ56" s="178">
        <f t="array" ref="AQ56">IF(AND($L56&lt;&gt;"",AQ$8&lt;&gt;""),COUNTIFS($C$9:$C$59,$L56,$J$9:$J$59,AQ$8),0)</f>
        <v>0</v>
      </c>
      <c r="AR56" s="178">
        <f t="array" ref="AR56">IF(AND($L56&lt;&gt;"",AR$8&lt;&gt;""),COUNTIFS($C$9:$C$59,$L56,$J$9:$J$59,AR$8),0)</f>
        <v>0</v>
      </c>
      <c r="AS56" s="178">
        <f t="array" ref="AS56">IF(AND($L56&lt;&gt;"",AS$8&lt;&gt;""),COUNTIFS($C$9:$C$59,$L56,$J$9:$J$59,AS$8),0)</f>
        <v>0</v>
      </c>
      <c r="AT56" s="178">
        <f t="array" ref="AT56">IF(AND($L56&lt;&gt;"",AT$8&lt;&gt;""),COUNTIFS($C$9:$C$59,$L56,$J$9:$J$59,AT$8),0)</f>
        <v>0</v>
      </c>
      <c r="AU56" s="178">
        <f t="array" ref="AU56">IF(AND($L56&lt;&gt;"",AU$8&lt;&gt;""),COUNTIFS($C$9:$C$59,$L56,$J$9:$J$59,AU$8),0)</f>
        <v>0</v>
      </c>
      <c r="AV56" s="178">
        <f t="array" ref="AV56">IF(AND($L56&lt;&gt;"",AV$8&lt;&gt;""),COUNTIFS($C$9:$C$59,$L56,$J$9:$J$59,AV$8),0)</f>
        <v>0</v>
      </c>
      <c r="AW56" s="178">
        <f t="array" ref="AW56">IF(AND($L56&lt;&gt;"",AW$8&lt;&gt;""),COUNTIFS($C$9:$C$59,$L56,$J$9:$J$59,AW$8),0)</f>
        <v>0</v>
      </c>
      <c r="AX56" s="178">
        <f t="array" ref="AX56">IF(AND($L56&lt;&gt;"",AX$8&lt;&gt;""),COUNTIFS($C$9:$C$59,$L56,$J$9:$J$59,AX$8),0)</f>
        <v>0</v>
      </c>
      <c r="AY56" s="178">
        <f t="array" ref="AY56">IF(AND($L56&lt;&gt;"",AY$8&lt;&gt;""),COUNTIFS($C$9:$C$59,$L56,$J$9:$J$59,AY$8),0)</f>
        <v>0</v>
      </c>
      <c r="AZ56" s="178">
        <f t="array" ref="AZ56">IF(AND($L56&lt;&gt;"",AZ$8&lt;&gt;""),COUNTIFS($C$9:$C$59,$L56,$J$9:$J$59,AZ$8),0)</f>
        <v>0</v>
      </c>
      <c r="BA56" s="178">
        <f t="array" ref="BA56">IF(AND($L56&lt;&gt;"",BA$8&lt;&gt;""),COUNTIFS($C$9:$C$59,$L56,$J$9:$J$59,BA$8),0)</f>
        <v>0</v>
      </c>
      <c r="BB56" s="178">
        <f t="array" ref="BB56">IF(AND($L56&lt;&gt;"",BB$8&lt;&gt;""),COUNTIFS($C$9:$C$59,$L56,$J$9:$J$59,BB$8),0)</f>
        <v>0</v>
      </c>
      <c r="BC56" s="178">
        <f t="array" ref="BC56">IF(AND($L56&lt;&gt;"",BC$8&lt;&gt;""),COUNTIFS($C$9:$C$59,$L56,$J$9:$J$59,BC$8),0)</f>
        <v>0</v>
      </c>
      <c r="BD56" s="178">
        <f t="array" ref="BD56">IF(AND($L56&lt;&gt;"",BD$8&lt;&gt;""),COUNTIFS($C$9:$C$59,$L56,$J$9:$J$59,BD$8),0)</f>
        <v>0</v>
      </c>
      <c r="BE56" s="178">
        <f t="array" ref="BE56">IF(AND($L56&lt;&gt;"",BE$8&lt;&gt;""),COUNTIFS($C$9:$C$59,$L56,$J$9:$J$59,BE$8),0)</f>
        <v>0</v>
      </c>
      <c r="BF56" s="178">
        <f t="array" ref="BF56">IF(AND($L56&lt;&gt;"",BF$8&lt;&gt;""),COUNTIFS($C$9:$C$59,$L56,$J$9:$J$59,BF$8),0)</f>
        <v>0</v>
      </c>
      <c r="BG56" s="178">
        <f t="array" ref="BG56">IF(AND($L56&lt;&gt;"",BG$8&lt;&gt;""),COUNTIFS($C$9:$C$59,$L56,$J$9:$J$59,BG$8),0)</f>
        <v>0</v>
      </c>
      <c r="BH56" s="178">
        <f t="array" ref="BH56">IF(AND($L56&lt;&gt;"",BH$8&lt;&gt;""),COUNTIFS($C$9:$C$59,$L56,$J$9:$J$59,BH$8),0)</f>
        <v>0</v>
      </c>
      <c r="BI56" s="178">
        <f t="array" ref="BI56">IF(AND($L56&lt;&gt;"",BI$8&lt;&gt;""),COUNTIFS($C$9:$C$59,$L56,$J$9:$J$59,BI$8),0)</f>
        <v>0</v>
      </c>
      <c r="BJ56" s="178">
        <f t="array" ref="BJ56">IF(AND($L56&lt;&gt;"",BJ$8&lt;&gt;""),COUNTIFS($C$9:$C$59,$L56,$J$9:$J$59,BJ$8),0)</f>
        <v>0</v>
      </c>
    </row>
    <row r="57" spans="2:62" x14ac:dyDescent="0.2">
      <c r="B57" s="126" t="s">
        <v>255</v>
      </c>
      <c r="C57" s="267"/>
      <c r="D57" s="23"/>
      <c r="E57" s="128"/>
      <c r="F57" s="118"/>
      <c r="G57" s="118" t="s">
        <v>287</v>
      </c>
      <c r="H57" s="117" t="str">
        <f t="shared" si="0"/>
        <v>-</v>
      </c>
      <c r="I57" s="127"/>
      <c r="J57" s="171" t="str">
        <f t="shared" si="1"/>
        <v/>
      </c>
      <c r="L57" s="178" t="str">
        <f t="array" ref="L57">IFERROR(INDEX($C$9:$C$59,MATCH(0,COUNTIF($L$8:$L56,$C$9:$C$59),0)),"")</f>
        <v/>
      </c>
      <c r="M57" s="178">
        <f t="array" ref="M57">IF(AND($L57&lt;&gt;"",M$8&lt;&gt;""),COUNTIFS($C$9:$C$59,$L57,$J$9:$J$59,M$8),0)</f>
        <v>0</v>
      </c>
      <c r="N57" s="178">
        <f t="array" ref="N57">IF(AND($L57&lt;&gt;"",N$8&lt;&gt;""),COUNTIFS($C$9:$C$59,$L57,$J$9:$J$59,N$8),0)</f>
        <v>0</v>
      </c>
      <c r="O57" s="178">
        <f t="array" ref="O57">IF(AND($L57&lt;&gt;"",O$8&lt;&gt;""),COUNTIFS($C$9:$C$59,$L57,$J$9:$J$59,O$8),0)</f>
        <v>0</v>
      </c>
      <c r="P57" s="178">
        <f t="array" ref="P57">IF(AND($L57&lt;&gt;"",P$8&lt;&gt;""),COUNTIFS($C$9:$C$59,$L57,$J$9:$J$59,P$8),0)</f>
        <v>0</v>
      </c>
      <c r="Q57" s="178">
        <f t="array" ref="Q57">IF(AND($L57&lt;&gt;"",Q$8&lt;&gt;""),COUNTIFS($C$9:$C$59,$L57,$J$9:$J$59,Q$8),0)</f>
        <v>0</v>
      </c>
      <c r="R57" s="178">
        <f t="array" ref="R57">IF(AND($L57&lt;&gt;"",R$8&lt;&gt;""),COUNTIFS($C$9:$C$59,$L57,$J$9:$J$59,R$8),0)</f>
        <v>0</v>
      </c>
      <c r="S57" s="178">
        <f t="array" ref="S57">IF(AND($L57&lt;&gt;"",S$8&lt;&gt;""),COUNTIFS($C$9:$C$59,$L57,$J$9:$J$59,S$8),0)</f>
        <v>0</v>
      </c>
      <c r="T57" s="178">
        <f t="array" ref="T57">IF(AND($L57&lt;&gt;"",T$8&lt;&gt;""),COUNTIFS($C$9:$C$59,$L57,$J$9:$J$59,T$8),0)</f>
        <v>0</v>
      </c>
      <c r="U57" s="178">
        <f t="array" ref="U57">IF(AND($L57&lt;&gt;"",U$8&lt;&gt;""),COUNTIFS($C$9:$C$59,$L57,$J$9:$J$59,U$8),0)</f>
        <v>0</v>
      </c>
      <c r="V57" s="178">
        <f t="array" ref="V57">IF(AND($L57&lt;&gt;"",V$8&lt;&gt;""),COUNTIFS($C$9:$C$59,$L57,$J$9:$J$59,V$8),0)</f>
        <v>0</v>
      </c>
      <c r="W57" s="178">
        <f t="array" ref="W57">IF(AND($L57&lt;&gt;"",W$8&lt;&gt;""),COUNTIFS($C$9:$C$59,$L57,$J$9:$J$59,W$8),0)</f>
        <v>0</v>
      </c>
      <c r="X57" s="178">
        <f t="array" ref="X57">IF(AND($L57&lt;&gt;"",X$8&lt;&gt;""),COUNTIFS($C$9:$C$59,$L57,$J$9:$J$59,X$8),0)</f>
        <v>0</v>
      </c>
      <c r="Y57" s="178">
        <f t="array" ref="Y57">IF(AND($L57&lt;&gt;"",Y$8&lt;&gt;""),COUNTIFS($C$9:$C$59,$L57,$J$9:$J$59,Y$8),0)</f>
        <v>0</v>
      </c>
      <c r="Z57" s="178">
        <f t="array" ref="Z57">IF(AND($L57&lt;&gt;"",Z$8&lt;&gt;""),COUNTIFS($C$9:$C$59,$L57,$J$9:$J$59,Z$8),0)</f>
        <v>0</v>
      </c>
      <c r="AA57" s="178">
        <f t="array" ref="AA57">IF(AND($L57&lt;&gt;"",AA$8&lt;&gt;""),COUNTIFS($C$9:$C$59,$L57,$J$9:$J$59,AA$8),0)</f>
        <v>0</v>
      </c>
      <c r="AB57" s="178">
        <f t="array" ref="AB57">IF(AND($L57&lt;&gt;"",AB$8&lt;&gt;""),COUNTIFS($C$9:$C$59,$L57,$J$9:$J$59,AB$8),0)</f>
        <v>0</v>
      </c>
      <c r="AC57" s="178">
        <f t="array" ref="AC57">IF(AND($L57&lt;&gt;"",AC$8&lt;&gt;""),COUNTIFS($C$9:$C$59,$L57,$J$9:$J$59,AC$8),0)</f>
        <v>0</v>
      </c>
      <c r="AD57" s="178">
        <f t="array" ref="AD57">IF(AND($L57&lt;&gt;"",AD$8&lt;&gt;""),COUNTIFS($C$9:$C$59,$L57,$J$9:$J$59,AD$8),0)</f>
        <v>0</v>
      </c>
      <c r="AE57" s="178">
        <f t="array" ref="AE57">IF(AND($L57&lt;&gt;"",AE$8&lt;&gt;""),COUNTIFS($C$9:$C$59,$L57,$J$9:$J$59,AE$8),0)</f>
        <v>0</v>
      </c>
      <c r="AF57" s="178">
        <f t="array" ref="AF57">IF(AND($L57&lt;&gt;"",AF$8&lt;&gt;""),COUNTIFS($C$9:$C$59,$L57,$J$9:$J$59,AF$8),0)</f>
        <v>0</v>
      </c>
      <c r="AG57" s="178">
        <f t="array" ref="AG57">IF(AND($L57&lt;&gt;"",AG$8&lt;&gt;""),COUNTIFS($C$9:$C$59,$L57,$J$9:$J$59,AG$8),0)</f>
        <v>0</v>
      </c>
      <c r="AH57" s="178">
        <f t="array" ref="AH57">IF(AND($L57&lt;&gt;"",AH$8&lt;&gt;""),COUNTIFS($C$9:$C$59,$L57,$J$9:$J$59,AH$8),0)</f>
        <v>0</v>
      </c>
      <c r="AI57" s="178">
        <f t="array" ref="AI57">IF(AND($L57&lt;&gt;"",AI$8&lt;&gt;""),COUNTIFS($C$9:$C$59,$L57,$J$9:$J$59,AI$8),0)</f>
        <v>0</v>
      </c>
      <c r="AJ57" s="178">
        <f t="array" ref="AJ57">IF(AND($L57&lt;&gt;"",AJ$8&lt;&gt;""),COUNTIFS($C$9:$C$59,$L57,$J$9:$J$59,AJ$8),0)</f>
        <v>0</v>
      </c>
      <c r="AK57" s="178">
        <f t="array" ref="AK57">IF(AND($L57&lt;&gt;"",AK$8&lt;&gt;""),COUNTIFS($C$9:$C$59,$L57,$J$9:$J$59,AK$8),0)</f>
        <v>0</v>
      </c>
      <c r="AL57" s="178">
        <f t="array" ref="AL57">IF(AND($L57&lt;&gt;"",AL$8&lt;&gt;""),COUNTIFS($C$9:$C$59,$L57,$J$9:$J$59,AL$8),0)</f>
        <v>0</v>
      </c>
      <c r="AM57" s="178">
        <f t="array" ref="AM57">IF(AND($L57&lt;&gt;"",AM$8&lt;&gt;""),COUNTIFS($C$9:$C$59,$L57,$J$9:$J$59,AM$8),0)</f>
        <v>0</v>
      </c>
      <c r="AN57" s="178">
        <f t="array" ref="AN57">IF(AND($L57&lt;&gt;"",AN$8&lt;&gt;""),COUNTIFS($C$9:$C$59,$L57,$J$9:$J$59,AN$8),0)</f>
        <v>0</v>
      </c>
      <c r="AO57" s="178">
        <f t="array" ref="AO57">IF(AND($L57&lt;&gt;"",AO$8&lt;&gt;""),COUNTIFS($C$9:$C$59,$L57,$J$9:$J$59,AO$8),0)</f>
        <v>0</v>
      </c>
      <c r="AP57" s="178">
        <f t="array" ref="AP57">IF(AND($L57&lt;&gt;"",AP$8&lt;&gt;""),COUNTIFS($C$9:$C$59,$L57,$J$9:$J$59,AP$8),0)</f>
        <v>0</v>
      </c>
      <c r="AQ57" s="178">
        <f t="array" ref="AQ57">IF(AND($L57&lt;&gt;"",AQ$8&lt;&gt;""),COUNTIFS($C$9:$C$59,$L57,$J$9:$J$59,AQ$8),0)</f>
        <v>0</v>
      </c>
      <c r="AR57" s="178">
        <f t="array" ref="AR57">IF(AND($L57&lt;&gt;"",AR$8&lt;&gt;""),COUNTIFS($C$9:$C$59,$L57,$J$9:$J$59,AR$8),0)</f>
        <v>0</v>
      </c>
      <c r="AS57" s="178">
        <f t="array" ref="AS57">IF(AND($L57&lt;&gt;"",AS$8&lt;&gt;""),COUNTIFS($C$9:$C$59,$L57,$J$9:$J$59,AS$8),0)</f>
        <v>0</v>
      </c>
      <c r="AT57" s="178">
        <f t="array" ref="AT57">IF(AND($L57&lt;&gt;"",AT$8&lt;&gt;""),COUNTIFS($C$9:$C$59,$L57,$J$9:$J$59,AT$8),0)</f>
        <v>0</v>
      </c>
      <c r="AU57" s="178">
        <f t="array" ref="AU57">IF(AND($L57&lt;&gt;"",AU$8&lt;&gt;""),COUNTIFS($C$9:$C$59,$L57,$J$9:$J$59,AU$8),0)</f>
        <v>0</v>
      </c>
      <c r="AV57" s="178">
        <f t="array" ref="AV57">IF(AND($L57&lt;&gt;"",AV$8&lt;&gt;""),COUNTIFS($C$9:$C$59,$L57,$J$9:$J$59,AV$8),0)</f>
        <v>0</v>
      </c>
      <c r="AW57" s="178">
        <f t="array" ref="AW57">IF(AND($L57&lt;&gt;"",AW$8&lt;&gt;""),COUNTIFS($C$9:$C$59,$L57,$J$9:$J$59,AW$8),0)</f>
        <v>0</v>
      </c>
      <c r="AX57" s="178">
        <f t="array" ref="AX57">IF(AND($L57&lt;&gt;"",AX$8&lt;&gt;""),COUNTIFS($C$9:$C$59,$L57,$J$9:$J$59,AX$8),0)</f>
        <v>0</v>
      </c>
      <c r="AY57" s="178">
        <f t="array" ref="AY57">IF(AND($L57&lt;&gt;"",AY$8&lt;&gt;""),COUNTIFS($C$9:$C$59,$L57,$J$9:$J$59,AY$8),0)</f>
        <v>0</v>
      </c>
      <c r="AZ57" s="178">
        <f t="array" ref="AZ57">IF(AND($L57&lt;&gt;"",AZ$8&lt;&gt;""),COUNTIFS($C$9:$C$59,$L57,$J$9:$J$59,AZ$8),0)</f>
        <v>0</v>
      </c>
      <c r="BA57" s="178">
        <f t="array" ref="BA57">IF(AND($L57&lt;&gt;"",BA$8&lt;&gt;""),COUNTIFS($C$9:$C$59,$L57,$J$9:$J$59,BA$8),0)</f>
        <v>0</v>
      </c>
      <c r="BB57" s="178">
        <f t="array" ref="BB57">IF(AND($L57&lt;&gt;"",BB$8&lt;&gt;""),COUNTIFS($C$9:$C$59,$L57,$J$9:$J$59,BB$8),0)</f>
        <v>0</v>
      </c>
      <c r="BC57" s="178">
        <f t="array" ref="BC57">IF(AND($L57&lt;&gt;"",BC$8&lt;&gt;""),COUNTIFS($C$9:$C$59,$L57,$J$9:$J$59,BC$8),0)</f>
        <v>0</v>
      </c>
      <c r="BD57" s="178">
        <f t="array" ref="BD57">IF(AND($L57&lt;&gt;"",BD$8&lt;&gt;""),COUNTIFS($C$9:$C$59,$L57,$J$9:$J$59,BD$8),0)</f>
        <v>0</v>
      </c>
      <c r="BE57" s="178">
        <f t="array" ref="BE57">IF(AND($L57&lt;&gt;"",BE$8&lt;&gt;""),COUNTIFS($C$9:$C$59,$L57,$J$9:$J$59,BE$8),0)</f>
        <v>0</v>
      </c>
      <c r="BF57" s="178">
        <f t="array" ref="BF57">IF(AND($L57&lt;&gt;"",BF$8&lt;&gt;""),COUNTIFS($C$9:$C$59,$L57,$J$9:$J$59,BF$8),0)</f>
        <v>0</v>
      </c>
      <c r="BG57" s="178">
        <f t="array" ref="BG57">IF(AND($L57&lt;&gt;"",BG$8&lt;&gt;""),COUNTIFS($C$9:$C$59,$L57,$J$9:$J$59,BG$8),0)</f>
        <v>0</v>
      </c>
      <c r="BH57" s="178">
        <f t="array" ref="BH57">IF(AND($L57&lt;&gt;"",BH$8&lt;&gt;""),COUNTIFS($C$9:$C$59,$L57,$J$9:$J$59,BH$8),0)</f>
        <v>0</v>
      </c>
      <c r="BI57" s="178">
        <f t="array" ref="BI57">IF(AND($L57&lt;&gt;"",BI$8&lt;&gt;""),COUNTIFS($C$9:$C$59,$L57,$J$9:$J$59,BI$8),0)</f>
        <v>0</v>
      </c>
      <c r="BJ57" s="178">
        <f t="array" ref="BJ57">IF(AND($L57&lt;&gt;"",BJ$8&lt;&gt;""),COUNTIFS($C$9:$C$59,$L57,$J$9:$J$59,BJ$8),0)</f>
        <v>0</v>
      </c>
    </row>
    <row r="58" spans="2:62" ht="13.5" thickBot="1" x14ac:dyDescent="0.25">
      <c r="B58" s="129" t="s">
        <v>256</v>
      </c>
      <c r="C58" s="268"/>
      <c r="D58" s="130"/>
      <c r="E58" s="131"/>
      <c r="F58" s="122"/>
      <c r="G58" s="122" t="s">
        <v>287</v>
      </c>
      <c r="H58" s="123" t="str">
        <f t="shared" si="0"/>
        <v>-</v>
      </c>
      <c r="I58" s="132"/>
      <c r="J58" s="172" t="str">
        <f t="shared" si="1"/>
        <v/>
      </c>
      <c r="L58" s="178" t="str">
        <f t="array" ref="L58">IFERROR(INDEX($C$9:$C$59,MATCH(0,COUNTIF($L$8:$L57,$C$9:$C$59),0)),"")</f>
        <v/>
      </c>
      <c r="M58" s="178">
        <f t="array" ref="M58">IF(AND($L58&lt;&gt;"",M$8&lt;&gt;""),COUNTIFS($C$9:$C$59,$L58,$J$9:$J$59,M$8),0)</f>
        <v>0</v>
      </c>
      <c r="N58" s="178">
        <f t="array" ref="N58">IF(AND($L58&lt;&gt;"",N$8&lt;&gt;""),COUNTIFS($C$9:$C$59,$L58,$J$9:$J$59,N$8),0)</f>
        <v>0</v>
      </c>
      <c r="O58" s="178">
        <f t="array" ref="O58">IF(AND($L58&lt;&gt;"",O$8&lt;&gt;""),COUNTIFS($C$9:$C$59,$L58,$J$9:$J$59,O$8),0)</f>
        <v>0</v>
      </c>
      <c r="P58" s="178">
        <f t="array" ref="P58">IF(AND($L58&lt;&gt;"",P$8&lt;&gt;""),COUNTIFS($C$9:$C$59,$L58,$J$9:$J$59,P$8),0)</f>
        <v>0</v>
      </c>
      <c r="Q58" s="178">
        <f t="array" ref="Q58">IF(AND($L58&lt;&gt;"",Q$8&lt;&gt;""),COUNTIFS($C$9:$C$59,$L58,$J$9:$J$59,Q$8),0)</f>
        <v>0</v>
      </c>
      <c r="R58" s="178">
        <f t="array" ref="R58">IF(AND($L58&lt;&gt;"",R$8&lt;&gt;""),COUNTIFS($C$9:$C$59,$L58,$J$9:$J$59,R$8),0)</f>
        <v>0</v>
      </c>
      <c r="S58" s="178">
        <f t="array" ref="S58">IF(AND($L58&lt;&gt;"",S$8&lt;&gt;""),COUNTIFS($C$9:$C$59,$L58,$J$9:$J$59,S$8),0)</f>
        <v>0</v>
      </c>
      <c r="T58" s="178">
        <f t="array" ref="T58">IF(AND($L58&lt;&gt;"",T$8&lt;&gt;""),COUNTIFS($C$9:$C$59,$L58,$J$9:$J$59,T$8),0)</f>
        <v>0</v>
      </c>
      <c r="U58" s="178">
        <f t="array" ref="U58">IF(AND($L58&lt;&gt;"",U$8&lt;&gt;""),COUNTIFS($C$9:$C$59,$L58,$J$9:$J$59,U$8),0)</f>
        <v>0</v>
      </c>
      <c r="V58" s="178">
        <f t="array" ref="V58">IF(AND($L58&lt;&gt;"",V$8&lt;&gt;""),COUNTIFS($C$9:$C$59,$L58,$J$9:$J$59,V$8),0)</f>
        <v>0</v>
      </c>
      <c r="W58" s="178">
        <f t="array" ref="W58">IF(AND($L58&lt;&gt;"",W$8&lt;&gt;""),COUNTIFS($C$9:$C$59,$L58,$J$9:$J$59,W$8),0)</f>
        <v>0</v>
      </c>
      <c r="X58" s="178">
        <f t="array" ref="X58">IF(AND($L58&lt;&gt;"",X$8&lt;&gt;""),COUNTIFS($C$9:$C$59,$L58,$J$9:$J$59,X$8),0)</f>
        <v>0</v>
      </c>
      <c r="Y58" s="178">
        <f t="array" ref="Y58">IF(AND($L58&lt;&gt;"",Y$8&lt;&gt;""),COUNTIFS($C$9:$C$59,$L58,$J$9:$J$59,Y$8),0)</f>
        <v>0</v>
      </c>
      <c r="Z58" s="178">
        <f t="array" ref="Z58">IF(AND($L58&lt;&gt;"",Z$8&lt;&gt;""),COUNTIFS($C$9:$C$59,$L58,$J$9:$J$59,Z$8),0)</f>
        <v>0</v>
      </c>
      <c r="AA58" s="178">
        <f t="array" ref="AA58">IF(AND($L58&lt;&gt;"",AA$8&lt;&gt;""),COUNTIFS($C$9:$C$59,$L58,$J$9:$J$59,AA$8),0)</f>
        <v>0</v>
      </c>
      <c r="AB58" s="178">
        <f t="array" ref="AB58">IF(AND($L58&lt;&gt;"",AB$8&lt;&gt;""),COUNTIFS($C$9:$C$59,$L58,$J$9:$J$59,AB$8),0)</f>
        <v>0</v>
      </c>
      <c r="AC58" s="178">
        <f t="array" ref="AC58">IF(AND($L58&lt;&gt;"",AC$8&lt;&gt;""),COUNTIFS($C$9:$C$59,$L58,$J$9:$J$59,AC$8),0)</f>
        <v>0</v>
      </c>
      <c r="AD58" s="178">
        <f t="array" ref="AD58">IF(AND($L58&lt;&gt;"",AD$8&lt;&gt;""),COUNTIFS($C$9:$C$59,$L58,$J$9:$J$59,AD$8),0)</f>
        <v>0</v>
      </c>
      <c r="AE58" s="178">
        <f t="array" ref="AE58">IF(AND($L58&lt;&gt;"",AE$8&lt;&gt;""),COUNTIFS($C$9:$C$59,$L58,$J$9:$J$59,AE$8),0)</f>
        <v>0</v>
      </c>
      <c r="AF58" s="178">
        <f t="array" ref="AF58">IF(AND($L58&lt;&gt;"",AF$8&lt;&gt;""),COUNTIFS($C$9:$C$59,$L58,$J$9:$J$59,AF$8),0)</f>
        <v>0</v>
      </c>
      <c r="AG58" s="178">
        <f t="array" ref="AG58">IF(AND($L58&lt;&gt;"",AG$8&lt;&gt;""),COUNTIFS($C$9:$C$59,$L58,$J$9:$J$59,AG$8),0)</f>
        <v>0</v>
      </c>
      <c r="AH58" s="178">
        <f t="array" ref="AH58">IF(AND($L58&lt;&gt;"",AH$8&lt;&gt;""),COUNTIFS($C$9:$C$59,$L58,$J$9:$J$59,AH$8),0)</f>
        <v>0</v>
      </c>
      <c r="AI58" s="178">
        <f t="array" ref="AI58">IF(AND($L58&lt;&gt;"",AI$8&lt;&gt;""),COUNTIFS($C$9:$C$59,$L58,$J$9:$J$59,AI$8),0)</f>
        <v>0</v>
      </c>
      <c r="AJ58" s="178">
        <f t="array" ref="AJ58">IF(AND($L58&lt;&gt;"",AJ$8&lt;&gt;""),COUNTIFS($C$9:$C$59,$L58,$J$9:$J$59,AJ$8),0)</f>
        <v>0</v>
      </c>
      <c r="AK58" s="178">
        <f t="array" ref="AK58">IF(AND($L58&lt;&gt;"",AK$8&lt;&gt;""),COUNTIFS($C$9:$C$59,$L58,$J$9:$J$59,AK$8),0)</f>
        <v>0</v>
      </c>
      <c r="AL58" s="178">
        <f t="array" ref="AL58">IF(AND($L58&lt;&gt;"",AL$8&lt;&gt;""),COUNTIFS($C$9:$C$59,$L58,$J$9:$J$59,AL$8),0)</f>
        <v>0</v>
      </c>
      <c r="AM58" s="178">
        <f t="array" ref="AM58">IF(AND($L58&lt;&gt;"",AM$8&lt;&gt;""),COUNTIFS($C$9:$C$59,$L58,$J$9:$J$59,AM$8),0)</f>
        <v>0</v>
      </c>
      <c r="AN58" s="178">
        <f t="array" ref="AN58">IF(AND($L58&lt;&gt;"",AN$8&lt;&gt;""),COUNTIFS($C$9:$C$59,$L58,$J$9:$J$59,AN$8),0)</f>
        <v>0</v>
      </c>
      <c r="AO58" s="178">
        <f t="array" ref="AO58">IF(AND($L58&lt;&gt;"",AO$8&lt;&gt;""),COUNTIFS($C$9:$C$59,$L58,$J$9:$J$59,AO$8),0)</f>
        <v>0</v>
      </c>
      <c r="AP58" s="178">
        <f t="array" ref="AP58">IF(AND($L58&lt;&gt;"",AP$8&lt;&gt;""),COUNTIFS($C$9:$C$59,$L58,$J$9:$J$59,AP$8),0)</f>
        <v>0</v>
      </c>
      <c r="AQ58" s="178">
        <f t="array" ref="AQ58">IF(AND($L58&lt;&gt;"",AQ$8&lt;&gt;""),COUNTIFS($C$9:$C$59,$L58,$J$9:$J$59,AQ$8),0)</f>
        <v>0</v>
      </c>
      <c r="AR58" s="178">
        <f t="array" ref="AR58">IF(AND($L58&lt;&gt;"",AR$8&lt;&gt;""),COUNTIFS($C$9:$C$59,$L58,$J$9:$J$59,AR$8),0)</f>
        <v>0</v>
      </c>
      <c r="AS58" s="178">
        <f t="array" ref="AS58">IF(AND($L58&lt;&gt;"",AS$8&lt;&gt;""),COUNTIFS($C$9:$C$59,$L58,$J$9:$J$59,AS$8),0)</f>
        <v>0</v>
      </c>
      <c r="AT58" s="178">
        <f t="array" ref="AT58">IF(AND($L58&lt;&gt;"",AT$8&lt;&gt;""),COUNTIFS($C$9:$C$59,$L58,$J$9:$J$59,AT$8),0)</f>
        <v>0</v>
      </c>
      <c r="AU58" s="178">
        <f t="array" ref="AU58">IF(AND($L58&lt;&gt;"",AU$8&lt;&gt;""),COUNTIFS($C$9:$C$59,$L58,$J$9:$J$59,AU$8),0)</f>
        <v>0</v>
      </c>
      <c r="AV58" s="178">
        <f t="array" ref="AV58">IF(AND($L58&lt;&gt;"",AV$8&lt;&gt;""),COUNTIFS($C$9:$C$59,$L58,$J$9:$J$59,AV$8),0)</f>
        <v>0</v>
      </c>
      <c r="AW58" s="178">
        <f t="array" ref="AW58">IF(AND($L58&lt;&gt;"",AW$8&lt;&gt;""),COUNTIFS($C$9:$C$59,$L58,$J$9:$J$59,AW$8),0)</f>
        <v>0</v>
      </c>
      <c r="AX58" s="178">
        <f t="array" ref="AX58">IF(AND($L58&lt;&gt;"",AX$8&lt;&gt;""),COUNTIFS($C$9:$C$59,$L58,$J$9:$J$59,AX$8),0)</f>
        <v>0</v>
      </c>
      <c r="AY58" s="178">
        <f t="array" ref="AY58">IF(AND($L58&lt;&gt;"",AY$8&lt;&gt;""),COUNTIFS($C$9:$C$59,$L58,$J$9:$J$59,AY$8),0)</f>
        <v>0</v>
      </c>
      <c r="AZ58" s="178">
        <f t="array" ref="AZ58">IF(AND($L58&lt;&gt;"",AZ$8&lt;&gt;""),COUNTIFS($C$9:$C$59,$L58,$J$9:$J$59,AZ$8),0)</f>
        <v>0</v>
      </c>
      <c r="BA58" s="178">
        <f t="array" ref="BA58">IF(AND($L58&lt;&gt;"",BA$8&lt;&gt;""),COUNTIFS($C$9:$C$59,$L58,$J$9:$J$59,BA$8),0)</f>
        <v>0</v>
      </c>
      <c r="BB58" s="178">
        <f t="array" ref="BB58">IF(AND($L58&lt;&gt;"",BB$8&lt;&gt;""),COUNTIFS($C$9:$C$59,$L58,$J$9:$J$59,BB$8),0)</f>
        <v>0</v>
      </c>
      <c r="BC58" s="178">
        <f t="array" ref="BC58">IF(AND($L58&lt;&gt;"",BC$8&lt;&gt;""),COUNTIFS($C$9:$C$59,$L58,$J$9:$J$59,BC$8),0)</f>
        <v>0</v>
      </c>
      <c r="BD58" s="178">
        <f t="array" ref="BD58">IF(AND($L58&lt;&gt;"",BD$8&lt;&gt;""),COUNTIFS($C$9:$C$59,$L58,$J$9:$J$59,BD$8),0)</f>
        <v>0</v>
      </c>
      <c r="BE58" s="178">
        <f t="array" ref="BE58">IF(AND($L58&lt;&gt;"",BE$8&lt;&gt;""),COUNTIFS($C$9:$C$59,$L58,$J$9:$J$59,BE$8),0)</f>
        <v>0</v>
      </c>
      <c r="BF58" s="178">
        <f t="array" ref="BF58">IF(AND($L58&lt;&gt;"",BF$8&lt;&gt;""),COUNTIFS($C$9:$C$59,$L58,$J$9:$J$59,BF$8),0)</f>
        <v>0</v>
      </c>
      <c r="BG58" s="178">
        <f t="array" ref="BG58">IF(AND($L58&lt;&gt;"",BG$8&lt;&gt;""),COUNTIFS($C$9:$C$59,$L58,$J$9:$J$59,BG$8),0)</f>
        <v>0</v>
      </c>
      <c r="BH58" s="178">
        <f t="array" ref="BH58">IF(AND($L58&lt;&gt;"",BH$8&lt;&gt;""),COUNTIFS($C$9:$C$59,$L58,$J$9:$J$59,BH$8),0)</f>
        <v>0</v>
      </c>
      <c r="BI58" s="178">
        <f t="array" ref="BI58">IF(AND($L58&lt;&gt;"",BI$8&lt;&gt;""),COUNTIFS($C$9:$C$59,$L58,$J$9:$J$59,BI$8),0)</f>
        <v>0</v>
      </c>
      <c r="BJ58" s="178">
        <f t="array" ref="BJ58">IF(AND($L58&lt;&gt;"",BJ$8&lt;&gt;""),COUNTIFS($C$9:$C$59,$L58,$J$9:$J$59,BJ$8),0)</f>
        <v>0</v>
      </c>
    </row>
    <row r="60" spans="2:62" x14ac:dyDescent="0.2">
      <c r="L60" s="372" t="s">
        <v>480</v>
      </c>
      <c r="M60" s="181" t="str">
        <f>IFERROR(MID(M8,1,SEARCH(" ",M8)-1),"")</f>
        <v/>
      </c>
      <c r="N60" s="179" t="str">
        <f t="shared" ref="N60:BJ60" si="2">IFERROR(MID(N8,1,SEARCH(" ",N8)-1),"")</f>
        <v/>
      </c>
      <c r="O60" s="179" t="str">
        <f t="shared" si="2"/>
        <v/>
      </c>
      <c r="P60" s="179" t="str">
        <f t="shared" si="2"/>
        <v/>
      </c>
      <c r="Q60" s="179" t="str">
        <f t="shared" si="2"/>
        <v/>
      </c>
      <c r="R60" s="179" t="str">
        <f t="shared" si="2"/>
        <v/>
      </c>
      <c r="S60" s="179" t="str">
        <f t="shared" si="2"/>
        <v/>
      </c>
      <c r="T60" s="179" t="str">
        <f t="shared" si="2"/>
        <v/>
      </c>
      <c r="U60" s="179" t="str">
        <f t="shared" si="2"/>
        <v/>
      </c>
      <c r="V60" s="179" t="str">
        <f t="shared" si="2"/>
        <v/>
      </c>
      <c r="W60" s="179" t="str">
        <f t="shared" si="2"/>
        <v/>
      </c>
      <c r="X60" s="179" t="str">
        <f t="shared" si="2"/>
        <v/>
      </c>
      <c r="Y60" s="179" t="str">
        <f t="shared" si="2"/>
        <v/>
      </c>
      <c r="Z60" s="179" t="str">
        <f t="shared" si="2"/>
        <v/>
      </c>
      <c r="AA60" s="179" t="str">
        <f t="shared" si="2"/>
        <v/>
      </c>
      <c r="AB60" s="179" t="str">
        <f t="shared" si="2"/>
        <v/>
      </c>
      <c r="AC60" s="179" t="str">
        <f t="shared" si="2"/>
        <v/>
      </c>
      <c r="AD60" s="179" t="str">
        <f t="shared" si="2"/>
        <v/>
      </c>
      <c r="AE60" s="179" t="str">
        <f t="shared" si="2"/>
        <v/>
      </c>
      <c r="AF60" s="179" t="str">
        <f t="shared" si="2"/>
        <v/>
      </c>
      <c r="AG60" s="179" t="str">
        <f t="shared" si="2"/>
        <v/>
      </c>
      <c r="AH60" s="179" t="str">
        <f t="shared" si="2"/>
        <v/>
      </c>
      <c r="AI60" s="179" t="str">
        <f t="shared" si="2"/>
        <v/>
      </c>
      <c r="AJ60" s="179" t="str">
        <f t="shared" si="2"/>
        <v/>
      </c>
      <c r="AK60" s="179" t="str">
        <f t="shared" si="2"/>
        <v/>
      </c>
      <c r="AL60" s="179" t="str">
        <f t="shared" si="2"/>
        <v/>
      </c>
      <c r="AM60" s="179" t="str">
        <f t="shared" si="2"/>
        <v/>
      </c>
      <c r="AN60" s="179" t="str">
        <f t="shared" si="2"/>
        <v/>
      </c>
      <c r="AO60" s="179" t="str">
        <f t="shared" si="2"/>
        <v/>
      </c>
      <c r="AP60" s="179" t="str">
        <f t="shared" si="2"/>
        <v/>
      </c>
      <c r="AQ60" s="179" t="str">
        <f t="shared" si="2"/>
        <v/>
      </c>
      <c r="AR60" s="179" t="str">
        <f t="shared" si="2"/>
        <v/>
      </c>
      <c r="AS60" s="179" t="str">
        <f t="shared" si="2"/>
        <v/>
      </c>
      <c r="AT60" s="179" t="str">
        <f t="shared" si="2"/>
        <v/>
      </c>
      <c r="AU60" s="179" t="str">
        <f t="shared" si="2"/>
        <v/>
      </c>
      <c r="AV60" s="179" t="str">
        <f t="shared" si="2"/>
        <v/>
      </c>
      <c r="AW60" s="179" t="str">
        <f t="shared" si="2"/>
        <v/>
      </c>
      <c r="AX60" s="179" t="str">
        <f t="shared" si="2"/>
        <v/>
      </c>
      <c r="AY60" s="179" t="str">
        <f t="shared" si="2"/>
        <v/>
      </c>
      <c r="AZ60" s="179" t="str">
        <f t="shared" si="2"/>
        <v/>
      </c>
      <c r="BA60" s="179" t="str">
        <f t="shared" si="2"/>
        <v/>
      </c>
      <c r="BB60" s="179" t="str">
        <f t="shared" si="2"/>
        <v/>
      </c>
      <c r="BC60" s="179" t="str">
        <f t="shared" si="2"/>
        <v/>
      </c>
      <c r="BD60" s="179" t="str">
        <f t="shared" si="2"/>
        <v/>
      </c>
      <c r="BE60" s="179" t="str">
        <f t="shared" si="2"/>
        <v/>
      </c>
      <c r="BF60" s="179" t="str">
        <f t="shared" si="2"/>
        <v/>
      </c>
      <c r="BG60" s="179" t="str">
        <f t="shared" si="2"/>
        <v/>
      </c>
      <c r="BH60" s="179" t="str">
        <f t="shared" si="2"/>
        <v/>
      </c>
      <c r="BI60" s="179" t="str">
        <f t="shared" si="2"/>
        <v/>
      </c>
      <c r="BJ60" s="179" t="str">
        <f t="shared" si="2"/>
        <v/>
      </c>
    </row>
    <row r="61" spans="2:62" hidden="1" x14ac:dyDescent="0.2">
      <c r="C61" s="151" t="s">
        <v>468</v>
      </c>
      <c r="L61" s="372"/>
      <c r="M61" s="181" t="str">
        <f>IFERROR(RIGHT(M8,LEN(M8)-SEARCH(" ",M8)),"")</f>
        <v/>
      </c>
      <c r="N61" s="179" t="str">
        <f t="shared" ref="N61:BJ61" si="3">IFERROR(RIGHT(N8,LEN(N8)-SEARCH(" ",N8)),"")</f>
        <v/>
      </c>
      <c r="O61" s="179" t="str">
        <f t="shared" si="3"/>
        <v/>
      </c>
      <c r="P61" s="179" t="str">
        <f t="shared" si="3"/>
        <v/>
      </c>
      <c r="Q61" s="179" t="str">
        <f t="shared" si="3"/>
        <v/>
      </c>
      <c r="R61" s="179" t="str">
        <f t="shared" si="3"/>
        <v/>
      </c>
      <c r="S61" s="179" t="str">
        <f t="shared" si="3"/>
        <v/>
      </c>
      <c r="T61" s="179" t="str">
        <f t="shared" si="3"/>
        <v/>
      </c>
      <c r="U61" s="179" t="str">
        <f t="shared" si="3"/>
        <v/>
      </c>
      <c r="V61" s="179" t="str">
        <f t="shared" si="3"/>
        <v/>
      </c>
      <c r="W61" s="179" t="str">
        <f t="shared" si="3"/>
        <v/>
      </c>
      <c r="X61" s="179" t="str">
        <f t="shared" si="3"/>
        <v/>
      </c>
      <c r="Y61" s="179" t="str">
        <f t="shared" si="3"/>
        <v/>
      </c>
      <c r="Z61" s="179" t="str">
        <f t="shared" si="3"/>
        <v/>
      </c>
      <c r="AA61" s="179" t="str">
        <f t="shared" si="3"/>
        <v/>
      </c>
      <c r="AB61" s="179" t="str">
        <f t="shared" si="3"/>
        <v/>
      </c>
      <c r="AC61" s="179" t="str">
        <f t="shared" si="3"/>
        <v/>
      </c>
      <c r="AD61" s="179" t="str">
        <f t="shared" si="3"/>
        <v/>
      </c>
      <c r="AE61" s="179" t="str">
        <f t="shared" si="3"/>
        <v/>
      </c>
      <c r="AF61" s="179" t="str">
        <f t="shared" si="3"/>
        <v/>
      </c>
      <c r="AG61" s="179" t="str">
        <f t="shared" si="3"/>
        <v/>
      </c>
      <c r="AH61" s="179" t="str">
        <f t="shared" si="3"/>
        <v/>
      </c>
      <c r="AI61" s="179" t="str">
        <f t="shared" si="3"/>
        <v/>
      </c>
      <c r="AJ61" s="179" t="str">
        <f t="shared" si="3"/>
        <v/>
      </c>
      <c r="AK61" s="179" t="str">
        <f t="shared" si="3"/>
        <v/>
      </c>
      <c r="AL61" s="179" t="str">
        <f t="shared" si="3"/>
        <v/>
      </c>
      <c r="AM61" s="179" t="str">
        <f t="shared" si="3"/>
        <v/>
      </c>
      <c r="AN61" s="179" t="str">
        <f t="shared" si="3"/>
        <v/>
      </c>
      <c r="AO61" s="179" t="str">
        <f t="shared" si="3"/>
        <v/>
      </c>
      <c r="AP61" s="179" t="str">
        <f t="shared" si="3"/>
        <v/>
      </c>
      <c r="AQ61" s="179" t="str">
        <f t="shared" si="3"/>
        <v/>
      </c>
      <c r="AR61" s="179" t="str">
        <f t="shared" si="3"/>
        <v/>
      </c>
      <c r="AS61" s="179" t="str">
        <f t="shared" si="3"/>
        <v/>
      </c>
      <c r="AT61" s="179" t="str">
        <f t="shared" si="3"/>
        <v/>
      </c>
      <c r="AU61" s="179" t="str">
        <f t="shared" si="3"/>
        <v/>
      </c>
      <c r="AV61" s="179" t="str">
        <f t="shared" si="3"/>
        <v/>
      </c>
      <c r="AW61" s="179" t="str">
        <f t="shared" si="3"/>
        <v/>
      </c>
      <c r="AX61" s="179" t="str">
        <f t="shared" si="3"/>
        <v/>
      </c>
      <c r="AY61" s="179" t="str">
        <f t="shared" si="3"/>
        <v/>
      </c>
      <c r="AZ61" s="179" t="str">
        <f t="shared" si="3"/>
        <v/>
      </c>
      <c r="BA61" s="179" t="str">
        <f t="shared" si="3"/>
        <v/>
      </c>
      <c r="BB61" s="179" t="str">
        <f t="shared" si="3"/>
        <v/>
      </c>
      <c r="BC61" s="179" t="str">
        <f t="shared" si="3"/>
        <v/>
      </c>
      <c r="BD61" s="179" t="str">
        <f t="shared" si="3"/>
        <v/>
      </c>
      <c r="BE61" s="179" t="str">
        <f t="shared" si="3"/>
        <v/>
      </c>
      <c r="BF61" s="179" t="str">
        <f t="shared" si="3"/>
        <v/>
      </c>
      <c r="BG61" s="179" t="str">
        <f t="shared" si="3"/>
        <v/>
      </c>
      <c r="BH61" s="179" t="str">
        <f t="shared" si="3"/>
        <v/>
      </c>
      <c r="BI61" s="179" t="str">
        <f t="shared" si="3"/>
        <v/>
      </c>
      <c r="BJ61" s="179" t="str">
        <f t="shared" si="3"/>
        <v/>
      </c>
    </row>
    <row r="62" spans="2:62" hidden="1" x14ac:dyDescent="0.2">
      <c r="C62" s="151" t="s">
        <v>87</v>
      </c>
      <c r="L62" s="372"/>
      <c r="M62" s="182">
        <f>SUM(M9:M59)</f>
        <v>0</v>
      </c>
      <c r="N62" s="178">
        <f t="shared" ref="N62:BJ62" si="4">SUM(N9:N59)</f>
        <v>0</v>
      </c>
      <c r="O62" s="178">
        <f t="shared" si="4"/>
        <v>0</v>
      </c>
      <c r="P62" s="178">
        <f t="shared" si="4"/>
        <v>0</v>
      </c>
      <c r="Q62" s="178">
        <f t="shared" si="4"/>
        <v>0</v>
      </c>
      <c r="R62" s="178">
        <f t="shared" si="4"/>
        <v>0</v>
      </c>
      <c r="S62" s="178">
        <f t="shared" si="4"/>
        <v>0</v>
      </c>
      <c r="T62" s="178">
        <f t="shared" si="4"/>
        <v>0</v>
      </c>
      <c r="U62" s="178">
        <f t="shared" si="4"/>
        <v>0</v>
      </c>
      <c r="V62" s="178">
        <f t="shared" si="4"/>
        <v>0</v>
      </c>
      <c r="W62" s="178">
        <f t="shared" si="4"/>
        <v>0</v>
      </c>
      <c r="X62" s="178">
        <f t="shared" si="4"/>
        <v>0</v>
      </c>
      <c r="Y62" s="178">
        <f t="shared" si="4"/>
        <v>0</v>
      </c>
      <c r="Z62" s="178">
        <f t="shared" si="4"/>
        <v>0</v>
      </c>
      <c r="AA62" s="178">
        <f t="shared" si="4"/>
        <v>0</v>
      </c>
      <c r="AB62" s="178">
        <f t="shared" si="4"/>
        <v>0</v>
      </c>
      <c r="AC62" s="178">
        <f t="shared" si="4"/>
        <v>0</v>
      </c>
      <c r="AD62" s="178">
        <f t="shared" si="4"/>
        <v>0</v>
      </c>
      <c r="AE62" s="178">
        <f t="shared" si="4"/>
        <v>0</v>
      </c>
      <c r="AF62" s="178">
        <f t="shared" si="4"/>
        <v>0</v>
      </c>
      <c r="AG62" s="178">
        <f t="shared" si="4"/>
        <v>0</v>
      </c>
      <c r="AH62" s="178">
        <f t="shared" si="4"/>
        <v>0</v>
      </c>
      <c r="AI62" s="178">
        <f t="shared" si="4"/>
        <v>0</v>
      </c>
      <c r="AJ62" s="178">
        <f t="shared" si="4"/>
        <v>0</v>
      </c>
      <c r="AK62" s="178">
        <f t="shared" si="4"/>
        <v>0</v>
      </c>
      <c r="AL62" s="178">
        <f t="shared" si="4"/>
        <v>0</v>
      </c>
      <c r="AM62" s="178">
        <f t="shared" si="4"/>
        <v>0</v>
      </c>
      <c r="AN62" s="178">
        <f t="shared" si="4"/>
        <v>0</v>
      </c>
      <c r="AO62" s="178">
        <f t="shared" si="4"/>
        <v>0</v>
      </c>
      <c r="AP62" s="178">
        <f t="shared" si="4"/>
        <v>0</v>
      </c>
      <c r="AQ62" s="178">
        <f t="shared" si="4"/>
        <v>0</v>
      </c>
      <c r="AR62" s="178">
        <f t="shared" si="4"/>
        <v>0</v>
      </c>
      <c r="AS62" s="178">
        <f t="shared" si="4"/>
        <v>0</v>
      </c>
      <c r="AT62" s="178">
        <f t="shared" si="4"/>
        <v>0</v>
      </c>
      <c r="AU62" s="178">
        <f t="shared" si="4"/>
        <v>0</v>
      </c>
      <c r="AV62" s="178">
        <f t="shared" si="4"/>
        <v>0</v>
      </c>
      <c r="AW62" s="178">
        <f t="shared" si="4"/>
        <v>0</v>
      </c>
      <c r="AX62" s="178">
        <f t="shared" si="4"/>
        <v>0</v>
      </c>
      <c r="AY62" s="178">
        <f t="shared" si="4"/>
        <v>0</v>
      </c>
      <c r="AZ62" s="178">
        <f t="shared" si="4"/>
        <v>0</v>
      </c>
      <c r="BA62" s="178">
        <f t="shared" si="4"/>
        <v>0</v>
      </c>
      <c r="BB62" s="178">
        <f t="shared" si="4"/>
        <v>0</v>
      </c>
      <c r="BC62" s="178">
        <f t="shared" si="4"/>
        <v>0</v>
      </c>
      <c r="BD62" s="178">
        <f t="shared" si="4"/>
        <v>0</v>
      </c>
      <c r="BE62" s="178">
        <f t="shared" si="4"/>
        <v>0</v>
      </c>
      <c r="BF62" s="178">
        <f t="shared" si="4"/>
        <v>0</v>
      </c>
      <c r="BG62" s="178">
        <f t="shared" si="4"/>
        <v>0</v>
      </c>
      <c r="BH62" s="178">
        <f t="shared" si="4"/>
        <v>0</v>
      </c>
      <c r="BI62" s="178">
        <f t="shared" si="4"/>
        <v>0</v>
      </c>
      <c r="BJ62" s="178">
        <f t="shared" si="4"/>
        <v>0</v>
      </c>
    </row>
    <row r="63" spans="2:62" hidden="1" x14ac:dyDescent="0.2">
      <c r="C63" s="116">
        <v>70</v>
      </c>
      <c r="L63" s="372"/>
      <c r="M63" s="178" t="str">
        <f t="array" ref="M63">IFERROR(JUNTARTEXTO(", ",TRUE,IF(M9:M59&gt;0,M9:M59&amp;"x "&amp;$L$9:$L$59,"")),"")</f>
        <v/>
      </c>
      <c r="N63" s="178" t="str">
        <f t="array" ref="N63">IFERROR(JUNTARTEXTO(", ",TRUE,IF(N9:N59&gt;0,N9:N59&amp;"x "&amp;$L$9:$L$59,"")),"")</f>
        <v/>
      </c>
      <c r="O63" s="178" t="str">
        <f t="array" ref="O63">IFERROR(JUNTARTEXTO(", ",TRUE,IF(O9:O59&gt;0,O9:O59&amp;"x "&amp;$L$9:$L$59,"")),"")</f>
        <v/>
      </c>
      <c r="P63" s="178" t="str">
        <f t="array" ref="P63">IFERROR(JUNTARTEXTO(", ",TRUE,IF(P9:P59&gt;0,P9:P59&amp;"x "&amp;$L$9:$L$59,"")),"")</f>
        <v/>
      </c>
      <c r="Q63" s="178" t="str">
        <f t="array" ref="Q63">IFERROR(JUNTARTEXTO(", ",TRUE,IF(Q9:Q59&gt;0,Q9:Q59&amp;"x "&amp;$L$9:$L$59,"")),"")</f>
        <v/>
      </c>
      <c r="R63" s="178" t="str">
        <f t="array" ref="R63">IFERROR(JUNTARTEXTO(", ",TRUE,IF(R9:R59&gt;0,R9:R59&amp;"x "&amp;$L$9:$L$59,"")),"")</f>
        <v/>
      </c>
      <c r="S63" s="178" t="str">
        <f t="array" ref="S63">IFERROR(JUNTARTEXTO(", ",TRUE,IF(S9:S59&gt;0,S9:S59&amp;"x "&amp;$L$9:$L$59,"")),"")</f>
        <v/>
      </c>
      <c r="T63" s="178" t="str">
        <f t="array" ref="T63">IFERROR(JUNTARTEXTO(", ",TRUE,IF(T9:T59&gt;0,T9:T59&amp;"x "&amp;$L$9:$L$59,"")),"")</f>
        <v/>
      </c>
      <c r="U63" s="178" t="str">
        <f t="array" ref="U63">IFERROR(JUNTARTEXTO(", ",TRUE,IF(U9:U59&gt;0,U9:U59&amp;"x "&amp;$L$9:$L$59,"")),"")</f>
        <v/>
      </c>
      <c r="V63" s="178" t="str">
        <f t="array" ref="V63">IFERROR(JUNTARTEXTO(", ",TRUE,IF(V9:V59&gt;0,V9:V59&amp;"x "&amp;$L$9:$L$59,"")),"")</f>
        <v/>
      </c>
      <c r="W63" s="178" t="str">
        <f t="array" ref="W63">IFERROR(JUNTARTEXTO(", ",TRUE,IF(W9:W59&gt;0,W9:W59&amp;"x "&amp;$L$9:$L$59,"")),"")</f>
        <v/>
      </c>
      <c r="X63" s="178" t="str">
        <f t="array" ref="X63">IFERROR(JUNTARTEXTO(", ",TRUE,IF(X9:X59&gt;0,X9:X59&amp;"x "&amp;$L$9:$L$59,"")),"")</f>
        <v/>
      </c>
      <c r="Y63" s="178" t="str">
        <f t="array" ref="Y63">IFERROR(JUNTARTEXTO(", ",TRUE,IF(Y9:Y59&gt;0,Y9:Y59&amp;"x "&amp;$L$9:$L$59,"")),"")</f>
        <v/>
      </c>
      <c r="Z63" s="178" t="str">
        <f t="array" ref="Z63">IFERROR(JUNTARTEXTO(", ",TRUE,IF(Z9:Z59&gt;0,Z9:Z59&amp;"x "&amp;$L$9:$L$59,"")),"")</f>
        <v/>
      </c>
      <c r="AA63" s="178" t="str">
        <f t="array" ref="AA63">IFERROR(JUNTARTEXTO(", ",TRUE,IF(AA9:AA59&gt;0,AA9:AA59&amp;"x "&amp;$L$9:$L$59,"")),"")</f>
        <v/>
      </c>
      <c r="AB63" s="178" t="str">
        <f t="array" ref="AB63">IFERROR(JUNTARTEXTO(", ",TRUE,IF(AB9:AB59&gt;0,AB9:AB59&amp;"x "&amp;$L$9:$L$59,"")),"")</f>
        <v/>
      </c>
      <c r="AC63" s="178" t="str">
        <f t="array" ref="AC63">IFERROR(JUNTARTEXTO(", ",TRUE,IF(AC9:AC59&gt;0,AC9:AC59&amp;"x "&amp;$L$9:$L$59,"")),"")</f>
        <v/>
      </c>
      <c r="AD63" s="178" t="str">
        <f t="array" ref="AD63">IFERROR(JUNTARTEXTO(", ",TRUE,IF(AD9:AD59&gt;0,AD9:AD59&amp;"x "&amp;$L$9:$L$59,"")),"")</f>
        <v/>
      </c>
      <c r="AE63" s="178" t="str">
        <f t="array" ref="AE63">IFERROR(JUNTARTEXTO(", ",TRUE,IF(AE9:AE59&gt;0,AE9:AE59&amp;"x "&amp;$L$9:$L$59,"")),"")</f>
        <v/>
      </c>
      <c r="AF63" s="178" t="str">
        <f t="array" ref="AF63">IFERROR(JUNTARTEXTO(", ",TRUE,IF(AF9:AF59&gt;0,AF9:AF59&amp;"x "&amp;$L$9:$L$59,"")),"")</f>
        <v/>
      </c>
      <c r="AG63" s="178" t="str">
        <f t="array" ref="AG63">IFERROR(JUNTARTEXTO(", ",TRUE,IF(AG9:AG59&gt;0,AG9:AG59&amp;"x "&amp;$L$9:$L$59,"")),"")</f>
        <v/>
      </c>
      <c r="AH63" s="178" t="str">
        <f t="array" ref="AH63">IFERROR(JUNTARTEXTO(", ",TRUE,IF(AH9:AH59&gt;0,AH9:AH59&amp;"x "&amp;$L$9:$L$59,"")),"")</f>
        <v/>
      </c>
      <c r="AI63" s="178" t="str">
        <f t="array" ref="AI63">IFERROR(JUNTARTEXTO(", ",TRUE,IF(AI9:AI59&gt;0,AI9:AI59&amp;"x "&amp;$L$9:$L$59,"")),"")</f>
        <v/>
      </c>
      <c r="AJ63" s="178" t="str">
        <f t="array" ref="AJ63">IFERROR(JUNTARTEXTO(", ",TRUE,IF(AJ9:AJ59&gt;0,AJ9:AJ59&amp;"x "&amp;$L$9:$L$59,"")),"")</f>
        <v/>
      </c>
      <c r="AK63" s="178" t="str">
        <f t="array" ref="AK63">IFERROR(JUNTARTEXTO(", ",TRUE,IF(AK9:AK59&gt;0,AK9:AK59&amp;"x "&amp;$L$9:$L$59,"")),"")</f>
        <v/>
      </c>
      <c r="AL63" s="178" t="str">
        <f t="array" ref="AL63">IFERROR(JUNTARTEXTO(", ",TRUE,IF(AL9:AL59&gt;0,AL9:AL59&amp;"x "&amp;$L$9:$L$59,"")),"")</f>
        <v/>
      </c>
      <c r="AM63" s="178" t="str">
        <f t="array" ref="AM63">IFERROR(JUNTARTEXTO(", ",TRUE,IF(AM9:AM59&gt;0,AM9:AM59&amp;"x "&amp;$L$9:$L$59,"")),"")</f>
        <v/>
      </c>
      <c r="AN63" s="178" t="str">
        <f t="array" ref="AN63">IFERROR(JUNTARTEXTO(", ",TRUE,IF(AN9:AN59&gt;0,AN9:AN59&amp;"x "&amp;$L$9:$L$59,"")),"")</f>
        <v/>
      </c>
      <c r="AO63" s="178" t="str">
        <f t="array" ref="AO63">IFERROR(JUNTARTEXTO(", ",TRUE,IF(AO9:AO59&gt;0,AO9:AO59&amp;"x "&amp;$L$9:$L$59,"")),"")</f>
        <v/>
      </c>
      <c r="AP63" s="178" t="str">
        <f t="array" ref="AP63">IFERROR(JUNTARTEXTO(", ",TRUE,IF(AP9:AP59&gt;0,AP9:AP59&amp;"x "&amp;$L$9:$L$59,"")),"")</f>
        <v/>
      </c>
      <c r="AQ63" s="178" t="str">
        <f t="array" ref="AQ63">IFERROR(JUNTARTEXTO(", ",TRUE,IF(AQ9:AQ59&gt;0,AQ9:AQ59&amp;"x "&amp;$L$9:$L$59,"")),"")</f>
        <v/>
      </c>
      <c r="AR63" s="178" t="str">
        <f t="array" ref="AR63">IFERROR(JUNTARTEXTO(", ",TRUE,IF(AR9:AR59&gt;0,AR9:AR59&amp;"x "&amp;$L$9:$L$59,"")),"")</f>
        <v/>
      </c>
      <c r="AS63" s="178" t="str">
        <f t="array" ref="AS63">IFERROR(JUNTARTEXTO(", ",TRUE,IF(AS9:AS59&gt;0,AS9:AS59&amp;"x "&amp;$L$9:$L$59,"")),"")</f>
        <v/>
      </c>
      <c r="AT63" s="178" t="str">
        <f t="array" ref="AT63">IFERROR(JUNTARTEXTO(", ",TRUE,IF(AT9:AT59&gt;0,AT9:AT59&amp;"x "&amp;$L$9:$L$59,"")),"")</f>
        <v/>
      </c>
      <c r="AU63" s="178" t="str">
        <f t="array" ref="AU63">IFERROR(JUNTARTEXTO(", ",TRUE,IF(AU9:AU59&gt;0,AU9:AU59&amp;"x "&amp;$L$9:$L$59,"")),"")</f>
        <v/>
      </c>
      <c r="AV63" s="178" t="str">
        <f t="array" ref="AV63">IFERROR(JUNTARTEXTO(", ",TRUE,IF(AV9:AV59&gt;0,AV9:AV59&amp;"x "&amp;$L$9:$L$59,"")),"")</f>
        <v/>
      </c>
      <c r="AW63" s="178" t="str">
        <f t="array" ref="AW63">IFERROR(JUNTARTEXTO(", ",TRUE,IF(AW9:AW59&gt;0,AW9:AW59&amp;"x "&amp;$L$9:$L$59,"")),"")</f>
        <v/>
      </c>
      <c r="AX63" s="178" t="str">
        <f t="array" ref="AX63">IFERROR(JUNTARTEXTO(", ",TRUE,IF(AX9:AX59&gt;0,AX9:AX59&amp;"x "&amp;$L$9:$L$59,"")),"")</f>
        <v/>
      </c>
      <c r="AY63" s="178" t="str">
        <f t="array" ref="AY63">IFERROR(JUNTARTEXTO(", ",TRUE,IF(AY9:AY59&gt;0,AY9:AY59&amp;"x "&amp;$L$9:$L$59,"")),"")</f>
        <v/>
      </c>
      <c r="AZ63" s="178" t="str">
        <f t="array" ref="AZ63">IFERROR(JUNTARTEXTO(", ",TRUE,IF(AZ9:AZ59&gt;0,AZ9:AZ59&amp;"x "&amp;$L$9:$L$59,"")),"")</f>
        <v/>
      </c>
      <c r="BA63" s="178" t="str">
        <f t="array" ref="BA63">IFERROR(JUNTARTEXTO(", ",TRUE,IF(BA9:BA59&gt;0,BA9:BA59&amp;"x "&amp;$L$9:$L$59,"")),"")</f>
        <v/>
      </c>
      <c r="BB63" s="178" t="str">
        <f t="array" ref="BB63">IFERROR(JUNTARTEXTO(", ",TRUE,IF(BB9:BB59&gt;0,BB9:BB59&amp;"x "&amp;$L$9:$L$59,"")),"")</f>
        <v/>
      </c>
      <c r="BC63" s="178" t="str">
        <f t="array" ref="BC63">IFERROR(JUNTARTEXTO(", ",TRUE,IF(BC9:BC59&gt;0,BC9:BC59&amp;"x "&amp;$L$9:$L$59,"")),"")</f>
        <v/>
      </c>
      <c r="BD63" s="178" t="str">
        <f t="array" ref="BD63">IFERROR(JUNTARTEXTO(", ",TRUE,IF(BD9:BD59&gt;0,BD9:BD59&amp;"x "&amp;$L$9:$L$59,"")),"")</f>
        <v/>
      </c>
      <c r="BE63" s="178" t="str">
        <f t="array" ref="BE63">IFERROR(JUNTARTEXTO(", ",TRUE,IF(BE9:BE59&gt;0,BE9:BE59&amp;"x "&amp;$L$9:$L$59,"")),"")</f>
        <v/>
      </c>
      <c r="BF63" s="178" t="str">
        <f t="array" ref="BF63">IFERROR(JUNTARTEXTO(", ",TRUE,IF(BF9:BF59&gt;0,BF9:BF59&amp;"x "&amp;$L$9:$L$59,"")),"")</f>
        <v/>
      </c>
      <c r="BG63" s="178" t="str">
        <f t="array" ref="BG63">IFERROR(JUNTARTEXTO(", ",TRUE,IF(BG9:BG59&gt;0,BG9:BG59&amp;"x "&amp;$L$9:$L$59,"")),"")</f>
        <v/>
      </c>
      <c r="BH63" s="178" t="str">
        <f t="array" ref="BH63">IFERROR(JUNTARTEXTO(", ",TRUE,IF(BH9:BH59&gt;0,BH9:BH59&amp;"x "&amp;$L$9:$L$59,"")),"")</f>
        <v/>
      </c>
      <c r="BI63" s="178" t="str">
        <f t="array" ref="BI63">IFERROR(JUNTARTEXTO(", ",TRUE,IF(BI9:BI59&gt;0,BI9:BI59&amp;"x "&amp;$L$9:$L$59,"")),"")</f>
        <v/>
      </c>
      <c r="BJ63" s="178" t="str">
        <f t="array" ref="BJ63">IFERROR(JUNTARTEXTO(", ",TRUE,IF(BJ9:BJ59&gt;0,BJ9:BJ59&amp;"x "&amp;$L$9:$L$59,"")),"")</f>
        <v/>
      </c>
    </row>
    <row r="64" spans="2:62" hidden="1" x14ac:dyDescent="0.2">
      <c r="C64" s="116">
        <v>80</v>
      </c>
    </row>
    <row r="65" spans="3:3" hidden="1" x14ac:dyDescent="0.2">
      <c r="C65" s="116">
        <v>90</v>
      </c>
    </row>
    <row r="66" spans="3:3" hidden="1" x14ac:dyDescent="0.2">
      <c r="C66" s="116">
        <v>100</v>
      </c>
    </row>
    <row r="67" spans="3:3" hidden="1" x14ac:dyDescent="0.2">
      <c r="C67" s="116">
        <v>110</v>
      </c>
    </row>
    <row r="68" spans="3:3" hidden="1" x14ac:dyDescent="0.2">
      <c r="C68" s="116">
        <v>120</v>
      </c>
    </row>
    <row r="69" spans="3:3" hidden="1" x14ac:dyDescent="0.2">
      <c r="C69" s="116">
        <v>130</v>
      </c>
    </row>
    <row r="70" spans="3:3" hidden="1" x14ac:dyDescent="0.2">
      <c r="C70" s="116">
        <v>140</v>
      </c>
    </row>
    <row r="71" spans="3:3" hidden="1" x14ac:dyDescent="0.2">
      <c r="C71" s="116">
        <v>150</v>
      </c>
    </row>
    <row r="72" spans="3:3" hidden="1" x14ac:dyDescent="0.2">
      <c r="C72" s="116">
        <v>160</v>
      </c>
    </row>
    <row r="73" spans="3:3" hidden="1" x14ac:dyDescent="0.2">
      <c r="C73" s="116">
        <v>170</v>
      </c>
    </row>
    <row r="74" spans="3:3" hidden="1" x14ac:dyDescent="0.2">
      <c r="C74" s="116">
        <v>180</v>
      </c>
    </row>
    <row r="75" spans="3:3" hidden="1" x14ac:dyDescent="0.2">
      <c r="C75" s="116">
        <v>190</v>
      </c>
    </row>
    <row r="76" spans="3:3" hidden="1" x14ac:dyDescent="0.2">
      <c r="C76" s="116">
        <v>200</v>
      </c>
    </row>
    <row r="77" spans="3:3" hidden="1" x14ac:dyDescent="0.2">
      <c r="C77" s="116">
        <v>210</v>
      </c>
    </row>
    <row r="78" spans="3:3" hidden="1" x14ac:dyDescent="0.2">
      <c r="C78" s="116">
        <v>220</v>
      </c>
    </row>
    <row r="79" spans="3:3" hidden="1" x14ac:dyDescent="0.2">
      <c r="C79" s="116">
        <v>230</v>
      </c>
    </row>
    <row r="80" spans="3:3" hidden="1" x14ac:dyDescent="0.2">
      <c r="C80" s="116">
        <v>240</v>
      </c>
    </row>
    <row r="81" spans="3:3" hidden="1" x14ac:dyDescent="0.2">
      <c r="C81" s="116">
        <v>250</v>
      </c>
    </row>
    <row r="82" spans="3:3" hidden="1" x14ac:dyDescent="0.2">
      <c r="C82" s="116">
        <v>260</v>
      </c>
    </row>
    <row r="83" spans="3:3" hidden="1" x14ac:dyDescent="0.2">
      <c r="C83" s="116">
        <v>270</v>
      </c>
    </row>
    <row r="84" spans="3:3" hidden="1" x14ac:dyDescent="0.2">
      <c r="C84" s="116">
        <v>280</v>
      </c>
    </row>
    <row r="85" spans="3:3" hidden="1" x14ac:dyDescent="0.2">
      <c r="C85" s="116">
        <v>290</v>
      </c>
    </row>
    <row r="86" spans="3:3" hidden="1" x14ac:dyDescent="0.2">
      <c r="C86" s="116">
        <v>300</v>
      </c>
    </row>
    <row r="87" spans="3:3" hidden="1" x14ac:dyDescent="0.2">
      <c r="C87" s="116">
        <v>310</v>
      </c>
    </row>
    <row r="88" spans="3:3" hidden="1" x14ac:dyDescent="0.2">
      <c r="C88" s="116">
        <v>320</v>
      </c>
    </row>
    <row r="89" spans="3:3" hidden="1" x14ac:dyDescent="0.2">
      <c r="C89" s="116">
        <v>330</v>
      </c>
    </row>
    <row r="90" spans="3:3" hidden="1" x14ac:dyDescent="0.2">
      <c r="C90" s="116">
        <v>340</v>
      </c>
    </row>
    <row r="91" spans="3:3" hidden="1" x14ac:dyDescent="0.2">
      <c r="C91" s="116">
        <v>350</v>
      </c>
    </row>
    <row r="92" spans="3:3" hidden="1" x14ac:dyDescent="0.2">
      <c r="C92" s="116">
        <v>360</v>
      </c>
    </row>
    <row r="93" spans="3:3" hidden="1" x14ac:dyDescent="0.2">
      <c r="C93" s="116">
        <v>370</v>
      </c>
    </row>
    <row r="94" spans="3:3" hidden="1" x14ac:dyDescent="0.2">
      <c r="C94" s="116">
        <v>380</v>
      </c>
    </row>
    <row r="95" spans="3:3" hidden="1" x14ac:dyDescent="0.2">
      <c r="C95" s="116">
        <v>390</v>
      </c>
    </row>
    <row r="96" spans="3:3" hidden="1" x14ac:dyDescent="0.2">
      <c r="C96" s="116">
        <v>400</v>
      </c>
    </row>
  </sheetData>
  <sheetProtection formatCells="0" formatColumns="0" formatRows="0" insertHyperlinks="0" selectLockedCells="1" sort="0" autoFilter="0" pivotTables="0"/>
  <protectedRanges>
    <protectedRange password="CB27" sqref="H9:H58 C61:C96" name="Validação de dados"/>
  </protectedRanges>
  <mergeCells count="15">
    <mergeCell ref="B6:I6"/>
    <mergeCell ref="J7:J8"/>
    <mergeCell ref="L7:BJ7"/>
    <mergeCell ref="L60:L63"/>
    <mergeCell ref="G2:H2"/>
    <mergeCell ref="G3:H3"/>
    <mergeCell ref="C2:E2"/>
    <mergeCell ref="C3:E3"/>
    <mergeCell ref="C4:E4"/>
    <mergeCell ref="D7:D8"/>
    <mergeCell ref="I7:I8"/>
    <mergeCell ref="B7:B8"/>
    <mergeCell ref="C7:C8"/>
    <mergeCell ref="E7:F7"/>
    <mergeCell ref="G7:H8"/>
  </mergeCells>
  <phoneticPr fontId="0" type="noConversion"/>
  <conditionalFormatting sqref="G9:G58">
    <cfRule type="containsText" dxfId="1" priority="2" stopIfTrue="1" operator="containsText" text="NÃO">
      <formula>NOT(ISERROR(SEARCH("NÃO",G9)))</formula>
    </cfRule>
    <cfRule type="containsText" dxfId="0" priority="3" stopIfTrue="1" operator="containsText" text="SIM">
      <formula>NOT(ISERROR(SEARCH("SIM",G9)))</formula>
    </cfRule>
  </conditionalFormatting>
  <dataValidations count="4">
    <dataValidation type="list" allowBlank="1" showInputMessage="1" showErrorMessage="1" sqref="G9:G58" xr:uid="{00000000-0002-0000-0600-000000000000}">
      <formula1>"SIM,NÃO"</formula1>
    </dataValidation>
    <dataValidation type="list" allowBlank="1" showInputMessage="1" showErrorMessage="1" sqref="D9:D58" xr:uid="{00000000-0002-0000-0600-000001000000}">
      <formula1>"Transparente,Intercalada"</formula1>
    </dataValidation>
    <dataValidation type="list" allowBlank="1" showInputMessage="1" showErrorMessage="1" errorTitle="Erro Largura" error="Esta largura não é válida._x000a_Selecione valores da lista, ou entre com múltiplos de 10 entre 60 e 400.. AK" sqref="F9:F58" xr:uid="{00000000-0002-0000-0600-000002000000}">
      <formula1>$C$75:$C$80</formula1>
    </dataValidation>
    <dataValidation type="list" allowBlank="1" showInputMessage="1" showErrorMessage="1" errorTitle="Erro Largura" error="Esta largura não é válida._x000a_Selecione valores da lista, ou entre com múltiplos de 10 entre 60 e 400.. AK" sqref="E9:E61" xr:uid="{00000000-0002-0000-0600-000003000000}">
      <formula1>$C$63:$C$96</formula1>
    </dataValidation>
  </dataValidations>
  <pageMargins left="0.78740157480314965" right="0.78740157480314965" top="0.98425196850393704" bottom="0.98425196850393704" header="0.51181102362204722" footer="0.51181102362204722"/>
  <pageSetup scale="63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B2:BI73"/>
  <sheetViews>
    <sheetView showGridLines="0" zoomScale="85" zoomScaleNormal="85" workbookViewId="0">
      <pane ySplit="8" topLeftCell="A9" activePane="bottomLeft" state="frozen"/>
      <selection pane="bottomLeft"/>
    </sheetView>
  </sheetViews>
  <sheetFormatPr defaultColWidth="9.140625" defaultRowHeight="12.75" customHeight="1" x14ac:dyDescent="0.2"/>
  <cols>
    <col min="1" max="1" width="2.28515625" style="14" customWidth="1"/>
    <col min="2" max="2" width="10.7109375" style="14" bestFit="1" customWidth="1"/>
    <col min="3" max="3" width="22.28515625" style="14" customWidth="1"/>
    <col min="4" max="4" width="9.85546875" style="14" bestFit="1" customWidth="1"/>
    <col min="5" max="5" width="15.140625" style="14" bestFit="1" customWidth="1"/>
    <col min="6" max="6" width="9.140625" style="14"/>
    <col min="7" max="7" width="10.28515625" style="14" bestFit="1" customWidth="1"/>
    <col min="8" max="8" width="18.140625" style="14" customWidth="1"/>
    <col min="9" max="9" width="15.42578125" style="14" hidden="1" customWidth="1"/>
    <col min="10" max="10" width="9.140625" style="14" hidden="1" customWidth="1"/>
    <col min="11" max="11" width="9.28515625" style="14" hidden="1" customWidth="1"/>
    <col min="12" max="61" width="9.42578125" style="14" hidden="1" customWidth="1"/>
    <col min="62" max="16384" width="9.140625" style="14"/>
  </cols>
  <sheetData>
    <row r="2" spans="2:61" s="19" customFormat="1" ht="12.75" customHeight="1" x14ac:dyDescent="0.2">
      <c r="B2" s="56" t="s">
        <v>217</v>
      </c>
      <c r="C2" s="384">
        <f>'PAREDE-TETO'!D2</f>
        <v>0</v>
      </c>
      <c r="D2" s="384"/>
      <c r="E2" s="384"/>
      <c r="F2" s="384"/>
      <c r="G2" s="56" t="s">
        <v>198</v>
      </c>
      <c r="H2" s="247">
        <f>'PAREDE-TETO'!I2</f>
        <v>0</v>
      </c>
      <c r="I2" s="14"/>
      <c r="J2" s="14"/>
      <c r="K2" s="14"/>
      <c r="L2" s="14"/>
      <c r="M2" s="14"/>
      <c r="N2" s="14"/>
      <c r="P2" s="102"/>
    </row>
    <row r="3" spans="2:61" s="19" customFormat="1" ht="12.75" customHeight="1" x14ac:dyDescent="0.2">
      <c r="B3" s="56" t="s">
        <v>216</v>
      </c>
      <c r="C3" s="384">
        <f>'PAREDE-TETO'!D3</f>
        <v>0</v>
      </c>
      <c r="D3" s="384"/>
      <c r="E3" s="384"/>
      <c r="F3" s="384"/>
      <c r="G3" s="56" t="s">
        <v>215</v>
      </c>
      <c r="H3" s="20">
        <f>'PAREDE-TETO'!I3</f>
        <v>0</v>
      </c>
      <c r="I3" s="14"/>
      <c r="J3" s="14"/>
      <c r="K3" s="14"/>
      <c r="L3" s="14"/>
      <c r="M3" s="14"/>
      <c r="N3" s="14"/>
      <c r="P3" s="102"/>
    </row>
    <row r="4" spans="2:61" s="19" customFormat="1" ht="12.75" customHeight="1" x14ac:dyDescent="0.2">
      <c r="B4" s="56" t="s">
        <v>214</v>
      </c>
      <c r="C4" s="384">
        <f>'PAREDE-TETO'!D4</f>
        <v>0</v>
      </c>
      <c r="D4" s="384"/>
      <c r="E4" s="384"/>
      <c r="F4" s="384"/>
      <c r="G4" s="67"/>
      <c r="H4" s="55"/>
      <c r="I4" s="55"/>
      <c r="J4" s="14"/>
      <c r="K4" s="55"/>
      <c r="L4" s="55"/>
      <c r="M4" s="14"/>
      <c r="N4" s="14"/>
      <c r="P4" s="102"/>
    </row>
    <row r="5" spans="2:61" ht="12.75" customHeight="1" thickBot="1" x14ac:dyDescent="0.25"/>
    <row r="6" spans="2:61" ht="12.75" customHeight="1" thickBot="1" x14ac:dyDescent="0.25">
      <c r="B6" s="373" t="s">
        <v>473</v>
      </c>
      <c r="C6" s="374"/>
      <c r="D6" s="374"/>
      <c r="E6" s="374"/>
      <c r="F6" s="374"/>
      <c r="G6" s="374"/>
      <c r="H6" s="375"/>
    </row>
    <row r="7" spans="2:61" ht="12.75" customHeight="1" x14ac:dyDescent="0.2">
      <c r="B7" s="320" t="s">
        <v>28</v>
      </c>
      <c r="C7" s="292" t="s">
        <v>29</v>
      </c>
      <c r="D7" s="293" t="s">
        <v>30</v>
      </c>
      <c r="E7" s="293" t="s">
        <v>32</v>
      </c>
      <c r="F7" s="293"/>
      <c r="G7" s="293" t="s">
        <v>231</v>
      </c>
      <c r="H7" s="325" t="s">
        <v>33</v>
      </c>
      <c r="I7" s="388" t="s">
        <v>471</v>
      </c>
      <c r="K7" s="364" t="s">
        <v>491</v>
      </c>
      <c r="L7" s="364"/>
      <c r="M7" s="364"/>
      <c r="N7" s="364"/>
      <c r="O7" s="364"/>
      <c r="P7" s="364"/>
      <c r="Q7" s="364"/>
      <c r="R7" s="364"/>
      <c r="S7" s="364"/>
      <c r="T7" s="364"/>
      <c r="U7" s="364"/>
      <c r="V7" s="364"/>
      <c r="W7" s="364"/>
      <c r="X7" s="364"/>
      <c r="Y7" s="364"/>
      <c r="Z7" s="364"/>
      <c r="AA7" s="364"/>
      <c r="AB7" s="364"/>
      <c r="AC7" s="364"/>
      <c r="AD7" s="364"/>
      <c r="AE7" s="364"/>
      <c r="AF7" s="364"/>
      <c r="AG7" s="364"/>
      <c r="AH7" s="364"/>
      <c r="AI7" s="364"/>
      <c r="AJ7" s="364"/>
      <c r="AK7" s="364"/>
      <c r="AL7" s="364"/>
      <c r="AM7" s="364"/>
      <c r="AN7" s="364"/>
      <c r="AO7" s="364"/>
      <c r="AP7" s="364"/>
      <c r="AQ7" s="364"/>
      <c r="AR7" s="364"/>
      <c r="AS7" s="364"/>
      <c r="AT7" s="364"/>
      <c r="AU7" s="364"/>
      <c r="AV7" s="364"/>
      <c r="AW7" s="364"/>
      <c r="AX7" s="364"/>
      <c r="AY7" s="364"/>
      <c r="AZ7" s="364"/>
      <c r="BA7" s="364"/>
      <c r="BB7" s="364"/>
      <c r="BC7" s="364"/>
      <c r="BD7" s="364"/>
      <c r="BE7" s="364"/>
      <c r="BF7" s="364"/>
      <c r="BG7" s="364"/>
      <c r="BH7" s="364"/>
      <c r="BI7" s="364"/>
    </row>
    <row r="8" spans="2:61" ht="12.75" customHeight="1" thickBot="1" x14ac:dyDescent="0.25">
      <c r="B8" s="397"/>
      <c r="C8" s="398"/>
      <c r="D8" s="396"/>
      <c r="E8" s="44" t="s">
        <v>174</v>
      </c>
      <c r="F8" s="44" t="s">
        <v>35</v>
      </c>
      <c r="G8" s="396"/>
      <c r="H8" s="392"/>
      <c r="I8" s="389"/>
      <c r="K8" s="178">
        <v>0</v>
      </c>
      <c r="L8" s="178" t="str">
        <f t="array" ref="L8">IFERROR(INDEX($I$9:$I$59,MATCH(0,COUNTIF($K$8:K$8,$I$9:$I$59),0)),"")</f>
        <v/>
      </c>
      <c r="M8" s="178" t="str">
        <f t="array" ref="M8">IFERROR(INDEX($I$9:$I$59,MATCH(0,COUNTIF($K$8:L$8,$I$9:$I$59),0)),"")</f>
        <v/>
      </c>
      <c r="N8" s="178" t="str">
        <f t="array" ref="N8">IFERROR(INDEX($I$9:$I$59,MATCH(0,COUNTIF($K$8:M$8,$I$9:$I$59),0)),"")</f>
        <v/>
      </c>
      <c r="O8" s="178" t="str">
        <f t="array" ref="O8">IFERROR(INDEX($I$9:$I$59,MATCH(0,COUNTIF($K$8:N$8,$I$9:$I$59),0)),"")</f>
        <v/>
      </c>
      <c r="P8" s="178" t="str">
        <f t="array" ref="P8">IFERROR(INDEX($I$9:$I$59,MATCH(0,COUNTIF($K$8:O$8,$I$9:$I$59),0)),"")</f>
        <v/>
      </c>
      <c r="Q8" s="178" t="str">
        <f t="array" ref="Q8">IFERROR(INDEX($I$9:$I$59,MATCH(0,COUNTIF($K$8:P$8,$I$9:$I$59),0)),"")</f>
        <v/>
      </c>
      <c r="R8" s="178" t="str">
        <f t="array" ref="R8">IFERROR(INDEX($I$9:$I$59,MATCH(0,COUNTIF($K$8:Q$8,$I$9:$I$59),0)),"")</f>
        <v/>
      </c>
      <c r="S8" s="178" t="str">
        <f t="array" ref="S8">IFERROR(INDEX($I$9:$I$59,MATCH(0,COUNTIF($K$8:R$8,$I$9:$I$59),0)),"")</f>
        <v/>
      </c>
      <c r="T8" s="178" t="str">
        <f t="array" ref="T8">IFERROR(INDEX($I$9:$I$59,MATCH(0,COUNTIF($K$8:S$8,$I$9:$I$59),0)),"")</f>
        <v/>
      </c>
      <c r="U8" s="178" t="str">
        <f t="array" ref="U8">IFERROR(INDEX($I$9:$I$59,MATCH(0,COUNTIF($K$8:T$8,$I$9:$I$59),0)),"")</f>
        <v/>
      </c>
      <c r="V8" s="178" t="str">
        <f t="array" ref="V8">IFERROR(INDEX($I$9:$I$59,MATCH(0,COUNTIF($K$8:U$8,$I$9:$I$59),0)),"")</f>
        <v/>
      </c>
      <c r="W8" s="178" t="str">
        <f t="array" ref="W8">IFERROR(INDEX($I$9:$I$59,MATCH(0,COUNTIF($K$8:V$8,$I$9:$I$59),0)),"")</f>
        <v/>
      </c>
      <c r="X8" s="178" t="str">
        <f t="array" ref="X8">IFERROR(INDEX($I$9:$I$59,MATCH(0,COUNTIF($K$8:W$8,$I$9:$I$59),0)),"")</f>
        <v/>
      </c>
      <c r="Y8" s="178" t="str">
        <f t="array" ref="Y8">IFERROR(INDEX($I$9:$I$59,MATCH(0,COUNTIF($K$8:X$8,$I$9:$I$59),0)),"")</f>
        <v/>
      </c>
      <c r="Z8" s="178" t="str">
        <f t="array" ref="Z8">IFERROR(INDEX($I$9:$I$59,MATCH(0,COUNTIF($K$8:Y$8,$I$9:$I$59),0)),"")</f>
        <v/>
      </c>
      <c r="AA8" s="178" t="str">
        <f t="array" ref="AA8">IFERROR(INDEX($I$9:$I$59,MATCH(0,COUNTIF($K$8:Z$8,$I$9:$I$59),0)),"")</f>
        <v/>
      </c>
      <c r="AB8" s="178" t="str">
        <f t="array" ref="AB8">IFERROR(INDEX($I$9:$I$59,MATCH(0,COUNTIF($K$8:AA$8,$I$9:$I$59),0)),"")</f>
        <v/>
      </c>
      <c r="AC8" s="178" t="str">
        <f t="array" ref="AC8">IFERROR(INDEX($I$9:$I$59,MATCH(0,COUNTIF($K$8:AB$8,$I$9:$I$59),0)),"")</f>
        <v/>
      </c>
      <c r="AD8" s="178" t="str">
        <f t="array" ref="AD8">IFERROR(INDEX($I$9:$I$59,MATCH(0,COUNTIF($K$8:AC$8,$I$9:$I$59),0)),"")</f>
        <v/>
      </c>
      <c r="AE8" s="178" t="str">
        <f t="array" ref="AE8">IFERROR(INDEX($I$9:$I$59,MATCH(0,COUNTIF($K$8:AD$8,$I$9:$I$59),0)),"")</f>
        <v/>
      </c>
      <c r="AF8" s="178" t="str">
        <f t="array" ref="AF8">IFERROR(INDEX($I$9:$I$59,MATCH(0,COUNTIF($K$8:AE$8,$I$9:$I$59),0)),"")</f>
        <v/>
      </c>
      <c r="AG8" s="178" t="str">
        <f t="array" ref="AG8">IFERROR(INDEX($I$9:$I$59,MATCH(0,COUNTIF($K$8:AF$8,$I$9:$I$59),0)),"")</f>
        <v/>
      </c>
      <c r="AH8" s="178" t="str">
        <f t="array" ref="AH8">IFERROR(INDEX($I$9:$I$59,MATCH(0,COUNTIF($K$8:AG$8,$I$9:$I$59),0)),"")</f>
        <v/>
      </c>
      <c r="AI8" s="178" t="str">
        <f t="array" ref="AI8">IFERROR(INDEX($I$9:$I$59,MATCH(0,COUNTIF($K$8:AH$8,$I$9:$I$59),0)),"")</f>
        <v/>
      </c>
      <c r="AJ8" s="178" t="str">
        <f t="array" ref="AJ8">IFERROR(INDEX($I$9:$I$59,MATCH(0,COUNTIF($K$8:AI$8,$I$9:$I$59),0)),"")</f>
        <v/>
      </c>
      <c r="AK8" s="178" t="str">
        <f t="array" ref="AK8">IFERROR(INDEX($I$9:$I$59,MATCH(0,COUNTIF($K$8:AJ$8,$I$9:$I$59),0)),"")</f>
        <v/>
      </c>
      <c r="AL8" s="178" t="str">
        <f t="array" ref="AL8">IFERROR(INDEX($I$9:$I$59,MATCH(0,COUNTIF($K$8:AK$8,$I$9:$I$59),0)),"")</f>
        <v/>
      </c>
      <c r="AM8" s="178" t="str">
        <f t="array" ref="AM8">IFERROR(INDEX($I$9:$I$59,MATCH(0,COUNTIF($K$8:AL$8,$I$9:$I$59),0)),"")</f>
        <v/>
      </c>
      <c r="AN8" s="178" t="str">
        <f t="array" ref="AN8">IFERROR(INDEX($I$9:$I$59,MATCH(0,COUNTIF($K$8:AM$8,$I$9:$I$59),0)),"")</f>
        <v/>
      </c>
      <c r="AO8" s="178" t="str">
        <f t="array" ref="AO8">IFERROR(INDEX($I$9:$I$59,MATCH(0,COUNTIF($K$8:AN$8,$I$9:$I$59),0)),"")</f>
        <v/>
      </c>
      <c r="AP8" s="178" t="str">
        <f t="array" ref="AP8">IFERROR(INDEX($I$9:$I$59,MATCH(0,COUNTIF($K$8:AO$8,$I$9:$I$59),0)),"")</f>
        <v/>
      </c>
      <c r="AQ8" s="178" t="str">
        <f t="array" ref="AQ8">IFERROR(INDEX($I$9:$I$59,MATCH(0,COUNTIF($K$8:AP$8,$I$9:$I$59),0)),"")</f>
        <v/>
      </c>
      <c r="AR8" s="178" t="str">
        <f t="array" ref="AR8">IFERROR(INDEX($I$9:$I$59,MATCH(0,COUNTIF($K$8:AQ$8,$I$9:$I$59),0)),"")</f>
        <v/>
      </c>
      <c r="AS8" s="178" t="str">
        <f t="array" ref="AS8">IFERROR(INDEX($I$9:$I$59,MATCH(0,COUNTIF($K$8:AR$8,$I$9:$I$59),0)),"")</f>
        <v/>
      </c>
      <c r="AT8" s="178" t="str">
        <f t="array" ref="AT8">IFERROR(INDEX($I$9:$I$59,MATCH(0,COUNTIF($K$8:AS$8,$I$9:$I$59),0)),"")</f>
        <v/>
      </c>
      <c r="AU8" s="178" t="str">
        <f t="array" ref="AU8">IFERROR(INDEX($I$9:$I$59,MATCH(0,COUNTIF($K$8:AT$8,$I$9:$I$59),0)),"")</f>
        <v/>
      </c>
      <c r="AV8" s="178" t="str">
        <f t="array" ref="AV8">IFERROR(INDEX($I$9:$I$59,MATCH(0,COUNTIF($K$8:AU$8,$I$9:$I$59),0)),"")</f>
        <v/>
      </c>
      <c r="AW8" s="178" t="str">
        <f t="array" ref="AW8">IFERROR(INDEX($I$9:$I$59,MATCH(0,COUNTIF($K$8:AV$8,$I$9:$I$59),0)),"")</f>
        <v/>
      </c>
      <c r="AX8" s="178" t="str">
        <f t="array" ref="AX8">IFERROR(INDEX($I$9:$I$59,MATCH(0,COUNTIF($K$8:AW$8,$I$9:$I$59),0)),"")</f>
        <v/>
      </c>
      <c r="AY8" s="178" t="str">
        <f t="array" ref="AY8">IFERROR(INDEX($I$9:$I$59,MATCH(0,COUNTIF($K$8:AX$8,$I$9:$I$59),0)),"")</f>
        <v/>
      </c>
      <c r="AZ8" s="178" t="str">
        <f t="array" ref="AZ8">IFERROR(INDEX($I$9:$I$59,MATCH(0,COUNTIF($K$8:AY$8,$I$9:$I$59),0)),"")</f>
        <v/>
      </c>
      <c r="BA8" s="178" t="str">
        <f t="array" ref="BA8">IFERROR(INDEX($I$9:$I$59,MATCH(0,COUNTIF($K$8:AZ$8,$I$9:$I$59),0)),"")</f>
        <v/>
      </c>
      <c r="BB8" s="178" t="str">
        <f t="array" ref="BB8">IFERROR(INDEX($I$9:$I$59,MATCH(0,COUNTIF($K$8:BA$8,$I$9:$I$59),0)),"")</f>
        <v/>
      </c>
      <c r="BC8" s="178" t="str">
        <f t="array" ref="BC8">IFERROR(INDEX($I$9:$I$59,MATCH(0,COUNTIF($K$8:BB$8,$I$9:$I$59),0)),"")</f>
        <v/>
      </c>
      <c r="BD8" s="178" t="str">
        <f t="array" ref="BD8">IFERROR(INDEX($I$9:$I$59,MATCH(0,COUNTIF($K$8:BC$8,$I$9:$I$59),0)),"")</f>
        <v/>
      </c>
      <c r="BE8" s="178" t="str">
        <f t="array" ref="BE8">IFERROR(INDEX($I$9:$I$59,MATCH(0,COUNTIF($K$8:BD$8,$I$9:$I$59),0)),"")</f>
        <v/>
      </c>
      <c r="BF8" s="178" t="str">
        <f t="array" ref="BF8">IFERROR(INDEX($I$9:$I$59,MATCH(0,COUNTIF($K$8:BE$8,$I$9:$I$59),0)),"")</f>
        <v/>
      </c>
      <c r="BG8" s="178" t="str">
        <f t="array" ref="BG8">IFERROR(INDEX($I$9:$I$59,MATCH(0,COUNTIF($K$8:BF$8,$I$9:$I$59),0)),"")</f>
        <v/>
      </c>
      <c r="BH8" s="178" t="str">
        <f t="array" ref="BH8">IFERROR(INDEX($I$9:$I$59,MATCH(0,COUNTIF($K$8:BG$8,$I$9:$I$59),0)),"")</f>
        <v/>
      </c>
      <c r="BI8" s="178" t="str">
        <f t="array" ref="BI8">IFERROR(INDEX($I$9:$I$59,MATCH(0,COUNTIF($K$8:BH$8,$I$9:$I$59),0)),"")</f>
        <v/>
      </c>
    </row>
    <row r="9" spans="2:61" ht="12.75" customHeight="1" x14ac:dyDescent="0.2">
      <c r="B9" s="133" t="s">
        <v>175</v>
      </c>
      <c r="C9" s="177"/>
      <c r="D9" s="20"/>
      <c r="E9" s="20"/>
      <c r="F9" s="20"/>
      <c r="G9" s="73" t="str">
        <f>IF(AND(E9&lt;&gt;0,F9&lt;&gt;0),(E9/100+0.1)*2+(F9/100+0.1)*2,"-")</f>
        <v>-</v>
      </c>
      <c r="H9" s="190"/>
      <c r="I9" s="170" t="str">
        <f>IF(C9&lt;&gt;"",D9&amp;" "&amp;IF(E9&lt;100,0,"")&amp;E9&amp;"x"&amp;F9,"")</f>
        <v/>
      </c>
      <c r="K9" s="178" t="str">
        <f t="array" ref="K9">IFERROR(INDEX($C$9:$C$59,MATCH(0,COUNTIF($K$8:$K8,$C$9:$C$59),0)),"")</f>
        <v/>
      </c>
      <c r="L9" s="178">
        <f t="shared" ref="L9:U18" si="0">IF(AND($K9&lt;&gt;"",L$8&lt;&gt;""),COUNTIFS($C$9:$C$59,$K9,$I$9:$I$59,L$8),0)</f>
        <v>0</v>
      </c>
      <c r="M9" s="178">
        <f t="shared" si="0"/>
        <v>0</v>
      </c>
      <c r="N9" s="178">
        <f t="shared" si="0"/>
        <v>0</v>
      </c>
      <c r="O9" s="178">
        <f t="shared" si="0"/>
        <v>0</v>
      </c>
      <c r="P9" s="178">
        <f t="shared" si="0"/>
        <v>0</v>
      </c>
      <c r="Q9" s="178">
        <f t="shared" si="0"/>
        <v>0</v>
      </c>
      <c r="R9" s="178">
        <f t="shared" si="0"/>
        <v>0</v>
      </c>
      <c r="S9" s="178">
        <f t="shared" si="0"/>
        <v>0</v>
      </c>
      <c r="T9" s="178">
        <f t="shared" si="0"/>
        <v>0</v>
      </c>
      <c r="U9" s="178">
        <f t="shared" si="0"/>
        <v>0</v>
      </c>
      <c r="V9" s="178">
        <f t="shared" ref="V9:AE18" si="1">IF(AND($K9&lt;&gt;"",V$8&lt;&gt;""),COUNTIFS($C$9:$C$59,$K9,$I$9:$I$59,V$8),0)</f>
        <v>0</v>
      </c>
      <c r="W9" s="178">
        <f t="shared" si="1"/>
        <v>0</v>
      </c>
      <c r="X9" s="178">
        <f t="shared" si="1"/>
        <v>0</v>
      </c>
      <c r="Y9" s="178">
        <f t="shared" si="1"/>
        <v>0</v>
      </c>
      <c r="Z9" s="178">
        <f t="shared" si="1"/>
        <v>0</v>
      </c>
      <c r="AA9" s="178">
        <f t="shared" si="1"/>
        <v>0</v>
      </c>
      <c r="AB9" s="178">
        <f t="shared" si="1"/>
        <v>0</v>
      </c>
      <c r="AC9" s="178">
        <f t="shared" si="1"/>
        <v>0</v>
      </c>
      <c r="AD9" s="178">
        <f t="shared" si="1"/>
        <v>0</v>
      </c>
      <c r="AE9" s="178">
        <f t="shared" si="1"/>
        <v>0</v>
      </c>
      <c r="AF9" s="178">
        <f t="shared" ref="AF9:AO18" si="2">IF(AND($K9&lt;&gt;"",AF$8&lt;&gt;""),COUNTIFS($C$9:$C$59,$K9,$I$9:$I$59,AF$8),0)</f>
        <v>0</v>
      </c>
      <c r="AG9" s="178">
        <f t="shared" si="2"/>
        <v>0</v>
      </c>
      <c r="AH9" s="178">
        <f t="shared" si="2"/>
        <v>0</v>
      </c>
      <c r="AI9" s="178">
        <f t="shared" si="2"/>
        <v>0</v>
      </c>
      <c r="AJ9" s="178">
        <f t="shared" si="2"/>
        <v>0</v>
      </c>
      <c r="AK9" s="178">
        <f t="shared" si="2"/>
        <v>0</v>
      </c>
      <c r="AL9" s="178">
        <f t="shared" si="2"/>
        <v>0</v>
      </c>
      <c r="AM9" s="178">
        <f t="shared" si="2"/>
        <v>0</v>
      </c>
      <c r="AN9" s="178">
        <f t="shared" si="2"/>
        <v>0</v>
      </c>
      <c r="AO9" s="178">
        <f t="shared" si="2"/>
        <v>0</v>
      </c>
      <c r="AP9" s="178">
        <f t="shared" ref="AP9:AY18" si="3">IF(AND($K9&lt;&gt;"",AP$8&lt;&gt;""),COUNTIFS($C$9:$C$59,$K9,$I$9:$I$59,AP$8),0)</f>
        <v>0</v>
      </c>
      <c r="AQ9" s="178">
        <f t="shared" si="3"/>
        <v>0</v>
      </c>
      <c r="AR9" s="178">
        <f t="shared" si="3"/>
        <v>0</v>
      </c>
      <c r="AS9" s="178">
        <f t="shared" si="3"/>
        <v>0</v>
      </c>
      <c r="AT9" s="178">
        <f t="shared" si="3"/>
        <v>0</v>
      </c>
      <c r="AU9" s="178">
        <f t="shared" si="3"/>
        <v>0</v>
      </c>
      <c r="AV9" s="178">
        <f t="shared" si="3"/>
        <v>0</v>
      </c>
      <c r="AW9" s="178">
        <f t="shared" si="3"/>
        <v>0</v>
      </c>
      <c r="AX9" s="178">
        <f t="shared" si="3"/>
        <v>0</v>
      </c>
      <c r="AY9" s="178">
        <f t="shared" si="3"/>
        <v>0</v>
      </c>
      <c r="AZ9" s="178">
        <f t="shared" ref="AZ9:BI18" si="4">IF(AND($K9&lt;&gt;"",AZ$8&lt;&gt;""),COUNTIFS($C$9:$C$59,$K9,$I$9:$I$59,AZ$8),0)</f>
        <v>0</v>
      </c>
      <c r="BA9" s="178">
        <f t="shared" si="4"/>
        <v>0</v>
      </c>
      <c r="BB9" s="178">
        <f t="shared" si="4"/>
        <v>0</v>
      </c>
      <c r="BC9" s="178">
        <f t="shared" si="4"/>
        <v>0</v>
      </c>
      <c r="BD9" s="178">
        <f t="shared" si="4"/>
        <v>0</v>
      </c>
      <c r="BE9" s="178">
        <f t="shared" si="4"/>
        <v>0</v>
      </c>
      <c r="BF9" s="178">
        <f t="shared" si="4"/>
        <v>0</v>
      </c>
      <c r="BG9" s="178">
        <f t="shared" si="4"/>
        <v>0</v>
      </c>
      <c r="BH9" s="178">
        <f t="shared" si="4"/>
        <v>0</v>
      </c>
      <c r="BI9" s="178">
        <f t="shared" si="4"/>
        <v>0</v>
      </c>
    </row>
    <row r="10" spans="2:61" ht="12.75" customHeight="1" x14ac:dyDescent="0.2">
      <c r="B10" s="133" t="s">
        <v>176</v>
      </c>
      <c r="C10" s="177"/>
      <c r="D10" s="20"/>
      <c r="E10" s="20"/>
      <c r="F10" s="20"/>
      <c r="G10" s="71" t="str">
        <f t="shared" ref="G10:G58" si="5">IF(AND(E10&lt;&gt;0,F10&lt;&gt;0),(E10/100+0.1)*2+(F10/100+0.1)*2,"-")</f>
        <v>-</v>
      </c>
      <c r="H10" s="190"/>
      <c r="I10" s="171" t="str">
        <f t="shared" ref="I10:I58" si="6">IF(C10&lt;&gt;"",D10&amp;" "&amp;E10&amp;"x"&amp;F10,"")</f>
        <v/>
      </c>
      <c r="K10" s="178" t="str">
        <f t="array" ref="K10">IFERROR(INDEX($C$9:$C$59,MATCH(0,COUNTIF($K$8:$K9,$C$9:$C$59),0)),"")</f>
        <v/>
      </c>
      <c r="L10" s="178">
        <f t="shared" si="0"/>
        <v>0</v>
      </c>
      <c r="M10" s="178">
        <f t="shared" si="0"/>
        <v>0</v>
      </c>
      <c r="N10" s="178">
        <f t="shared" si="0"/>
        <v>0</v>
      </c>
      <c r="O10" s="178">
        <f t="shared" si="0"/>
        <v>0</v>
      </c>
      <c r="P10" s="178">
        <f t="shared" si="0"/>
        <v>0</v>
      </c>
      <c r="Q10" s="178">
        <f t="shared" si="0"/>
        <v>0</v>
      </c>
      <c r="R10" s="178">
        <f t="shared" si="0"/>
        <v>0</v>
      </c>
      <c r="S10" s="178">
        <f t="shared" si="0"/>
        <v>0</v>
      </c>
      <c r="T10" s="178">
        <f t="shared" si="0"/>
        <v>0</v>
      </c>
      <c r="U10" s="178">
        <f t="shared" si="0"/>
        <v>0</v>
      </c>
      <c r="V10" s="178">
        <f t="shared" si="1"/>
        <v>0</v>
      </c>
      <c r="W10" s="178">
        <f t="shared" si="1"/>
        <v>0</v>
      </c>
      <c r="X10" s="178">
        <f t="shared" si="1"/>
        <v>0</v>
      </c>
      <c r="Y10" s="178">
        <f t="shared" si="1"/>
        <v>0</v>
      </c>
      <c r="Z10" s="178">
        <f t="shared" si="1"/>
        <v>0</v>
      </c>
      <c r="AA10" s="178">
        <f t="shared" si="1"/>
        <v>0</v>
      </c>
      <c r="AB10" s="178">
        <f t="shared" si="1"/>
        <v>0</v>
      </c>
      <c r="AC10" s="178">
        <f t="shared" si="1"/>
        <v>0</v>
      </c>
      <c r="AD10" s="178">
        <f t="shared" si="1"/>
        <v>0</v>
      </c>
      <c r="AE10" s="178">
        <f t="shared" si="1"/>
        <v>0</v>
      </c>
      <c r="AF10" s="178">
        <f t="shared" si="2"/>
        <v>0</v>
      </c>
      <c r="AG10" s="178">
        <f t="shared" si="2"/>
        <v>0</v>
      </c>
      <c r="AH10" s="178">
        <f t="shared" si="2"/>
        <v>0</v>
      </c>
      <c r="AI10" s="178">
        <f t="shared" si="2"/>
        <v>0</v>
      </c>
      <c r="AJ10" s="178">
        <f t="shared" si="2"/>
        <v>0</v>
      </c>
      <c r="AK10" s="178">
        <f t="shared" si="2"/>
        <v>0</v>
      </c>
      <c r="AL10" s="178">
        <f t="shared" si="2"/>
        <v>0</v>
      </c>
      <c r="AM10" s="178">
        <f t="shared" si="2"/>
        <v>0</v>
      </c>
      <c r="AN10" s="178">
        <f t="shared" si="2"/>
        <v>0</v>
      </c>
      <c r="AO10" s="178">
        <f t="shared" si="2"/>
        <v>0</v>
      </c>
      <c r="AP10" s="178">
        <f t="shared" si="3"/>
        <v>0</v>
      </c>
      <c r="AQ10" s="178">
        <f t="shared" si="3"/>
        <v>0</v>
      </c>
      <c r="AR10" s="178">
        <f t="shared" si="3"/>
        <v>0</v>
      </c>
      <c r="AS10" s="178">
        <f t="shared" si="3"/>
        <v>0</v>
      </c>
      <c r="AT10" s="178">
        <f t="shared" si="3"/>
        <v>0</v>
      </c>
      <c r="AU10" s="178">
        <f t="shared" si="3"/>
        <v>0</v>
      </c>
      <c r="AV10" s="178">
        <f t="shared" si="3"/>
        <v>0</v>
      </c>
      <c r="AW10" s="178">
        <f t="shared" si="3"/>
        <v>0</v>
      </c>
      <c r="AX10" s="178">
        <f t="shared" si="3"/>
        <v>0</v>
      </c>
      <c r="AY10" s="178">
        <f t="shared" si="3"/>
        <v>0</v>
      </c>
      <c r="AZ10" s="178">
        <f t="shared" si="4"/>
        <v>0</v>
      </c>
      <c r="BA10" s="178">
        <f t="shared" si="4"/>
        <v>0</v>
      </c>
      <c r="BB10" s="178">
        <f t="shared" si="4"/>
        <v>0</v>
      </c>
      <c r="BC10" s="178">
        <f t="shared" si="4"/>
        <v>0</v>
      </c>
      <c r="BD10" s="178">
        <f t="shared" si="4"/>
        <v>0</v>
      </c>
      <c r="BE10" s="178">
        <f t="shared" si="4"/>
        <v>0</v>
      </c>
      <c r="BF10" s="178">
        <f t="shared" si="4"/>
        <v>0</v>
      </c>
      <c r="BG10" s="178">
        <f t="shared" si="4"/>
        <v>0</v>
      </c>
      <c r="BH10" s="178">
        <f t="shared" si="4"/>
        <v>0</v>
      </c>
      <c r="BI10" s="178">
        <f t="shared" si="4"/>
        <v>0</v>
      </c>
    </row>
    <row r="11" spans="2:61" ht="12.75" customHeight="1" x14ac:dyDescent="0.2">
      <c r="B11" s="133" t="s">
        <v>177</v>
      </c>
      <c r="C11" s="177"/>
      <c r="D11" s="20"/>
      <c r="E11" s="20"/>
      <c r="F11" s="20"/>
      <c r="G11" s="71" t="str">
        <f t="shared" si="5"/>
        <v>-</v>
      </c>
      <c r="H11" s="190"/>
      <c r="I11" s="171" t="str">
        <f t="shared" si="6"/>
        <v/>
      </c>
      <c r="K11" s="178" t="str">
        <f t="array" ref="K11">IFERROR(INDEX($C$9:$C$59,MATCH(0,COUNTIF($K$8:$K10,$C$9:$C$59),0)),"")</f>
        <v/>
      </c>
      <c r="L11" s="178">
        <f t="shared" si="0"/>
        <v>0</v>
      </c>
      <c r="M11" s="178">
        <f t="shared" si="0"/>
        <v>0</v>
      </c>
      <c r="N11" s="178">
        <f t="shared" si="0"/>
        <v>0</v>
      </c>
      <c r="O11" s="178">
        <f t="shared" si="0"/>
        <v>0</v>
      </c>
      <c r="P11" s="178">
        <f t="shared" si="0"/>
        <v>0</v>
      </c>
      <c r="Q11" s="178">
        <f t="shared" si="0"/>
        <v>0</v>
      </c>
      <c r="R11" s="178">
        <f t="shared" si="0"/>
        <v>0</v>
      </c>
      <c r="S11" s="178">
        <f t="shared" si="0"/>
        <v>0</v>
      </c>
      <c r="T11" s="178">
        <f t="shared" si="0"/>
        <v>0</v>
      </c>
      <c r="U11" s="178">
        <f t="shared" si="0"/>
        <v>0</v>
      </c>
      <c r="V11" s="178">
        <f t="shared" si="1"/>
        <v>0</v>
      </c>
      <c r="W11" s="178">
        <f t="shared" si="1"/>
        <v>0</v>
      </c>
      <c r="X11" s="178">
        <f t="shared" si="1"/>
        <v>0</v>
      </c>
      <c r="Y11" s="178">
        <f t="shared" si="1"/>
        <v>0</v>
      </c>
      <c r="Z11" s="178">
        <f t="shared" si="1"/>
        <v>0</v>
      </c>
      <c r="AA11" s="178">
        <f t="shared" si="1"/>
        <v>0</v>
      </c>
      <c r="AB11" s="178">
        <f t="shared" si="1"/>
        <v>0</v>
      </c>
      <c r="AC11" s="178">
        <f t="shared" si="1"/>
        <v>0</v>
      </c>
      <c r="AD11" s="178">
        <f t="shared" si="1"/>
        <v>0</v>
      </c>
      <c r="AE11" s="178">
        <f t="shared" si="1"/>
        <v>0</v>
      </c>
      <c r="AF11" s="178">
        <f t="shared" si="2"/>
        <v>0</v>
      </c>
      <c r="AG11" s="178">
        <f t="shared" si="2"/>
        <v>0</v>
      </c>
      <c r="AH11" s="178">
        <f t="shared" si="2"/>
        <v>0</v>
      </c>
      <c r="AI11" s="178">
        <f t="shared" si="2"/>
        <v>0</v>
      </c>
      <c r="AJ11" s="178">
        <f t="shared" si="2"/>
        <v>0</v>
      </c>
      <c r="AK11" s="178">
        <f t="shared" si="2"/>
        <v>0</v>
      </c>
      <c r="AL11" s="178">
        <f t="shared" si="2"/>
        <v>0</v>
      </c>
      <c r="AM11" s="178">
        <f t="shared" si="2"/>
        <v>0</v>
      </c>
      <c r="AN11" s="178">
        <f t="shared" si="2"/>
        <v>0</v>
      </c>
      <c r="AO11" s="178">
        <f t="shared" si="2"/>
        <v>0</v>
      </c>
      <c r="AP11" s="178">
        <f t="shared" si="3"/>
        <v>0</v>
      </c>
      <c r="AQ11" s="178">
        <f t="shared" si="3"/>
        <v>0</v>
      </c>
      <c r="AR11" s="178">
        <f t="shared" si="3"/>
        <v>0</v>
      </c>
      <c r="AS11" s="178">
        <f t="shared" si="3"/>
        <v>0</v>
      </c>
      <c r="AT11" s="178">
        <f t="shared" si="3"/>
        <v>0</v>
      </c>
      <c r="AU11" s="178">
        <f t="shared" si="3"/>
        <v>0</v>
      </c>
      <c r="AV11" s="178">
        <f t="shared" si="3"/>
        <v>0</v>
      </c>
      <c r="AW11" s="178">
        <f t="shared" si="3"/>
        <v>0</v>
      </c>
      <c r="AX11" s="178">
        <f t="shared" si="3"/>
        <v>0</v>
      </c>
      <c r="AY11" s="178">
        <f t="shared" si="3"/>
        <v>0</v>
      </c>
      <c r="AZ11" s="178">
        <f t="shared" si="4"/>
        <v>0</v>
      </c>
      <c r="BA11" s="178">
        <f t="shared" si="4"/>
        <v>0</v>
      </c>
      <c r="BB11" s="178">
        <f t="shared" si="4"/>
        <v>0</v>
      </c>
      <c r="BC11" s="178">
        <f t="shared" si="4"/>
        <v>0</v>
      </c>
      <c r="BD11" s="178">
        <f t="shared" si="4"/>
        <v>0</v>
      </c>
      <c r="BE11" s="178">
        <f t="shared" si="4"/>
        <v>0</v>
      </c>
      <c r="BF11" s="178">
        <f t="shared" si="4"/>
        <v>0</v>
      </c>
      <c r="BG11" s="178">
        <f t="shared" si="4"/>
        <v>0</v>
      </c>
      <c r="BH11" s="178">
        <f t="shared" si="4"/>
        <v>0</v>
      </c>
      <c r="BI11" s="178">
        <f t="shared" si="4"/>
        <v>0</v>
      </c>
    </row>
    <row r="12" spans="2:61" ht="12.75" customHeight="1" x14ac:dyDescent="0.2">
      <c r="B12" s="133" t="s">
        <v>178</v>
      </c>
      <c r="C12" s="177"/>
      <c r="D12" s="20"/>
      <c r="E12" s="20"/>
      <c r="F12" s="20"/>
      <c r="G12" s="71" t="str">
        <f t="shared" si="5"/>
        <v>-</v>
      </c>
      <c r="H12" s="190"/>
      <c r="I12" s="171" t="str">
        <f t="shared" si="6"/>
        <v/>
      </c>
      <c r="K12" s="178" t="str">
        <f t="array" ref="K12">IFERROR(INDEX($C$9:$C$59,MATCH(0,COUNTIF($K$8:$K11,$C$9:$C$59),0)),"")</f>
        <v/>
      </c>
      <c r="L12" s="178">
        <f t="shared" si="0"/>
        <v>0</v>
      </c>
      <c r="M12" s="178">
        <f t="shared" si="0"/>
        <v>0</v>
      </c>
      <c r="N12" s="178">
        <f t="shared" si="0"/>
        <v>0</v>
      </c>
      <c r="O12" s="178">
        <f t="shared" si="0"/>
        <v>0</v>
      </c>
      <c r="P12" s="178">
        <f t="shared" si="0"/>
        <v>0</v>
      </c>
      <c r="Q12" s="178">
        <f t="shared" si="0"/>
        <v>0</v>
      </c>
      <c r="R12" s="178">
        <f t="shared" si="0"/>
        <v>0</v>
      </c>
      <c r="S12" s="178">
        <f t="shared" si="0"/>
        <v>0</v>
      </c>
      <c r="T12" s="178">
        <f t="shared" si="0"/>
        <v>0</v>
      </c>
      <c r="U12" s="178">
        <f t="shared" si="0"/>
        <v>0</v>
      </c>
      <c r="V12" s="178">
        <f t="shared" si="1"/>
        <v>0</v>
      </c>
      <c r="W12" s="178">
        <f t="shared" si="1"/>
        <v>0</v>
      </c>
      <c r="X12" s="178">
        <f t="shared" si="1"/>
        <v>0</v>
      </c>
      <c r="Y12" s="178">
        <f t="shared" si="1"/>
        <v>0</v>
      </c>
      <c r="Z12" s="178">
        <f t="shared" si="1"/>
        <v>0</v>
      </c>
      <c r="AA12" s="178">
        <f t="shared" si="1"/>
        <v>0</v>
      </c>
      <c r="AB12" s="178">
        <f t="shared" si="1"/>
        <v>0</v>
      </c>
      <c r="AC12" s="178">
        <f t="shared" si="1"/>
        <v>0</v>
      </c>
      <c r="AD12" s="178">
        <f t="shared" si="1"/>
        <v>0</v>
      </c>
      <c r="AE12" s="178">
        <f t="shared" si="1"/>
        <v>0</v>
      </c>
      <c r="AF12" s="178">
        <f t="shared" si="2"/>
        <v>0</v>
      </c>
      <c r="AG12" s="178">
        <f t="shared" si="2"/>
        <v>0</v>
      </c>
      <c r="AH12" s="178">
        <f t="shared" si="2"/>
        <v>0</v>
      </c>
      <c r="AI12" s="178">
        <f t="shared" si="2"/>
        <v>0</v>
      </c>
      <c r="AJ12" s="178">
        <f t="shared" si="2"/>
        <v>0</v>
      </c>
      <c r="AK12" s="178">
        <f t="shared" si="2"/>
        <v>0</v>
      </c>
      <c r="AL12" s="178">
        <f t="shared" si="2"/>
        <v>0</v>
      </c>
      <c r="AM12" s="178">
        <f t="shared" si="2"/>
        <v>0</v>
      </c>
      <c r="AN12" s="178">
        <f t="shared" si="2"/>
        <v>0</v>
      </c>
      <c r="AO12" s="178">
        <f t="shared" si="2"/>
        <v>0</v>
      </c>
      <c r="AP12" s="178">
        <f t="shared" si="3"/>
        <v>0</v>
      </c>
      <c r="AQ12" s="178">
        <f t="shared" si="3"/>
        <v>0</v>
      </c>
      <c r="AR12" s="178">
        <f t="shared" si="3"/>
        <v>0</v>
      </c>
      <c r="AS12" s="178">
        <f t="shared" si="3"/>
        <v>0</v>
      </c>
      <c r="AT12" s="178">
        <f t="shared" si="3"/>
        <v>0</v>
      </c>
      <c r="AU12" s="178">
        <f t="shared" si="3"/>
        <v>0</v>
      </c>
      <c r="AV12" s="178">
        <f t="shared" si="3"/>
        <v>0</v>
      </c>
      <c r="AW12" s="178">
        <f t="shared" si="3"/>
        <v>0</v>
      </c>
      <c r="AX12" s="178">
        <f t="shared" si="3"/>
        <v>0</v>
      </c>
      <c r="AY12" s="178">
        <f t="shared" si="3"/>
        <v>0</v>
      </c>
      <c r="AZ12" s="178">
        <f t="shared" si="4"/>
        <v>0</v>
      </c>
      <c r="BA12" s="178">
        <f t="shared" si="4"/>
        <v>0</v>
      </c>
      <c r="BB12" s="178">
        <f t="shared" si="4"/>
        <v>0</v>
      </c>
      <c r="BC12" s="178">
        <f t="shared" si="4"/>
        <v>0</v>
      </c>
      <c r="BD12" s="178">
        <f t="shared" si="4"/>
        <v>0</v>
      </c>
      <c r="BE12" s="178">
        <f t="shared" si="4"/>
        <v>0</v>
      </c>
      <c r="BF12" s="178">
        <f t="shared" si="4"/>
        <v>0</v>
      </c>
      <c r="BG12" s="178">
        <f t="shared" si="4"/>
        <v>0</v>
      </c>
      <c r="BH12" s="178">
        <f t="shared" si="4"/>
        <v>0</v>
      </c>
      <c r="BI12" s="178">
        <f t="shared" si="4"/>
        <v>0</v>
      </c>
    </row>
    <row r="13" spans="2:61" ht="12.75" customHeight="1" x14ac:dyDescent="0.2">
      <c r="B13" s="133" t="s">
        <v>179</v>
      </c>
      <c r="C13" s="177"/>
      <c r="D13" s="180"/>
      <c r="E13" s="20"/>
      <c r="F13" s="20"/>
      <c r="G13" s="71" t="str">
        <f t="shared" si="5"/>
        <v>-</v>
      </c>
      <c r="H13" s="190"/>
      <c r="I13" s="171" t="str">
        <f t="shared" si="6"/>
        <v/>
      </c>
      <c r="K13" s="178" t="str">
        <f t="array" ref="K13">IFERROR(INDEX($C$9:$C$59,MATCH(0,COUNTIF($K$8:$K12,$C$9:$C$59),0)),"")</f>
        <v/>
      </c>
      <c r="L13" s="178">
        <f t="shared" si="0"/>
        <v>0</v>
      </c>
      <c r="M13" s="178">
        <f t="shared" si="0"/>
        <v>0</v>
      </c>
      <c r="N13" s="178">
        <f t="shared" si="0"/>
        <v>0</v>
      </c>
      <c r="O13" s="178">
        <f t="shared" si="0"/>
        <v>0</v>
      </c>
      <c r="P13" s="178">
        <f t="shared" si="0"/>
        <v>0</v>
      </c>
      <c r="Q13" s="178">
        <f t="shared" si="0"/>
        <v>0</v>
      </c>
      <c r="R13" s="178">
        <f t="shared" si="0"/>
        <v>0</v>
      </c>
      <c r="S13" s="178">
        <f t="shared" si="0"/>
        <v>0</v>
      </c>
      <c r="T13" s="178">
        <f t="shared" si="0"/>
        <v>0</v>
      </c>
      <c r="U13" s="178">
        <f t="shared" si="0"/>
        <v>0</v>
      </c>
      <c r="V13" s="178">
        <f t="shared" si="1"/>
        <v>0</v>
      </c>
      <c r="W13" s="178">
        <f t="shared" si="1"/>
        <v>0</v>
      </c>
      <c r="X13" s="178">
        <f t="shared" si="1"/>
        <v>0</v>
      </c>
      <c r="Y13" s="178">
        <f t="shared" si="1"/>
        <v>0</v>
      </c>
      <c r="Z13" s="178">
        <f t="shared" si="1"/>
        <v>0</v>
      </c>
      <c r="AA13" s="178">
        <f t="shared" si="1"/>
        <v>0</v>
      </c>
      <c r="AB13" s="178">
        <f t="shared" si="1"/>
        <v>0</v>
      </c>
      <c r="AC13" s="178">
        <f t="shared" si="1"/>
        <v>0</v>
      </c>
      <c r="AD13" s="178">
        <f t="shared" si="1"/>
        <v>0</v>
      </c>
      <c r="AE13" s="178">
        <f t="shared" si="1"/>
        <v>0</v>
      </c>
      <c r="AF13" s="178">
        <f t="shared" si="2"/>
        <v>0</v>
      </c>
      <c r="AG13" s="178">
        <f t="shared" si="2"/>
        <v>0</v>
      </c>
      <c r="AH13" s="178">
        <f t="shared" si="2"/>
        <v>0</v>
      </c>
      <c r="AI13" s="178">
        <f t="shared" si="2"/>
        <v>0</v>
      </c>
      <c r="AJ13" s="178">
        <f t="shared" si="2"/>
        <v>0</v>
      </c>
      <c r="AK13" s="178">
        <f t="shared" si="2"/>
        <v>0</v>
      </c>
      <c r="AL13" s="178">
        <f t="shared" si="2"/>
        <v>0</v>
      </c>
      <c r="AM13" s="178">
        <f t="shared" si="2"/>
        <v>0</v>
      </c>
      <c r="AN13" s="178">
        <f t="shared" si="2"/>
        <v>0</v>
      </c>
      <c r="AO13" s="178">
        <f t="shared" si="2"/>
        <v>0</v>
      </c>
      <c r="AP13" s="178">
        <f t="shared" si="3"/>
        <v>0</v>
      </c>
      <c r="AQ13" s="178">
        <f t="shared" si="3"/>
        <v>0</v>
      </c>
      <c r="AR13" s="178">
        <f t="shared" si="3"/>
        <v>0</v>
      </c>
      <c r="AS13" s="178">
        <f t="shared" si="3"/>
        <v>0</v>
      </c>
      <c r="AT13" s="178">
        <f t="shared" si="3"/>
        <v>0</v>
      </c>
      <c r="AU13" s="178">
        <f t="shared" si="3"/>
        <v>0</v>
      </c>
      <c r="AV13" s="178">
        <f t="shared" si="3"/>
        <v>0</v>
      </c>
      <c r="AW13" s="178">
        <f t="shared" si="3"/>
        <v>0</v>
      </c>
      <c r="AX13" s="178">
        <f t="shared" si="3"/>
        <v>0</v>
      </c>
      <c r="AY13" s="178">
        <f t="shared" si="3"/>
        <v>0</v>
      </c>
      <c r="AZ13" s="178">
        <f t="shared" si="4"/>
        <v>0</v>
      </c>
      <c r="BA13" s="178">
        <f t="shared" si="4"/>
        <v>0</v>
      </c>
      <c r="BB13" s="178">
        <f t="shared" si="4"/>
        <v>0</v>
      </c>
      <c r="BC13" s="178">
        <f t="shared" si="4"/>
        <v>0</v>
      </c>
      <c r="BD13" s="178">
        <f t="shared" si="4"/>
        <v>0</v>
      </c>
      <c r="BE13" s="178">
        <f t="shared" si="4"/>
        <v>0</v>
      </c>
      <c r="BF13" s="178">
        <f t="shared" si="4"/>
        <v>0</v>
      </c>
      <c r="BG13" s="178">
        <f t="shared" si="4"/>
        <v>0</v>
      </c>
      <c r="BH13" s="178">
        <f t="shared" si="4"/>
        <v>0</v>
      </c>
      <c r="BI13" s="178">
        <f t="shared" si="4"/>
        <v>0</v>
      </c>
    </row>
    <row r="14" spans="2:61" ht="12.75" customHeight="1" x14ac:dyDescent="0.2">
      <c r="B14" s="133" t="s">
        <v>180</v>
      </c>
      <c r="C14" s="134"/>
      <c r="D14" s="20"/>
      <c r="E14" s="20"/>
      <c r="F14" s="20"/>
      <c r="G14" s="71" t="str">
        <f t="shared" si="5"/>
        <v>-</v>
      </c>
      <c r="H14" s="190"/>
      <c r="I14" s="171" t="str">
        <f t="shared" si="6"/>
        <v/>
      </c>
      <c r="K14" s="178" t="str">
        <f t="array" ref="K14">IFERROR(INDEX($C$9:$C$59,MATCH(0,COUNTIF($K$8:$K13,$C$9:$C$59),0)),"")</f>
        <v/>
      </c>
      <c r="L14" s="178">
        <f t="shared" si="0"/>
        <v>0</v>
      </c>
      <c r="M14" s="178">
        <f t="shared" si="0"/>
        <v>0</v>
      </c>
      <c r="N14" s="178">
        <f t="shared" si="0"/>
        <v>0</v>
      </c>
      <c r="O14" s="178">
        <f t="shared" si="0"/>
        <v>0</v>
      </c>
      <c r="P14" s="178">
        <f t="shared" si="0"/>
        <v>0</v>
      </c>
      <c r="Q14" s="178">
        <f t="shared" si="0"/>
        <v>0</v>
      </c>
      <c r="R14" s="178">
        <f t="shared" si="0"/>
        <v>0</v>
      </c>
      <c r="S14" s="178">
        <f t="shared" si="0"/>
        <v>0</v>
      </c>
      <c r="T14" s="178">
        <f t="shared" si="0"/>
        <v>0</v>
      </c>
      <c r="U14" s="178">
        <f t="shared" si="0"/>
        <v>0</v>
      </c>
      <c r="V14" s="178">
        <f t="shared" si="1"/>
        <v>0</v>
      </c>
      <c r="W14" s="178">
        <f t="shared" si="1"/>
        <v>0</v>
      </c>
      <c r="X14" s="178">
        <f t="shared" si="1"/>
        <v>0</v>
      </c>
      <c r="Y14" s="178">
        <f t="shared" si="1"/>
        <v>0</v>
      </c>
      <c r="Z14" s="178">
        <f t="shared" si="1"/>
        <v>0</v>
      </c>
      <c r="AA14" s="178">
        <f t="shared" si="1"/>
        <v>0</v>
      </c>
      <c r="AB14" s="178">
        <f t="shared" si="1"/>
        <v>0</v>
      </c>
      <c r="AC14" s="178">
        <f t="shared" si="1"/>
        <v>0</v>
      </c>
      <c r="AD14" s="178">
        <f t="shared" si="1"/>
        <v>0</v>
      </c>
      <c r="AE14" s="178">
        <f t="shared" si="1"/>
        <v>0</v>
      </c>
      <c r="AF14" s="178">
        <f t="shared" si="2"/>
        <v>0</v>
      </c>
      <c r="AG14" s="178">
        <f t="shared" si="2"/>
        <v>0</v>
      </c>
      <c r="AH14" s="178">
        <f t="shared" si="2"/>
        <v>0</v>
      </c>
      <c r="AI14" s="178">
        <f t="shared" si="2"/>
        <v>0</v>
      </c>
      <c r="AJ14" s="178">
        <f t="shared" si="2"/>
        <v>0</v>
      </c>
      <c r="AK14" s="178">
        <f t="shared" si="2"/>
        <v>0</v>
      </c>
      <c r="AL14" s="178">
        <f t="shared" si="2"/>
        <v>0</v>
      </c>
      <c r="AM14" s="178">
        <f t="shared" si="2"/>
        <v>0</v>
      </c>
      <c r="AN14" s="178">
        <f t="shared" si="2"/>
        <v>0</v>
      </c>
      <c r="AO14" s="178">
        <f t="shared" si="2"/>
        <v>0</v>
      </c>
      <c r="AP14" s="178">
        <f t="shared" si="3"/>
        <v>0</v>
      </c>
      <c r="AQ14" s="178">
        <f t="shared" si="3"/>
        <v>0</v>
      </c>
      <c r="AR14" s="178">
        <f t="shared" si="3"/>
        <v>0</v>
      </c>
      <c r="AS14" s="178">
        <f t="shared" si="3"/>
        <v>0</v>
      </c>
      <c r="AT14" s="178">
        <f t="shared" si="3"/>
        <v>0</v>
      </c>
      <c r="AU14" s="178">
        <f t="shared" si="3"/>
        <v>0</v>
      </c>
      <c r="AV14" s="178">
        <f t="shared" si="3"/>
        <v>0</v>
      </c>
      <c r="AW14" s="178">
        <f t="shared" si="3"/>
        <v>0</v>
      </c>
      <c r="AX14" s="178">
        <f t="shared" si="3"/>
        <v>0</v>
      </c>
      <c r="AY14" s="178">
        <f t="shared" si="3"/>
        <v>0</v>
      </c>
      <c r="AZ14" s="178">
        <f t="shared" si="4"/>
        <v>0</v>
      </c>
      <c r="BA14" s="178">
        <f t="shared" si="4"/>
        <v>0</v>
      </c>
      <c r="BB14" s="178">
        <f t="shared" si="4"/>
        <v>0</v>
      </c>
      <c r="BC14" s="178">
        <f t="shared" si="4"/>
        <v>0</v>
      </c>
      <c r="BD14" s="178">
        <f t="shared" si="4"/>
        <v>0</v>
      </c>
      <c r="BE14" s="178">
        <f t="shared" si="4"/>
        <v>0</v>
      </c>
      <c r="BF14" s="178">
        <f t="shared" si="4"/>
        <v>0</v>
      </c>
      <c r="BG14" s="178">
        <f t="shared" si="4"/>
        <v>0</v>
      </c>
      <c r="BH14" s="178">
        <f t="shared" si="4"/>
        <v>0</v>
      </c>
      <c r="BI14" s="178">
        <f t="shared" si="4"/>
        <v>0</v>
      </c>
    </row>
    <row r="15" spans="2:61" ht="12.75" customHeight="1" x14ac:dyDescent="0.2">
      <c r="B15" s="133" t="s">
        <v>181</v>
      </c>
      <c r="C15" s="134"/>
      <c r="D15" s="20"/>
      <c r="E15" s="20"/>
      <c r="F15" s="20"/>
      <c r="G15" s="71" t="str">
        <f t="shared" si="5"/>
        <v>-</v>
      </c>
      <c r="H15" s="190"/>
      <c r="I15" s="171" t="str">
        <f t="shared" si="6"/>
        <v/>
      </c>
      <c r="K15" s="178" t="str">
        <f t="array" ref="K15">IFERROR(INDEX($C$9:$C$59,MATCH(0,COUNTIF($K$8:$K14,$C$9:$C$59),0)),"")</f>
        <v/>
      </c>
      <c r="L15" s="178">
        <f t="shared" si="0"/>
        <v>0</v>
      </c>
      <c r="M15" s="178">
        <f t="shared" si="0"/>
        <v>0</v>
      </c>
      <c r="N15" s="178">
        <f t="shared" si="0"/>
        <v>0</v>
      </c>
      <c r="O15" s="178">
        <f t="shared" si="0"/>
        <v>0</v>
      </c>
      <c r="P15" s="178">
        <f t="shared" si="0"/>
        <v>0</v>
      </c>
      <c r="Q15" s="178">
        <f t="shared" si="0"/>
        <v>0</v>
      </c>
      <c r="R15" s="178">
        <f t="shared" si="0"/>
        <v>0</v>
      </c>
      <c r="S15" s="178">
        <f t="shared" si="0"/>
        <v>0</v>
      </c>
      <c r="T15" s="178">
        <f t="shared" si="0"/>
        <v>0</v>
      </c>
      <c r="U15" s="178">
        <f t="shared" si="0"/>
        <v>0</v>
      </c>
      <c r="V15" s="178">
        <f t="shared" si="1"/>
        <v>0</v>
      </c>
      <c r="W15" s="178">
        <f t="shared" si="1"/>
        <v>0</v>
      </c>
      <c r="X15" s="178">
        <f t="shared" si="1"/>
        <v>0</v>
      </c>
      <c r="Y15" s="178">
        <f t="shared" si="1"/>
        <v>0</v>
      </c>
      <c r="Z15" s="178">
        <f t="shared" si="1"/>
        <v>0</v>
      </c>
      <c r="AA15" s="178">
        <f t="shared" si="1"/>
        <v>0</v>
      </c>
      <c r="AB15" s="178">
        <f t="shared" si="1"/>
        <v>0</v>
      </c>
      <c r="AC15" s="178">
        <f t="shared" si="1"/>
        <v>0</v>
      </c>
      <c r="AD15" s="178">
        <f t="shared" si="1"/>
        <v>0</v>
      </c>
      <c r="AE15" s="178">
        <f t="shared" si="1"/>
        <v>0</v>
      </c>
      <c r="AF15" s="178">
        <f t="shared" si="2"/>
        <v>0</v>
      </c>
      <c r="AG15" s="178">
        <f t="shared" si="2"/>
        <v>0</v>
      </c>
      <c r="AH15" s="178">
        <f t="shared" si="2"/>
        <v>0</v>
      </c>
      <c r="AI15" s="178">
        <f t="shared" si="2"/>
        <v>0</v>
      </c>
      <c r="AJ15" s="178">
        <f t="shared" si="2"/>
        <v>0</v>
      </c>
      <c r="AK15" s="178">
        <f t="shared" si="2"/>
        <v>0</v>
      </c>
      <c r="AL15" s="178">
        <f t="shared" si="2"/>
        <v>0</v>
      </c>
      <c r="AM15" s="178">
        <f t="shared" si="2"/>
        <v>0</v>
      </c>
      <c r="AN15" s="178">
        <f t="shared" si="2"/>
        <v>0</v>
      </c>
      <c r="AO15" s="178">
        <f t="shared" si="2"/>
        <v>0</v>
      </c>
      <c r="AP15" s="178">
        <f t="shared" si="3"/>
        <v>0</v>
      </c>
      <c r="AQ15" s="178">
        <f t="shared" si="3"/>
        <v>0</v>
      </c>
      <c r="AR15" s="178">
        <f t="shared" si="3"/>
        <v>0</v>
      </c>
      <c r="AS15" s="178">
        <f t="shared" si="3"/>
        <v>0</v>
      </c>
      <c r="AT15" s="178">
        <f t="shared" si="3"/>
        <v>0</v>
      </c>
      <c r="AU15" s="178">
        <f t="shared" si="3"/>
        <v>0</v>
      </c>
      <c r="AV15" s="178">
        <f t="shared" si="3"/>
        <v>0</v>
      </c>
      <c r="AW15" s="178">
        <f t="shared" si="3"/>
        <v>0</v>
      </c>
      <c r="AX15" s="178">
        <f t="shared" si="3"/>
        <v>0</v>
      </c>
      <c r="AY15" s="178">
        <f t="shared" si="3"/>
        <v>0</v>
      </c>
      <c r="AZ15" s="178">
        <f t="shared" si="4"/>
        <v>0</v>
      </c>
      <c r="BA15" s="178">
        <f t="shared" si="4"/>
        <v>0</v>
      </c>
      <c r="BB15" s="178">
        <f t="shared" si="4"/>
        <v>0</v>
      </c>
      <c r="BC15" s="178">
        <f t="shared" si="4"/>
        <v>0</v>
      </c>
      <c r="BD15" s="178">
        <f t="shared" si="4"/>
        <v>0</v>
      </c>
      <c r="BE15" s="178">
        <f t="shared" si="4"/>
        <v>0</v>
      </c>
      <c r="BF15" s="178">
        <f t="shared" si="4"/>
        <v>0</v>
      </c>
      <c r="BG15" s="178">
        <f t="shared" si="4"/>
        <v>0</v>
      </c>
      <c r="BH15" s="178">
        <f t="shared" si="4"/>
        <v>0</v>
      </c>
      <c r="BI15" s="178">
        <f t="shared" si="4"/>
        <v>0</v>
      </c>
    </row>
    <row r="16" spans="2:61" ht="12.75" customHeight="1" x14ac:dyDescent="0.2">
      <c r="B16" s="133" t="s">
        <v>182</v>
      </c>
      <c r="C16" s="134"/>
      <c r="D16" s="20"/>
      <c r="E16" s="20"/>
      <c r="F16" s="20"/>
      <c r="G16" s="71" t="str">
        <f t="shared" si="5"/>
        <v>-</v>
      </c>
      <c r="H16" s="190"/>
      <c r="I16" s="171" t="str">
        <f t="shared" si="6"/>
        <v/>
      </c>
      <c r="K16" s="178" t="str">
        <f t="array" ref="K16">IFERROR(INDEX($C$9:$C$59,MATCH(0,COUNTIF($K$8:$K15,$C$9:$C$59),0)),"")</f>
        <v/>
      </c>
      <c r="L16" s="178">
        <f t="shared" si="0"/>
        <v>0</v>
      </c>
      <c r="M16" s="178">
        <f t="shared" si="0"/>
        <v>0</v>
      </c>
      <c r="N16" s="178">
        <f t="shared" si="0"/>
        <v>0</v>
      </c>
      <c r="O16" s="178">
        <f t="shared" si="0"/>
        <v>0</v>
      </c>
      <c r="P16" s="178">
        <f t="shared" si="0"/>
        <v>0</v>
      </c>
      <c r="Q16" s="178">
        <f t="shared" si="0"/>
        <v>0</v>
      </c>
      <c r="R16" s="178">
        <f t="shared" si="0"/>
        <v>0</v>
      </c>
      <c r="S16" s="178">
        <f t="shared" si="0"/>
        <v>0</v>
      </c>
      <c r="T16" s="178">
        <f t="shared" si="0"/>
        <v>0</v>
      </c>
      <c r="U16" s="178">
        <f t="shared" si="0"/>
        <v>0</v>
      </c>
      <c r="V16" s="178">
        <f t="shared" si="1"/>
        <v>0</v>
      </c>
      <c r="W16" s="178">
        <f t="shared" si="1"/>
        <v>0</v>
      </c>
      <c r="X16" s="178">
        <f t="shared" si="1"/>
        <v>0</v>
      </c>
      <c r="Y16" s="178">
        <f t="shared" si="1"/>
        <v>0</v>
      </c>
      <c r="Z16" s="178">
        <f t="shared" si="1"/>
        <v>0</v>
      </c>
      <c r="AA16" s="178">
        <f t="shared" si="1"/>
        <v>0</v>
      </c>
      <c r="AB16" s="178">
        <f t="shared" si="1"/>
        <v>0</v>
      </c>
      <c r="AC16" s="178">
        <f t="shared" si="1"/>
        <v>0</v>
      </c>
      <c r="AD16" s="178">
        <f t="shared" si="1"/>
        <v>0</v>
      </c>
      <c r="AE16" s="178">
        <f t="shared" si="1"/>
        <v>0</v>
      </c>
      <c r="AF16" s="178">
        <f t="shared" si="2"/>
        <v>0</v>
      </c>
      <c r="AG16" s="178">
        <f t="shared" si="2"/>
        <v>0</v>
      </c>
      <c r="AH16" s="178">
        <f t="shared" si="2"/>
        <v>0</v>
      </c>
      <c r="AI16" s="178">
        <f t="shared" si="2"/>
        <v>0</v>
      </c>
      <c r="AJ16" s="178">
        <f t="shared" si="2"/>
        <v>0</v>
      </c>
      <c r="AK16" s="178">
        <f t="shared" si="2"/>
        <v>0</v>
      </c>
      <c r="AL16" s="178">
        <f t="shared" si="2"/>
        <v>0</v>
      </c>
      <c r="AM16" s="178">
        <f t="shared" si="2"/>
        <v>0</v>
      </c>
      <c r="AN16" s="178">
        <f t="shared" si="2"/>
        <v>0</v>
      </c>
      <c r="AO16" s="178">
        <f t="shared" si="2"/>
        <v>0</v>
      </c>
      <c r="AP16" s="178">
        <f t="shared" si="3"/>
        <v>0</v>
      </c>
      <c r="AQ16" s="178">
        <f t="shared" si="3"/>
        <v>0</v>
      </c>
      <c r="AR16" s="178">
        <f t="shared" si="3"/>
        <v>0</v>
      </c>
      <c r="AS16" s="178">
        <f t="shared" si="3"/>
        <v>0</v>
      </c>
      <c r="AT16" s="178">
        <f t="shared" si="3"/>
        <v>0</v>
      </c>
      <c r="AU16" s="178">
        <f t="shared" si="3"/>
        <v>0</v>
      </c>
      <c r="AV16" s="178">
        <f t="shared" si="3"/>
        <v>0</v>
      </c>
      <c r="AW16" s="178">
        <f t="shared" si="3"/>
        <v>0</v>
      </c>
      <c r="AX16" s="178">
        <f t="shared" si="3"/>
        <v>0</v>
      </c>
      <c r="AY16" s="178">
        <f t="shared" si="3"/>
        <v>0</v>
      </c>
      <c r="AZ16" s="178">
        <f t="shared" si="4"/>
        <v>0</v>
      </c>
      <c r="BA16" s="178">
        <f t="shared" si="4"/>
        <v>0</v>
      </c>
      <c r="BB16" s="178">
        <f t="shared" si="4"/>
        <v>0</v>
      </c>
      <c r="BC16" s="178">
        <f t="shared" si="4"/>
        <v>0</v>
      </c>
      <c r="BD16" s="178">
        <f t="shared" si="4"/>
        <v>0</v>
      </c>
      <c r="BE16" s="178">
        <f t="shared" si="4"/>
        <v>0</v>
      </c>
      <c r="BF16" s="178">
        <f t="shared" si="4"/>
        <v>0</v>
      </c>
      <c r="BG16" s="178">
        <f t="shared" si="4"/>
        <v>0</v>
      </c>
      <c r="BH16" s="178">
        <f t="shared" si="4"/>
        <v>0</v>
      </c>
      <c r="BI16" s="178">
        <f t="shared" si="4"/>
        <v>0</v>
      </c>
    </row>
    <row r="17" spans="2:61" ht="12.75" customHeight="1" x14ac:dyDescent="0.2">
      <c r="B17" s="133" t="s">
        <v>183</v>
      </c>
      <c r="C17" s="134"/>
      <c r="D17" s="20"/>
      <c r="E17" s="20"/>
      <c r="F17" s="20"/>
      <c r="G17" s="71" t="str">
        <f t="shared" si="5"/>
        <v>-</v>
      </c>
      <c r="H17" s="190"/>
      <c r="I17" s="171" t="str">
        <f t="shared" si="6"/>
        <v/>
      </c>
      <c r="K17" s="178" t="str">
        <f t="array" ref="K17">IFERROR(INDEX($C$9:$C$59,MATCH(0,COUNTIF($K$8:$K16,$C$9:$C$59),0)),"")</f>
        <v/>
      </c>
      <c r="L17" s="178">
        <f t="shared" si="0"/>
        <v>0</v>
      </c>
      <c r="M17" s="178">
        <f t="shared" si="0"/>
        <v>0</v>
      </c>
      <c r="N17" s="178">
        <f t="shared" si="0"/>
        <v>0</v>
      </c>
      <c r="O17" s="178">
        <f t="shared" si="0"/>
        <v>0</v>
      </c>
      <c r="P17" s="178">
        <f t="shared" si="0"/>
        <v>0</v>
      </c>
      <c r="Q17" s="178">
        <f t="shared" si="0"/>
        <v>0</v>
      </c>
      <c r="R17" s="178">
        <f t="shared" si="0"/>
        <v>0</v>
      </c>
      <c r="S17" s="178">
        <f t="shared" si="0"/>
        <v>0</v>
      </c>
      <c r="T17" s="178">
        <f t="shared" si="0"/>
        <v>0</v>
      </c>
      <c r="U17" s="178">
        <f t="shared" si="0"/>
        <v>0</v>
      </c>
      <c r="V17" s="178">
        <f t="shared" si="1"/>
        <v>0</v>
      </c>
      <c r="W17" s="178">
        <f t="shared" si="1"/>
        <v>0</v>
      </c>
      <c r="X17" s="178">
        <f t="shared" si="1"/>
        <v>0</v>
      </c>
      <c r="Y17" s="178">
        <f t="shared" si="1"/>
        <v>0</v>
      </c>
      <c r="Z17" s="178">
        <f t="shared" si="1"/>
        <v>0</v>
      </c>
      <c r="AA17" s="178">
        <f t="shared" si="1"/>
        <v>0</v>
      </c>
      <c r="AB17" s="178">
        <f t="shared" si="1"/>
        <v>0</v>
      </c>
      <c r="AC17" s="178">
        <f t="shared" si="1"/>
        <v>0</v>
      </c>
      <c r="AD17" s="178">
        <f t="shared" si="1"/>
        <v>0</v>
      </c>
      <c r="AE17" s="178">
        <f t="shared" si="1"/>
        <v>0</v>
      </c>
      <c r="AF17" s="178">
        <f t="shared" si="2"/>
        <v>0</v>
      </c>
      <c r="AG17" s="178">
        <f t="shared" si="2"/>
        <v>0</v>
      </c>
      <c r="AH17" s="178">
        <f t="shared" si="2"/>
        <v>0</v>
      </c>
      <c r="AI17" s="178">
        <f t="shared" si="2"/>
        <v>0</v>
      </c>
      <c r="AJ17" s="178">
        <f t="shared" si="2"/>
        <v>0</v>
      </c>
      <c r="AK17" s="178">
        <f t="shared" si="2"/>
        <v>0</v>
      </c>
      <c r="AL17" s="178">
        <f t="shared" si="2"/>
        <v>0</v>
      </c>
      <c r="AM17" s="178">
        <f t="shared" si="2"/>
        <v>0</v>
      </c>
      <c r="AN17" s="178">
        <f t="shared" si="2"/>
        <v>0</v>
      </c>
      <c r="AO17" s="178">
        <f t="shared" si="2"/>
        <v>0</v>
      </c>
      <c r="AP17" s="178">
        <f t="shared" si="3"/>
        <v>0</v>
      </c>
      <c r="AQ17" s="178">
        <f t="shared" si="3"/>
        <v>0</v>
      </c>
      <c r="AR17" s="178">
        <f t="shared" si="3"/>
        <v>0</v>
      </c>
      <c r="AS17" s="178">
        <f t="shared" si="3"/>
        <v>0</v>
      </c>
      <c r="AT17" s="178">
        <f t="shared" si="3"/>
        <v>0</v>
      </c>
      <c r="AU17" s="178">
        <f t="shared" si="3"/>
        <v>0</v>
      </c>
      <c r="AV17" s="178">
        <f t="shared" si="3"/>
        <v>0</v>
      </c>
      <c r="AW17" s="178">
        <f t="shared" si="3"/>
        <v>0</v>
      </c>
      <c r="AX17" s="178">
        <f t="shared" si="3"/>
        <v>0</v>
      </c>
      <c r="AY17" s="178">
        <f t="shared" si="3"/>
        <v>0</v>
      </c>
      <c r="AZ17" s="178">
        <f t="shared" si="4"/>
        <v>0</v>
      </c>
      <c r="BA17" s="178">
        <f t="shared" si="4"/>
        <v>0</v>
      </c>
      <c r="BB17" s="178">
        <f t="shared" si="4"/>
        <v>0</v>
      </c>
      <c r="BC17" s="178">
        <f t="shared" si="4"/>
        <v>0</v>
      </c>
      <c r="BD17" s="178">
        <f t="shared" si="4"/>
        <v>0</v>
      </c>
      <c r="BE17" s="178">
        <f t="shared" si="4"/>
        <v>0</v>
      </c>
      <c r="BF17" s="178">
        <f t="shared" si="4"/>
        <v>0</v>
      </c>
      <c r="BG17" s="178">
        <f t="shared" si="4"/>
        <v>0</v>
      </c>
      <c r="BH17" s="178">
        <f t="shared" si="4"/>
        <v>0</v>
      </c>
      <c r="BI17" s="178">
        <f t="shared" si="4"/>
        <v>0</v>
      </c>
    </row>
    <row r="18" spans="2:61" ht="12.75" customHeight="1" x14ac:dyDescent="0.2">
      <c r="B18" s="133" t="s">
        <v>184</v>
      </c>
      <c r="C18" s="134"/>
      <c r="D18" s="20"/>
      <c r="E18" s="20"/>
      <c r="F18" s="20"/>
      <c r="G18" s="71" t="str">
        <f t="shared" si="5"/>
        <v>-</v>
      </c>
      <c r="H18" s="190"/>
      <c r="I18" s="171" t="str">
        <f t="shared" si="6"/>
        <v/>
      </c>
      <c r="K18" s="178" t="str">
        <f t="array" ref="K18">IFERROR(INDEX($C$9:$C$59,MATCH(0,COUNTIF($K$8:$K17,$C$9:$C$59),0)),"")</f>
        <v/>
      </c>
      <c r="L18" s="178">
        <f t="shared" si="0"/>
        <v>0</v>
      </c>
      <c r="M18" s="178">
        <f t="shared" si="0"/>
        <v>0</v>
      </c>
      <c r="N18" s="178">
        <f t="shared" si="0"/>
        <v>0</v>
      </c>
      <c r="O18" s="178">
        <f t="shared" si="0"/>
        <v>0</v>
      </c>
      <c r="P18" s="178">
        <f t="shared" si="0"/>
        <v>0</v>
      </c>
      <c r="Q18" s="178">
        <f t="shared" si="0"/>
        <v>0</v>
      </c>
      <c r="R18" s="178">
        <f t="shared" si="0"/>
        <v>0</v>
      </c>
      <c r="S18" s="178">
        <f t="shared" si="0"/>
        <v>0</v>
      </c>
      <c r="T18" s="178">
        <f t="shared" si="0"/>
        <v>0</v>
      </c>
      <c r="U18" s="178">
        <f t="shared" si="0"/>
        <v>0</v>
      </c>
      <c r="V18" s="178">
        <f t="shared" si="1"/>
        <v>0</v>
      </c>
      <c r="W18" s="178">
        <f t="shared" si="1"/>
        <v>0</v>
      </c>
      <c r="X18" s="178">
        <f t="shared" si="1"/>
        <v>0</v>
      </c>
      <c r="Y18" s="178">
        <f t="shared" si="1"/>
        <v>0</v>
      </c>
      <c r="Z18" s="178">
        <f t="shared" si="1"/>
        <v>0</v>
      </c>
      <c r="AA18" s="178">
        <f t="shared" si="1"/>
        <v>0</v>
      </c>
      <c r="AB18" s="178">
        <f t="shared" si="1"/>
        <v>0</v>
      </c>
      <c r="AC18" s="178">
        <f t="shared" si="1"/>
        <v>0</v>
      </c>
      <c r="AD18" s="178">
        <f t="shared" si="1"/>
        <v>0</v>
      </c>
      <c r="AE18" s="178">
        <f t="shared" si="1"/>
        <v>0</v>
      </c>
      <c r="AF18" s="178">
        <f t="shared" si="2"/>
        <v>0</v>
      </c>
      <c r="AG18" s="178">
        <f t="shared" si="2"/>
        <v>0</v>
      </c>
      <c r="AH18" s="178">
        <f t="shared" si="2"/>
        <v>0</v>
      </c>
      <c r="AI18" s="178">
        <f t="shared" si="2"/>
        <v>0</v>
      </c>
      <c r="AJ18" s="178">
        <f t="shared" si="2"/>
        <v>0</v>
      </c>
      <c r="AK18" s="178">
        <f t="shared" si="2"/>
        <v>0</v>
      </c>
      <c r="AL18" s="178">
        <f t="shared" si="2"/>
        <v>0</v>
      </c>
      <c r="AM18" s="178">
        <f t="shared" si="2"/>
        <v>0</v>
      </c>
      <c r="AN18" s="178">
        <f t="shared" si="2"/>
        <v>0</v>
      </c>
      <c r="AO18" s="178">
        <f t="shared" si="2"/>
        <v>0</v>
      </c>
      <c r="AP18" s="178">
        <f t="shared" si="3"/>
        <v>0</v>
      </c>
      <c r="AQ18" s="178">
        <f t="shared" si="3"/>
        <v>0</v>
      </c>
      <c r="AR18" s="178">
        <f t="shared" si="3"/>
        <v>0</v>
      </c>
      <c r="AS18" s="178">
        <f t="shared" si="3"/>
        <v>0</v>
      </c>
      <c r="AT18" s="178">
        <f t="shared" si="3"/>
        <v>0</v>
      </c>
      <c r="AU18" s="178">
        <f t="shared" si="3"/>
        <v>0</v>
      </c>
      <c r="AV18" s="178">
        <f t="shared" si="3"/>
        <v>0</v>
      </c>
      <c r="AW18" s="178">
        <f t="shared" si="3"/>
        <v>0</v>
      </c>
      <c r="AX18" s="178">
        <f t="shared" si="3"/>
        <v>0</v>
      </c>
      <c r="AY18" s="178">
        <f t="shared" si="3"/>
        <v>0</v>
      </c>
      <c r="AZ18" s="178">
        <f t="shared" si="4"/>
        <v>0</v>
      </c>
      <c r="BA18" s="178">
        <f t="shared" si="4"/>
        <v>0</v>
      </c>
      <c r="BB18" s="178">
        <f t="shared" si="4"/>
        <v>0</v>
      </c>
      <c r="BC18" s="178">
        <f t="shared" si="4"/>
        <v>0</v>
      </c>
      <c r="BD18" s="178">
        <f t="shared" si="4"/>
        <v>0</v>
      </c>
      <c r="BE18" s="178">
        <f t="shared" si="4"/>
        <v>0</v>
      </c>
      <c r="BF18" s="178">
        <f t="shared" si="4"/>
        <v>0</v>
      </c>
      <c r="BG18" s="178">
        <f t="shared" si="4"/>
        <v>0</v>
      </c>
      <c r="BH18" s="178">
        <f t="shared" si="4"/>
        <v>0</v>
      </c>
      <c r="BI18" s="178">
        <f t="shared" si="4"/>
        <v>0</v>
      </c>
    </row>
    <row r="19" spans="2:61" ht="12.75" customHeight="1" x14ac:dyDescent="0.2">
      <c r="B19" s="133" t="s">
        <v>185</v>
      </c>
      <c r="C19" s="134"/>
      <c r="D19" s="20"/>
      <c r="E19" s="20"/>
      <c r="F19" s="20"/>
      <c r="G19" s="71" t="str">
        <f t="shared" si="5"/>
        <v>-</v>
      </c>
      <c r="H19" s="190"/>
      <c r="I19" s="171" t="str">
        <f t="shared" si="6"/>
        <v/>
      </c>
      <c r="K19" s="178" t="str">
        <f t="array" ref="K19">IFERROR(INDEX($C$9:$C$59,MATCH(0,COUNTIF($K$8:$K18,$C$9:$C$59),0)),"")</f>
        <v/>
      </c>
      <c r="L19" s="178">
        <f t="shared" ref="L19:U28" si="7">IF(AND($K19&lt;&gt;"",L$8&lt;&gt;""),COUNTIFS($C$9:$C$59,$K19,$I$9:$I$59,L$8),0)</f>
        <v>0</v>
      </c>
      <c r="M19" s="178">
        <f t="shared" si="7"/>
        <v>0</v>
      </c>
      <c r="N19" s="178">
        <f t="shared" si="7"/>
        <v>0</v>
      </c>
      <c r="O19" s="178">
        <f t="shared" si="7"/>
        <v>0</v>
      </c>
      <c r="P19" s="178">
        <f t="shared" si="7"/>
        <v>0</v>
      </c>
      <c r="Q19" s="178">
        <f t="shared" si="7"/>
        <v>0</v>
      </c>
      <c r="R19" s="178">
        <f t="shared" si="7"/>
        <v>0</v>
      </c>
      <c r="S19" s="178">
        <f t="shared" si="7"/>
        <v>0</v>
      </c>
      <c r="T19" s="178">
        <f t="shared" si="7"/>
        <v>0</v>
      </c>
      <c r="U19" s="178">
        <f t="shared" si="7"/>
        <v>0</v>
      </c>
      <c r="V19" s="178">
        <f t="shared" ref="V19:AE28" si="8">IF(AND($K19&lt;&gt;"",V$8&lt;&gt;""),COUNTIFS($C$9:$C$59,$K19,$I$9:$I$59,V$8),0)</f>
        <v>0</v>
      </c>
      <c r="W19" s="178">
        <f t="shared" si="8"/>
        <v>0</v>
      </c>
      <c r="X19" s="178">
        <f t="shared" si="8"/>
        <v>0</v>
      </c>
      <c r="Y19" s="178">
        <f t="shared" si="8"/>
        <v>0</v>
      </c>
      <c r="Z19" s="178">
        <f t="shared" si="8"/>
        <v>0</v>
      </c>
      <c r="AA19" s="178">
        <f t="shared" si="8"/>
        <v>0</v>
      </c>
      <c r="AB19" s="178">
        <f t="shared" si="8"/>
        <v>0</v>
      </c>
      <c r="AC19" s="178">
        <f t="shared" si="8"/>
        <v>0</v>
      </c>
      <c r="AD19" s="178">
        <f t="shared" si="8"/>
        <v>0</v>
      </c>
      <c r="AE19" s="178">
        <f t="shared" si="8"/>
        <v>0</v>
      </c>
      <c r="AF19" s="178">
        <f t="shared" ref="AF19:AO28" si="9">IF(AND($K19&lt;&gt;"",AF$8&lt;&gt;""),COUNTIFS($C$9:$C$59,$K19,$I$9:$I$59,AF$8),0)</f>
        <v>0</v>
      </c>
      <c r="AG19" s="178">
        <f t="shared" si="9"/>
        <v>0</v>
      </c>
      <c r="AH19" s="178">
        <f t="shared" si="9"/>
        <v>0</v>
      </c>
      <c r="AI19" s="178">
        <f t="shared" si="9"/>
        <v>0</v>
      </c>
      <c r="AJ19" s="178">
        <f t="shared" si="9"/>
        <v>0</v>
      </c>
      <c r="AK19" s="178">
        <f t="shared" si="9"/>
        <v>0</v>
      </c>
      <c r="AL19" s="178">
        <f t="shared" si="9"/>
        <v>0</v>
      </c>
      <c r="AM19" s="178">
        <f t="shared" si="9"/>
        <v>0</v>
      </c>
      <c r="AN19" s="178">
        <f t="shared" si="9"/>
        <v>0</v>
      </c>
      <c r="AO19" s="178">
        <f t="shared" si="9"/>
        <v>0</v>
      </c>
      <c r="AP19" s="178">
        <f t="shared" ref="AP19:AY28" si="10">IF(AND($K19&lt;&gt;"",AP$8&lt;&gt;""),COUNTIFS($C$9:$C$59,$K19,$I$9:$I$59,AP$8),0)</f>
        <v>0</v>
      </c>
      <c r="AQ19" s="178">
        <f t="shared" si="10"/>
        <v>0</v>
      </c>
      <c r="AR19" s="178">
        <f t="shared" si="10"/>
        <v>0</v>
      </c>
      <c r="AS19" s="178">
        <f t="shared" si="10"/>
        <v>0</v>
      </c>
      <c r="AT19" s="178">
        <f t="shared" si="10"/>
        <v>0</v>
      </c>
      <c r="AU19" s="178">
        <f t="shared" si="10"/>
        <v>0</v>
      </c>
      <c r="AV19" s="178">
        <f t="shared" si="10"/>
        <v>0</v>
      </c>
      <c r="AW19" s="178">
        <f t="shared" si="10"/>
        <v>0</v>
      </c>
      <c r="AX19" s="178">
        <f t="shared" si="10"/>
        <v>0</v>
      </c>
      <c r="AY19" s="178">
        <f t="shared" si="10"/>
        <v>0</v>
      </c>
      <c r="AZ19" s="178">
        <f t="shared" ref="AZ19:BI28" si="11">IF(AND($K19&lt;&gt;"",AZ$8&lt;&gt;""),COUNTIFS($C$9:$C$59,$K19,$I$9:$I$59,AZ$8),0)</f>
        <v>0</v>
      </c>
      <c r="BA19" s="178">
        <f t="shared" si="11"/>
        <v>0</v>
      </c>
      <c r="BB19" s="178">
        <f t="shared" si="11"/>
        <v>0</v>
      </c>
      <c r="BC19" s="178">
        <f t="shared" si="11"/>
        <v>0</v>
      </c>
      <c r="BD19" s="178">
        <f t="shared" si="11"/>
        <v>0</v>
      </c>
      <c r="BE19" s="178">
        <f t="shared" si="11"/>
        <v>0</v>
      </c>
      <c r="BF19" s="178">
        <f t="shared" si="11"/>
        <v>0</v>
      </c>
      <c r="BG19" s="178">
        <f t="shared" si="11"/>
        <v>0</v>
      </c>
      <c r="BH19" s="178">
        <f t="shared" si="11"/>
        <v>0</v>
      </c>
      <c r="BI19" s="178">
        <f t="shared" si="11"/>
        <v>0</v>
      </c>
    </row>
    <row r="20" spans="2:61" ht="12.75" customHeight="1" x14ac:dyDescent="0.2">
      <c r="B20" s="133" t="s">
        <v>186</v>
      </c>
      <c r="C20" s="134"/>
      <c r="D20" s="20"/>
      <c r="E20" s="20"/>
      <c r="F20" s="20"/>
      <c r="G20" s="71" t="str">
        <f t="shared" si="5"/>
        <v>-</v>
      </c>
      <c r="H20" s="190"/>
      <c r="I20" s="171" t="str">
        <f t="shared" si="6"/>
        <v/>
      </c>
      <c r="K20" s="178" t="str">
        <f t="array" ref="K20">IFERROR(INDEX($C$9:$C$59,MATCH(0,COUNTIF($K$8:$K19,$C$9:$C$59),0)),"")</f>
        <v/>
      </c>
      <c r="L20" s="178">
        <f t="shared" si="7"/>
        <v>0</v>
      </c>
      <c r="M20" s="178">
        <f t="shared" si="7"/>
        <v>0</v>
      </c>
      <c r="N20" s="178">
        <f t="shared" si="7"/>
        <v>0</v>
      </c>
      <c r="O20" s="178">
        <f t="shared" si="7"/>
        <v>0</v>
      </c>
      <c r="P20" s="178">
        <f t="shared" si="7"/>
        <v>0</v>
      </c>
      <c r="Q20" s="178">
        <f t="shared" si="7"/>
        <v>0</v>
      </c>
      <c r="R20" s="178">
        <f t="shared" si="7"/>
        <v>0</v>
      </c>
      <c r="S20" s="178">
        <f t="shared" si="7"/>
        <v>0</v>
      </c>
      <c r="T20" s="178">
        <f t="shared" si="7"/>
        <v>0</v>
      </c>
      <c r="U20" s="178">
        <f t="shared" si="7"/>
        <v>0</v>
      </c>
      <c r="V20" s="178">
        <f t="shared" si="8"/>
        <v>0</v>
      </c>
      <c r="W20" s="178">
        <f t="shared" si="8"/>
        <v>0</v>
      </c>
      <c r="X20" s="178">
        <f t="shared" si="8"/>
        <v>0</v>
      </c>
      <c r="Y20" s="178">
        <f t="shared" si="8"/>
        <v>0</v>
      </c>
      <c r="Z20" s="178">
        <f t="shared" si="8"/>
        <v>0</v>
      </c>
      <c r="AA20" s="178">
        <f t="shared" si="8"/>
        <v>0</v>
      </c>
      <c r="AB20" s="178">
        <f t="shared" si="8"/>
        <v>0</v>
      </c>
      <c r="AC20" s="178">
        <f t="shared" si="8"/>
        <v>0</v>
      </c>
      <c r="AD20" s="178">
        <f t="shared" si="8"/>
        <v>0</v>
      </c>
      <c r="AE20" s="178">
        <f t="shared" si="8"/>
        <v>0</v>
      </c>
      <c r="AF20" s="178">
        <f t="shared" si="9"/>
        <v>0</v>
      </c>
      <c r="AG20" s="178">
        <f t="shared" si="9"/>
        <v>0</v>
      </c>
      <c r="AH20" s="178">
        <f t="shared" si="9"/>
        <v>0</v>
      </c>
      <c r="AI20" s="178">
        <f t="shared" si="9"/>
        <v>0</v>
      </c>
      <c r="AJ20" s="178">
        <f t="shared" si="9"/>
        <v>0</v>
      </c>
      <c r="AK20" s="178">
        <f t="shared" si="9"/>
        <v>0</v>
      </c>
      <c r="AL20" s="178">
        <f t="shared" si="9"/>
        <v>0</v>
      </c>
      <c r="AM20" s="178">
        <f t="shared" si="9"/>
        <v>0</v>
      </c>
      <c r="AN20" s="178">
        <f t="shared" si="9"/>
        <v>0</v>
      </c>
      <c r="AO20" s="178">
        <f t="shared" si="9"/>
        <v>0</v>
      </c>
      <c r="AP20" s="178">
        <f t="shared" si="10"/>
        <v>0</v>
      </c>
      <c r="AQ20" s="178">
        <f t="shared" si="10"/>
        <v>0</v>
      </c>
      <c r="AR20" s="178">
        <f t="shared" si="10"/>
        <v>0</v>
      </c>
      <c r="AS20" s="178">
        <f t="shared" si="10"/>
        <v>0</v>
      </c>
      <c r="AT20" s="178">
        <f t="shared" si="10"/>
        <v>0</v>
      </c>
      <c r="AU20" s="178">
        <f t="shared" si="10"/>
        <v>0</v>
      </c>
      <c r="AV20" s="178">
        <f t="shared" si="10"/>
        <v>0</v>
      </c>
      <c r="AW20" s="178">
        <f t="shared" si="10"/>
        <v>0</v>
      </c>
      <c r="AX20" s="178">
        <f t="shared" si="10"/>
        <v>0</v>
      </c>
      <c r="AY20" s="178">
        <f t="shared" si="10"/>
        <v>0</v>
      </c>
      <c r="AZ20" s="178">
        <f t="shared" si="11"/>
        <v>0</v>
      </c>
      <c r="BA20" s="178">
        <f t="shared" si="11"/>
        <v>0</v>
      </c>
      <c r="BB20" s="178">
        <f t="shared" si="11"/>
        <v>0</v>
      </c>
      <c r="BC20" s="178">
        <f t="shared" si="11"/>
        <v>0</v>
      </c>
      <c r="BD20" s="178">
        <f t="shared" si="11"/>
        <v>0</v>
      </c>
      <c r="BE20" s="178">
        <f t="shared" si="11"/>
        <v>0</v>
      </c>
      <c r="BF20" s="178">
        <f t="shared" si="11"/>
        <v>0</v>
      </c>
      <c r="BG20" s="178">
        <f t="shared" si="11"/>
        <v>0</v>
      </c>
      <c r="BH20" s="178">
        <f t="shared" si="11"/>
        <v>0</v>
      </c>
      <c r="BI20" s="178">
        <f t="shared" si="11"/>
        <v>0</v>
      </c>
    </row>
    <row r="21" spans="2:61" ht="12.75" customHeight="1" x14ac:dyDescent="0.2">
      <c r="B21" s="133" t="s">
        <v>187</v>
      </c>
      <c r="C21" s="134"/>
      <c r="D21" s="20"/>
      <c r="E21" s="20"/>
      <c r="F21" s="20"/>
      <c r="G21" s="71" t="str">
        <f t="shared" si="5"/>
        <v>-</v>
      </c>
      <c r="H21" s="190"/>
      <c r="I21" s="171" t="str">
        <f t="shared" si="6"/>
        <v/>
      </c>
      <c r="K21" s="178" t="str">
        <f t="array" ref="K21">IFERROR(INDEX($C$9:$C$59,MATCH(0,COUNTIF($K$8:$K20,$C$9:$C$59),0)),"")</f>
        <v/>
      </c>
      <c r="L21" s="178">
        <f t="shared" si="7"/>
        <v>0</v>
      </c>
      <c r="M21" s="178">
        <f t="shared" si="7"/>
        <v>0</v>
      </c>
      <c r="N21" s="178">
        <f t="shared" si="7"/>
        <v>0</v>
      </c>
      <c r="O21" s="178">
        <f t="shared" si="7"/>
        <v>0</v>
      </c>
      <c r="P21" s="178">
        <f t="shared" si="7"/>
        <v>0</v>
      </c>
      <c r="Q21" s="178">
        <f t="shared" si="7"/>
        <v>0</v>
      </c>
      <c r="R21" s="178">
        <f t="shared" si="7"/>
        <v>0</v>
      </c>
      <c r="S21" s="178">
        <f t="shared" si="7"/>
        <v>0</v>
      </c>
      <c r="T21" s="178">
        <f t="shared" si="7"/>
        <v>0</v>
      </c>
      <c r="U21" s="178">
        <f t="shared" si="7"/>
        <v>0</v>
      </c>
      <c r="V21" s="178">
        <f t="shared" si="8"/>
        <v>0</v>
      </c>
      <c r="W21" s="178">
        <f t="shared" si="8"/>
        <v>0</v>
      </c>
      <c r="X21" s="178">
        <f t="shared" si="8"/>
        <v>0</v>
      </c>
      <c r="Y21" s="178">
        <f t="shared" si="8"/>
        <v>0</v>
      </c>
      <c r="Z21" s="178">
        <f t="shared" si="8"/>
        <v>0</v>
      </c>
      <c r="AA21" s="178">
        <f t="shared" si="8"/>
        <v>0</v>
      </c>
      <c r="AB21" s="178">
        <f t="shared" si="8"/>
        <v>0</v>
      </c>
      <c r="AC21" s="178">
        <f t="shared" si="8"/>
        <v>0</v>
      </c>
      <c r="AD21" s="178">
        <f t="shared" si="8"/>
        <v>0</v>
      </c>
      <c r="AE21" s="178">
        <f t="shared" si="8"/>
        <v>0</v>
      </c>
      <c r="AF21" s="178">
        <f t="shared" si="9"/>
        <v>0</v>
      </c>
      <c r="AG21" s="178">
        <f t="shared" si="9"/>
        <v>0</v>
      </c>
      <c r="AH21" s="178">
        <f t="shared" si="9"/>
        <v>0</v>
      </c>
      <c r="AI21" s="178">
        <f t="shared" si="9"/>
        <v>0</v>
      </c>
      <c r="AJ21" s="178">
        <f t="shared" si="9"/>
        <v>0</v>
      </c>
      <c r="AK21" s="178">
        <f t="shared" si="9"/>
        <v>0</v>
      </c>
      <c r="AL21" s="178">
        <f t="shared" si="9"/>
        <v>0</v>
      </c>
      <c r="AM21" s="178">
        <f t="shared" si="9"/>
        <v>0</v>
      </c>
      <c r="AN21" s="178">
        <f t="shared" si="9"/>
        <v>0</v>
      </c>
      <c r="AO21" s="178">
        <f t="shared" si="9"/>
        <v>0</v>
      </c>
      <c r="AP21" s="178">
        <f t="shared" si="10"/>
        <v>0</v>
      </c>
      <c r="AQ21" s="178">
        <f t="shared" si="10"/>
        <v>0</v>
      </c>
      <c r="AR21" s="178">
        <f t="shared" si="10"/>
        <v>0</v>
      </c>
      <c r="AS21" s="178">
        <f t="shared" si="10"/>
        <v>0</v>
      </c>
      <c r="AT21" s="178">
        <f t="shared" si="10"/>
        <v>0</v>
      </c>
      <c r="AU21" s="178">
        <f t="shared" si="10"/>
        <v>0</v>
      </c>
      <c r="AV21" s="178">
        <f t="shared" si="10"/>
        <v>0</v>
      </c>
      <c r="AW21" s="178">
        <f t="shared" si="10"/>
        <v>0</v>
      </c>
      <c r="AX21" s="178">
        <f t="shared" si="10"/>
        <v>0</v>
      </c>
      <c r="AY21" s="178">
        <f t="shared" si="10"/>
        <v>0</v>
      </c>
      <c r="AZ21" s="178">
        <f t="shared" si="11"/>
        <v>0</v>
      </c>
      <c r="BA21" s="178">
        <f t="shared" si="11"/>
        <v>0</v>
      </c>
      <c r="BB21" s="178">
        <f t="shared" si="11"/>
        <v>0</v>
      </c>
      <c r="BC21" s="178">
        <f t="shared" si="11"/>
        <v>0</v>
      </c>
      <c r="BD21" s="178">
        <f t="shared" si="11"/>
        <v>0</v>
      </c>
      <c r="BE21" s="178">
        <f t="shared" si="11"/>
        <v>0</v>
      </c>
      <c r="BF21" s="178">
        <f t="shared" si="11"/>
        <v>0</v>
      </c>
      <c r="BG21" s="178">
        <f t="shared" si="11"/>
        <v>0</v>
      </c>
      <c r="BH21" s="178">
        <f t="shared" si="11"/>
        <v>0</v>
      </c>
      <c r="BI21" s="178">
        <f t="shared" si="11"/>
        <v>0</v>
      </c>
    </row>
    <row r="22" spans="2:61" ht="12.75" customHeight="1" x14ac:dyDescent="0.2">
      <c r="B22" s="133" t="s">
        <v>188</v>
      </c>
      <c r="C22" s="134"/>
      <c r="D22" s="20"/>
      <c r="E22" s="20"/>
      <c r="F22" s="20"/>
      <c r="G22" s="71" t="str">
        <f t="shared" si="5"/>
        <v>-</v>
      </c>
      <c r="H22" s="190"/>
      <c r="I22" s="171" t="str">
        <f t="shared" si="6"/>
        <v/>
      </c>
      <c r="K22" s="178" t="str">
        <f t="array" ref="K22">IFERROR(INDEX($C$9:$C$59,MATCH(0,COUNTIF($K$8:$K21,$C$9:$C$59),0)),"")</f>
        <v/>
      </c>
      <c r="L22" s="178">
        <f t="shared" si="7"/>
        <v>0</v>
      </c>
      <c r="M22" s="178">
        <f t="shared" si="7"/>
        <v>0</v>
      </c>
      <c r="N22" s="178">
        <f t="shared" si="7"/>
        <v>0</v>
      </c>
      <c r="O22" s="178">
        <f t="shared" si="7"/>
        <v>0</v>
      </c>
      <c r="P22" s="178">
        <f t="shared" si="7"/>
        <v>0</v>
      </c>
      <c r="Q22" s="178">
        <f t="shared" si="7"/>
        <v>0</v>
      </c>
      <c r="R22" s="178">
        <f t="shared" si="7"/>
        <v>0</v>
      </c>
      <c r="S22" s="178">
        <f t="shared" si="7"/>
        <v>0</v>
      </c>
      <c r="T22" s="178">
        <f t="shared" si="7"/>
        <v>0</v>
      </c>
      <c r="U22" s="178">
        <f t="shared" si="7"/>
        <v>0</v>
      </c>
      <c r="V22" s="178">
        <f t="shared" si="8"/>
        <v>0</v>
      </c>
      <c r="W22" s="178">
        <f t="shared" si="8"/>
        <v>0</v>
      </c>
      <c r="X22" s="178">
        <f t="shared" si="8"/>
        <v>0</v>
      </c>
      <c r="Y22" s="178">
        <f t="shared" si="8"/>
        <v>0</v>
      </c>
      <c r="Z22" s="178">
        <f t="shared" si="8"/>
        <v>0</v>
      </c>
      <c r="AA22" s="178">
        <f t="shared" si="8"/>
        <v>0</v>
      </c>
      <c r="AB22" s="178">
        <f t="shared" si="8"/>
        <v>0</v>
      </c>
      <c r="AC22" s="178">
        <f t="shared" si="8"/>
        <v>0</v>
      </c>
      <c r="AD22" s="178">
        <f t="shared" si="8"/>
        <v>0</v>
      </c>
      <c r="AE22" s="178">
        <f t="shared" si="8"/>
        <v>0</v>
      </c>
      <c r="AF22" s="178">
        <f t="shared" si="9"/>
        <v>0</v>
      </c>
      <c r="AG22" s="178">
        <f t="shared" si="9"/>
        <v>0</v>
      </c>
      <c r="AH22" s="178">
        <f t="shared" si="9"/>
        <v>0</v>
      </c>
      <c r="AI22" s="178">
        <f t="shared" si="9"/>
        <v>0</v>
      </c>
      <c r="AJ22" s="178">
        <f t="shared" si="9"/>
        <v>0</v>
      </c>
      <c r="AK22" s="178">
        <f t="shared" si="9"/>
        <v>0</v>
      </c>
      <c r="AL22" s="178">
        <f t="shared" si="9"/>
        <v>0</v>
      </c>
      <c r="AM22" s="178">
        <f t="shared" si="9"/>
        <v>0</v>
      </c>
      <c r="AN22" s="178">
        <f t="shared" si="9"/>
        <v>0</v>
      </c>
      <c r="AO22" s="178">
        <f t="shared" si="9"/>
        <v>0</v>
      </c>
      <c r="AP22" s="178">
        <f t="shared" si="10"/>
        <v>0</v>
      </c>
      <c r="AQ22" s="178">
        <f t="shared" si="10"/>
        <v>0</v>
      </c>
      <c r="AR22" s="178">
        <f t="shared" si="10"/>
        <v>0</v>
      </c>
      <c r="AS22" s="178">
        <f t="shared" si="10"/>
        <v>0</v>
      </c>
      <c r="AT22" s="178">
        <f t="shared" si="10"/>
        <v>0</v>
      </c>
      <c r="AU22" s="178">
        <f t="shared" si="10"/>
        <v>0</v>
      </c>
      <c r="AV22" s="178">
        <f t="shared" si="10"/>
        <v>0</v>
      </c>
      <c r="AW22" s="178">
        <f t="shared" si="10"/>
        <v>0</v>
      </c>
      <c r="AX22" s="178">
        <f t="shared" si="10"/>
        <v>0</v>
      </c>
      <c r="AY22" s="178">
        <f t="shared" si="10"/>
        <v>0</v>
      </c>
      <c r="AZ22" s="178">
        <f t="shared" si="11"/>
        <v>0</v>
      </c>
      <c r="BA22" s="178">
        <f t="shared" si="11"/>
        <v>0</v>
      </c>
      <c r="BB22" s="178">
        <f t="shared" si="11"/>
        <v>0</v>
      </c>
      <c r="BC22" s="178">
        <f t="shared" si="11"/>
        <v>0</v>
      </c>
      <c r="BD22" s="178">
        <f t="shared" si="11"/>
        <v>0</v>
      </c>
      <c r="BE22" s="178">
        <f t="shared" si="11"/>
        <v>0</v>
      </c>
      <c r="BF22" s="178">
        <f t="shared" si="11"/>
        <v>0</v>
      </c>
      <c r="BG22" s="178">
        <f t="shared" si="11"/>
        <v>0</v>
      </c>
      <c r="BH22" s="178">
        <f t="shared" si="11"/>
        <v>0</v>
      </c>
      <c r="BI22" s="178">
        <f t="shared" si="11"/>
        <v>0</v>
      </c>
    </row>
    <row r="23" spans="2:61" ht="12.75" customHeight="1" x14ac:dyDescent="0.2">
      <c r="B23" s="133" t="s">
        <v>189</v>
      </c>
      <c r="C23" s="134"/>
      <c r="D23" s="20"/>
      <c r="E23" s="20"/>
      <c r="F23" s="20"/>
      <c r="G23" s="71" t="str">
        <f t="shared" si="5"/>
        <v>-</v>
      </c>
      <c r="H23" s="190"/>
      <c r="I23" s="171" t="str">
        <f t="shared" si="6"/>
        <v/>
      </c>
      <c r="K23" s="178" t="str">
        <f t="array" ref="K23">IFERROR(INDEX($C$9:$C$59,MATCH(0,COUNTIF($K$8:$K22,$C$9:$C$59),0)),"")</f>
        <v/>
      </c>
      <c r="L23" s="178">
        <f t="shared" si="7"/>
        <v>0</v>
      </c>
      <c r="M23" s="178">
        <f t="shared" si="7"/>
        <v>0</v>
      </c>
      <c r="N23" s="178">
        <f t="shared" si="7"/>
        <v>0</v>
      </c>
      <c r="O23" s="178">
        <f t="shared" si="7"/>
        <v>0</v>
      </c>
      <c r="P23" s="178">
        <f t="shared" si="7"/>
        <v>0</v>
      </c>
      <c r="Q23" s="178">
        <f t="shared" si="7"/>
        <v>0</v>
      </c>
      <c r="R23" s="178">
        <f t="shared" si="7"/>
        <v>0</v>
      </c>
      <c r="S23" s="178">
        <f t="shared" si="7"/>
        <v>0</v>
      </c>
      <c r="T23" s="178">
        <f t="shared" si="7"/>
        <v>0</v>
      </c>
      <c r="U23" s="178">
        <f t="shared" si="7"/>
        <v>0</v>
      </c>
      <c r="V23" s="178">
        <f t="shared" si="8"/>
        <v>0</v>
      </c>
      <c r="W23" s="178">
        <f t="shared" si="8"/>
        <v>0</v>
      </c>
      <c r="X23" s="178">
        <f t="shared" si="8"/>
        <v>0</v>
      </c>
      <c r="Y23" s="178">
        <f t="shared" si="8"/>
        <v>0</v>
      </c>
      <c r="Z23" s="178">
        <f t="shared" si="8"/>
        <v>0</v>
      </c>
      <c r="AA23" s="178">
        <f t="shared" si="8"/>
        <v>0</v>
      </c>
      <c r="AB23" s="178">
        <f t="shared" si="8"/>
        <v>0</v>
      </c>
      <c r="AC23" s="178">
        <f t="shared" si="8"/>
        <v>0</v>
      </c>
      <c r="AD23" s="178">
        <f t="shared" si="8"/>
        <v>0</v>
      </c>
      <c r="AE23" s="178">
        <f t="shared" si="8"/>
        <v>0</v>
      </c>
      <c r="AF23" s="178">
        <f t="shared" si="9"/>
        <v>0</v>
      </c>
      <c r="AG23" s="178">
        <f t="shared" si="9"/>
        <v>0</v>
      </c>
      <c r="AH23" s="178">
        <f t="shared" si="9"/>
        <v>0</v>
      </c>
      <c r="AI23" s="178">
        <f t="shared" si="9"/>
        <v>0</v>
      </c>
      <c r="AJ23" s="178">
        <f t="shared" si="9"/>
        <v>0</v>
      </c>
      <c r="AK23" s="178">
        <f t="shared" si="9"/>
        <v>0</v>
      </c>
      <c r="AL23" s="178">
        <f t="shared" si="9"/>
        <v>0</v>
      </c>
      <c r="AM23" s="178">
        <f t="shared" si="9"/>
        <v>0</v>
      </c>
      <c r="AN23" s="178">
        <f t="shared" si="9"/>
        <v>0</v>
      </c>
      <c r="AO23" s="178">
        <f t="shared" si="9"/>
        <v>0</v>
      </c>
      <c r="AP23" s="178">
        <f t="shared" si="10"/>
        <v>0</v>
      </c>
      <c r="AQ23" s="178">
        <f t="shared" si="10"/>
        <v>0</v>
      </c>
      <c r="AR23" s="178">
        <f t="shared" si="10"/>
        <v>0</v>
      </c>
      <c r="AS23" s="178">
        <f t="shared" si="10"/>
        <v>0</v>
      </c>
      <c r="AT23" s="178">
        <f t="shared" si="10"/>
        <v>0</v>
      </c>
      <c r="AU23" s="178">
        <f t="shared" si="10"/>
        <v>0</v>
      </c>
      <c r="AV23" s="178">
        <f t="shared" si="10"/>
        <v>0</v>
      </c>
      <c r="AW23" s="178">
        <f t="shared" si="10"/>
        <v>0</v>
      </c>
      <c r="AX23" s="178">
        <f t="shared" si="10"/>
        <v>0</v>
      </c>
      <c r="AY23" s="178">
        <f t="shared" si="10"/>
        <v>0</v>
      </c>
      <c r="AZ23" s="178">
        <f t="shared" si="11"/>
        <v>0</v>
      </c>
      <c r="BA23" s="178">
        <f t="shared" si="11"/>
        <v>0</v>
      </c>
      <c r="BB23" s="178">
        <f t="shared" si="11"/>
        <v>0</v>
      </c>
      <c r="BC23" s="178">
        <f t="shared" si="11"/>
        <v>0</v>
      </c>
      <c r="BD23" s="178">
        <f t="shared" si="11"/>
        <v>0</v>
      </c>
      <c r="BE23" s="178">
        <f t="shared" si="11"/>
        <v>0</v>
      </c>
      <c r="BF23" s="178">
        <f t="shared" si="11"/>
        <v>0</v>
      </c>
      <c r="BG23" s="178">
        <f t="shared" si="11"/>
        <v>0</v>
      </c>
      <c r="BH23" s="178">
        <f t="shared" si="11"/>
        <v>0</v>
      </c>
      <c r="BI23" s="178">
        <f t="shared" si="11"/>
        <v>0</v>
      </c>
    </row>
    <row r="24" spans="2:61" ht="12.75" customHeight="1" x14ac:dyDescent="0.2">
      <c r="B24" s="133" t="s">
        <v>190</v>
      </c>
      <c r="C24" s="134"/>
      <c r="D24" s="20"/>
      <c r="E24" s="20"/>
      <c r="F24" s="20"/>
      <c r="G24" s="71" t="str">
        <f t="shared" si="5"/>
        <v>-</v>
      </c>
      <c r="H24" s="190"/>
      <c r="I24" s="171" t="str">
        <f t="shared" si="6"/>
        <v/>
      </c>
      <c r="K24" s="178" t="str">
        <f t="array" ref="K24">IFERROR(INDEX($C$9:$C$59,MATCH(0,COUNTIF($K$8:$K23,$C$9:$C$59),0)),"")</f>
        <v/>
      </c>
      <c r="L24" s="178">
        <f t="shared" si="7"/>
        <v>0</v>
      </c>
      <c r="M24" s="178">
        <f t="shared" si="7"/>
        <v>0</v>
      </c>
      <c r="N24" s="178">
        <f t="shared" si="7"/>
        <v>0</v>
      </c>
      <c r="O24" s="178">
        <f t="shared" si="7"/>
        <v>0</v>
      </c>
      <c r="P24" s="178">
        <f t="shared" si="7"/>
        <v>0</v>
      </c>
      <c r="Q24" s="178">
        <f t="shared" si="7"/>
        <v>0</v>
      </c>
      <c r="R24" s="178">
        <f t="shared" si="7"/>
        <v>0</v>
      </c>
      <c r="S24" s="178">
        <f t="shared" si="7"/>
        <v>0</v>
      </c>
      <c r="T24" s="178">
        <f t="shared" si="7"/>
        <v>0</v>
      </c>
      <c r="U24" s="178">
        <f t="shared" si="7"/>
        <v>0</v>
      </c>
      <c r="V24" s="178">
        <f t="shared" si="8"/>
        <v>0</v>
      </c>
      <c r="W24" s="178">
        <f t="shared" si="8"/>
        <v>0</v>
      </c>
      <c r="X24" s="178">
        <f t="shared" si="8"/>
        <v>0</v>
      </c>
      <c r="Y24" s="178">
        <f t="shared" si="8"/>
        <v>0</v>
      </c>
      <c r="Z24" s="178">
        <f t="shared" si="8"/>
        <v>0</v>
      </c>
      <c r="AA24" s="178">
        <f t="shared" si="8"/>
        <v>0</v>
      </c>
      <c r="AB24" s="178">
        <f t="shared" si="8"/>
        <v>0</v>
      </c>
      <c r="AC24" s="178">
        <f t="shared" si="8"/>
        <v>0</v>
      </c>
      <c r="AD24" s="178">
        <f t="shared" si="8"/>
        <v>0</v>
      </c>
      <c r="AE24" s="178">
        <f t="shared" si="8"/>
        <v>0</v>
      </c>
      <c r="AF24" s="178">
        <f t="shared" si="9"/>
        <v>0</v>
      </c>
      <c r="AG24" s="178">
        <f t="shared" si="9"/>
        <v>0</v>
      </c>
      <c r="AH24" s="178">
        <f t="shared" si="9"/>
        <v>0</v>
      </c>
      <c r="AI24" s="178">
        <f t="shared" si="9"/>
        <v>0</v>
      </c>
      <c r="AJ24" s="178">
        <f t="shared" si="9"/>
        <v>0</v>
      </c>
      <c r="AK24" s="178">
        <f t="shared" si="9"/>
        <v>0</v>
      </c>
      <c r="AL24" s="178">
        <f t="shared" si="9"/>
        <v>0</v>
      </c>
      <c r="AM24" s="178">
        <f t="shared" si="9"/>
        <v>0</v>
      </c>
      <c r="AN24" s="178">
        <f t="shared" si="9"/>
        <v>0</v>
      </c>
      <c r="AO24" s="178">
        <f t="shared" si="9"/>
        <v>0</v>
      </c>
      <c r="AP24" s="178">
        <f t="shared" si="10"/>
        <v>0</v>
      </c>
      <c r="AQ24" s="178">
        <f t="shared" si="10"/>
        <v>0</v>
      </c>
      <c r="AR24" s="178">
        <f t="shared" si="10"/>
        <v>0</v>
      </c>
      <c r="AS24" s="178">
        <f t="shared" si="10"/>
        <v>0</v>
      </c>
      <c r="AT24" s="178">
        <f t="shared" si="10"/>
        <v>0</v>
      </c>
      <c r="AU24" s="178">
        <f t="shared" si="10"/>
        <v>0</v>
      </c>
      <c r="AV24" s="178">
        <f t="shared" si="10"/>
        <v>0</v>
      </c>
      <c r="AW24" s="178">
        <f t="shared" si="10"/>
        <v>0</v>
      </c>
      <c r="AX24" s="178">
        <f t="shared" si="10"/>
        <v>0</v>
      </c>
      <c r="AY24" s="178">
        <f t="shared" si="10"/>
        <v>0</v>
      </c>
      <c r="AZ24" s="178">
        <f t="shared" si="11"/>
        <v>0</v>
      </c>
      <c r="BA24" s="178">
        <f t="shared" si="11"/>
        <v>0</v>
      </c>
      <c r="BB24" s="178">
        <f t="shared" si="11"/>
        <v>0</v>
      </c>
      <c r="BC24" s="178">
        <f t="shared" si="11"/>
        <v>0</v>
      </c>
      <c r="BD24" s="178">
        <f t="shared" si="11"/>
        <v>0</v>
      </c>
      <c r="BE24" s="178">
        <f t="shared" si="11"/>
        <v>0</v>
      </c>
      <c r="BF24" s="178">
        <f t="shared" si="11"/>
        <v>0</v>
      </c>
      <c r="BG24" s="178">
        <f t="shared" si="11"/>
        <v>0</v>
      </c>
      <c r="BH24" s="178">
        <f t="shared" si="11"/>
        <v>0</v>
      </c>
      <c r="BI24" s="178">
        <f t="shared" si="11"/>
        <v>0</v>
      </c>
    </row>
    <row r="25" spans="2:61" ht="12.75" customHeight="1" x14ac:dyDescent="0.2">
      <c r="B25" s="133" t="s">
        <v>191</v>
      </c>
      <c r="C25" s="134"/>
      <c r="D25" s="20"/>
      <c r="E25" s="20"/>
      <c r="F25" s="20"/>
      <c r="G25" s="71" t="str">
        <f t="shared" si="5"/>
        <v>-</v>
      </c>
      <c r="H25" s="190"/>
      <c r="I25" s="171" t="str">
        <f t="shared" si="6"/>
        <v/>
      </c>
      <c r="K25" s="178" t="str">
        <f t="array" ref="K25">IFERROR(INDEX($C$9:$C$59,MATCH(0,COUNTIF($K$8:$K24,$C$9:$C$59),0)),"")</f>
        <v/>
      </c>
      <c r="L25" s="178">
        <f t="shared" si="7"/>
        <v>0</v>
      </c>
      <c r="M25" s="178">
        <f t="shared" si="7"/>
        <v>0</v>
      </c>
      <c r="N25" s="178">
        <f t="shared" si="7"/>
        <v>0</v>
      </c>
      <c r="O25" s="178">
        <f t="shared" si="7"/>
        <v>0</v>
      </c>
      <c r="P25" s="178">
        <f t="shared" si="7"/>
        <v>0</v>
      </c>
      <c r="Q25" s="178">
        <f t="shared" si="7"/>
        <v>0</v>
      </c>
      <c r="R25" s="178">
        <f t="shared" si="7"/>
        <v>0</v>
      </c>
      <c r="S25" s="178">
        <f t="shared" si="7"/>
        <v>0</v>
      </c>
      <c r="T25" s="178">
        <f t="shared" si="7"/>
        <v>0</v>
      </c>
      <c r="U25" s="178">
        <f t="shared" si="7"/>
        <v>0</v>
      </c>
      <c r="V25" s="178">
        <f t="shared" si="8"/>
        <v>0</v>
      </c>
      <c r="W25" s="178">
        <f t="shared" si="8"/>
        <v>0</v>
      </c>
      <c r="X25" s="178">
        <f t="shared" si="8"/>
        <v>0</v>
      </c>
      <c r="Y25" s="178">
        <f t="shared" si="8"/>
        <v>0</v>
      </c>
      <c r="Z25" s="178">
        <f t="shared" si="8"/>
        <v>0</v>
      </c>
      <c r="AA25" s="178">
        <f t="shared" si="8"/>
        <v>0</v>
      </c>
      <c r="AB25" s="178">
        <f t="shared" si="8"/>
        <v>0</v>
      </c>
      <c r="AC25" s="178">
        <f t="shared" si="8"/>
        <v>0</v>
      </c>
      <c r="AD25" s="178">
        <f t="shared" si="8"/>
        <v>0</v>
      </c>
      <c r="AE25" s="178">
        <f t="shared" si="8"/>
        <v>0</v>
      </c>
      <c r="AF25" s="178">
        <f t="shared" si="9"/>
        <v>0</v>
      </c>
      <c r="AG25" s="178">
        <f t="shared" si="9"/>
        <v>0</v>
      </c>
      <c r="AH25" s="178">
        <f t="shared" si="9"/>
        <v>0</v>
      </c>
      <c r="AI25" s="178">
        <f t="shared" si="9"/>
        <v>0</v>
      </c>
      <c r="AJ25" s="178">
        <f t="shared" si="9"/>
        <v>0</v>
      </c>
      <c r="AK25" s="178">
        <f t="shared" si="9"/>
        <v>0</v>
      </c>
      <c r="AL25" s="178">
        <f t="shared" si="9"/>
        <v>0</v>
      </c>
      <c r="AM25" s="178">
        <f t="shared" si="9"/>
        <v>0</v>
      </c>
      <c r="AN25" s="178">
        <f t="shared" si="9"/>
        <v>0</v>
      </c>
      <c r="AO25" s="178">
        <f t="shared" si="9"/>
        <v>0</v>
      </c>
      <c r="AP25" s="178">
        <f t="shared" si="10"/>
        <v>0</v>
      </c>
      <c r="AQ25" s="178">
        <f t="shared" si="10"/>
        <v>0</v>
      </c>
      <c r="AR25" s="178">
        <f t="shared" si="10"/>
        <v>0</v>
      </c>
      <c r="AS25" s="178">
        <f t="shared" si="10"/>
        <v>0</v>
      </c>
      <c r="AT25" s="178">
        <f t="shared" si="10"/>
        <v>0</v>
      </c>
      <c r="AU25" s="178">
        <f t="shared" si="10"/>
        <v>0</v>
      </c>
      <c r="AV25" s="178">
        <f t="shared" si="10"/>
        <v>0</v>
      </c>
      <c r="AW25" s="178">
        <f t="shared" si="10"/>
        <v>0</v>
      </c>
      <c r="AX25" s="178">
        <f t="shared" si="10"/>
        <v>0</v>
      </c>
      <c r="AY25" s="178">
        <f t="shared" si="10"/>
        <v>0</v>
      </c>
      <c r="AZ25" s="178">
        <f t="shared" si="11"/>
        <v>0</v>
      </c>
      <c r="BA25" s="178">
        <f t="shared" si="11"/>
        <v>0</v>
      </c>
      <c r="BB25" s="178">
        <f t="shared" si="11"/>
        <v>0</v>
      </c>
      <c r="BC25" s="178">
        <f t="shared" si="11"/>
        <v>0</v>
      </c>
      <c r="BD25" s="178">
        <f t="shared" si="11"/>
        <v>0</v>
      </c>
      <c r="BE25" s="178">
        <f t="shared" si="11"/>
        <v>0</v>
      </c>
      <c r="BF25" s="178">
        <f t="shared" si="11"/>
        <v>0</v>
      </c>
      <c r="BG25" s="178">
        <f t="shared" si="11"/>
        <v>0</v>
      </c>
      <c r="BH25" s="178">
        <f t="shared" si="11"/>
        <v>0</v>
      </c>
      <c r="BI25" s="178">
        <f t="shared" si="11"/>
        <v>0</v>
      </c>
    </row>
    <row r="26" spans="2:61" ht="12.75" customHeight="1" x14ac:dyDescent="0.2">
      <c r="B26" s="133" t="s">
        <v>192</v>
      </c>
      <c r="C26" s="134"/>
      <c r="D26" s="20"/>
      <c r="E26" s="20"/>
      <c r="F26" s="20"/>
      <c r="G26" s="71" t="str">
        <f t="shared" si="5"/>
        <v>-</v>
      </c>
      <c r="H26" s="190"/>
      <c r="I26" s="171" t="str">
        <f t="shared" si="6"/>
        <v/>
      </c>
      <c r="K26" s="178" t="str">
        <f t="array" ref="K26">IFERROR(INDEX($C$9:$C$59,MATCH(0,COUNTIF($K$8:$K25,$C$9:$C$59),0)),"")</f>
        <v/>
      </c>
      <c r="L26" s="178">
        <f t="shared" si="7"/>
        <v>0</v>
      </c>
      <c r="M26" s="178">
        <f t="shared" si="7"/>
        <v>0</v>
      </c>
      <c r="N26" s="178">
        <f t="shared" si="7"/>
        <v>0</v>
      </c>
      <c r="O26" s="178">
        <f t="shared" si="7"/>
        <v>0</v>
      </c>
      <c r="P26" s="178">
        <f t="shared" si="7"/>
        <v>0</v>
      </c>
      <c r="Q26" s="178">
        <f t="shared" si="7"/>
        <v>0</v>
      </c>
      <c r="R26" s="178">
        <f t="shared" si="7"/>
        <v>0</v>
      </c>
      <c r="S26" s="178">
        <f t="shared" si="7"/>
        <v>0</v>
      </c>
      <c r="T26" s="178">
        <f t="shared" si="7"/>
        <v>0</v>
      </c>
      <c r="U26" s="178">
        <f t="shared" si="7"/>
        <v>0</v>
      </c>
      <c r="V26" s="178">
        <f t="shared" si="8"/>
        <v>0</v>
      </c>
      <c r="W26" s="178">
        <f t="shared" si="8"/>
        <v>0</v>
      </c>
      <c r="X26" s="178">
        <f t="shared" si="8"/>
        <v>0</v>
      </c>
      <c r="Y26" s="178">
        <f t="shared" si="8"/>
        <v>0</v>
      </c>
      <c r="Z26" s="178">
        <f t="shared" si="8"/>
        <v>0</v>
      </c>
      <c r="AA26" s="178">
        <f t="shared" si="8"/>
        <v>0</v>
      </c>
      <c r="AB26" s="178">
        <f t="shared" si="8"/>
        <v>0</v>
      </c>
      <c r="AC26" s="178">
        <f t="shared" si="8"/>
        <v>0</v>
      </c>
      <c r="AD26" s="178">
        <f t="shared" si="8"/>
        <v>0</v>
      </c>
      <c r="AE26" s="178">
        <f t="shared" si="8"/>
        <v>0</v>
      </c>
      <c r="AF26" s="178">
        <f t="shared" si="9"/>
        <v>0</v>
      </c>
      <c r="AG26" s="178">
        <f t="shared" si="9"/>
        <v>0</v>
      </c>
      <c r="AH26" s="178">
        <f t="shared" si="9"/>
        <v>0</v>
      </c>
      <c r="AI26" s="178">
        <f t="shared" si="9"/>
        <v>0</v>
      </c>
      <c r="AJ26" s="178">
        <f t="shared" si="9"/>
        <v>0</v>
      </c>
      <c r="AK26" s="178">
        <f t="shared" si="9"/>
        <v>0</v>
      </c>
      <c r="AL26" s="178">
        <f t="shared" si="9"/>
        <v>0</v>
      </c>
      <c r="AM26" s="178">
        <f t="shared" si="9"/>
        <v>0</v>
      </c>
      <c r="AN26" s="178">
        <f t="shared" si="9"/>
        <v>0</v>
      </c>
      <c r="AO26" s="178">
        <f t="shared" si="9"/>
        <v>0</v>
      </c>
      <c r="AP26" s="178">
        <f t="shared" si="10"/>
        <v>0</v>
      </c>
      <c r="AQ26" s="178">
        <f t="shared" si="10"/>
        <v>0</v>
      </c>
      <c r="AR26" s="178">
        <f t="shared" si="10"/>
        <v>0</v>
      </c>
      <c r="AS26" s="178">
        <f t="shared" si="10"/>
        <v>0</v>
      </c>
      <c r="AT26" s="178">
        <f t="shared" si="10"/>
        <v>0</v>
      </c>
      <c r="AU26" s="178">
        <f t="shared" si="10"/>
        <v>0</v>
      </c>
      <c r="AV26" s="178">
        <f t="shared" si="10"/>
        <v>0</v>
      </c>
      <c r="AW26" s="178">
        <f t="shared" si="10"/>
        <v>0</v>
      </c>
      <c r="AX26" s="178">
        <f t="shared" si="10"/>
        <v>0</v>
      </c>
      <c r="AY26" s="178">
        <f t="shared" si="10"/>
        <v>0</v>
      </c>
      <c r="AZ26" s="178">
        <f t="shared" si="11"/>
        <v>0</v>
      </c>
      <c r="BA26" s="178">
        <f t="shared" si="11"/>
        <v>0</v>
      </c>
      <c r="BB26" s="178">
        <f t="shared" si="11"/>
        <v>0</v>
      </c>
      <c r="BC26" s="178">
        <f t="shared" si="11"/>
        <v>0</v>
      </c>
      <c r="BD26" s="178">
        <f t="shared" si="11"/>
        <v>0</v>
      </c>
      <c r="BE26" s="178">
        <f t="shared" si="11"/>
        <v>0</v>
      </c>
      <c r="BF26" s="178">
        <f t="shared" si="11"/>
        <v>0</v>
      </c>
      <c r="BG26" s="178">
        <f t="shared" si="11"/>
        <v>0</v>
      </c>
      <c r="BH26" s="178">
        <f t="shared" si="11"/>
        <v>0</v>
      </c>
      <c r="BI26" s="178">
        <f t="shared" si="11"/>
        <v>0</v>
      </c>
    </row>
    <row r="27" spans="2:61" ht="12.75" customHeight="1" x14ac:dyDescent="0.2">
      <c r="B27" s="133" t="s">
        <v>193</v>
      </c>
      <c r="C27" s="134"/>
      <c r="D27" s="20"/>
      <c r="E27" s="20"/>
      <c r="F27" s="20"/>
      <c r="G27" s="71" t="str">
        <f t="shared" si="5"/>
        <v>-</v>
      </c>
      <c r="H27" s="190"/>
      <c r="I27" s="171" t="str">
        <f t="shared" si="6"/>
        <v/>
      </c>
      <c r="K27" s="178" t="str">
        <f t="array" ref="K27">IFERROR(INDEX($C$9:$C$59,MATCH(0,COUNTIF($K$8:$K26,$C$9:$C$59),0)),"")</f>
        <v/>
      </c>
      <c r="L27" s="178">
        <f t="shared" si="7"/>
        <v>0</v>
      </c>
      <c r="M27" s="178">
        <f t="shared" si="7"/>
        <v>0</v>
      </c>
      <c r="N27" s="178">
        <f t="shared" si="7"/>
        <v>0</v>
      </c>
      <c r="O27" s="178">
        <f t="shared" si="7"/>
        <v>0</v>
      </c>
      <c r="P27" s="178">
        <f t="shared" si="7"/>
        <v>0</v>
      </c>
      <c r="Q27" s="178">
        <f t="shared" si="7"/>
        <v>0</v>
      </c>
      <c r="R27" s="178">
        <f t="shared" si="7"/>
        <v>0</v>
      </c>
      <c r="S27" s="178">
        <f t="shared" si="7"/>
        <v>0</v>
      </c>
      <c r="T27" s="178">
        <f t="shared" si="7"/>
        <v>0</v>
      </c>
      <c r="U27" s="178">
        <f t="shared" si="7"/>
        <v>0</v>
      </c>
      <c r="V27" s="178">
        <f t="shared" si="8"/>
        <v>0</v>
      </c>
      <c r="W27" s="178">
        <f t="shared" si="8"/>
        <v>0</v>
      </c>
      <c r="X27" s="178">
        <f t="shared" si="8"/>
        <v>0</v>
      </c>
      <c r="Y27" s="178">
        <f t="shared" si="8"/>
        <v>0</v>
      </c>
      <c r="Z27" s="178">
        <f t="shared" si="8"/>
        <v>0</v>
      </c>
      <c r="AA27" s="178">
        <f t="shared" si="8"/>
        <v>0</v>
      </c>
      <c r="AB27" s="178">
        <f t="shared" si="8"/>
        <v>0</v>
      </c>
      <c r="AC27" s="178">
        <f t="shared" si="8"/>
        <v>0</v>
      </c>
      <c r="AD27" s="178">
        <f t="shared" si="8"/>
        <v>0</v>
      </c>
      <c r="AE27" s="178">
        <f t="shared" si="8"/>
        <v>0</v>
      </c>
      <c r="AF27" s="178">
        <f t="shared" si="9"/>
        <v>0</v>
      </c>
      <c r="AG27" s="178">
        <f t="shared" si="9"/>
        <v>0</v>
      </c>
      <c r="AH27" s="178">
        <f t="shared" si="9"/>
        <v>0</v>
      </c>
      <c r="AI27" s="178">
        <f t="shared" si="9"/>
        <v>0</v>
      </c>
      <c r="AJ27" s="178">
        <f t="shared" si="9"/>
        <v>0</v>
      </c>
      <c r="AK27" s="178">
        <f t="shared" si="9"/>
        <v>0</v>
      </c>
      <c r="AL27" s="178">
        <f t="shared" si="9"/>
        <v>0</v>
      </c>
      <c r="AM27" s="178">
        <f t="shared" si="9"/>
        <v>0</v>
      </c>
      <c r="AN27" s="178">
        <f t="shared" si="9"/>
        <v>0</v>
      </c>
      <c r="AO27" s="178">
        <f t="shared" si="9"/>
        <v>0</v>
      </c>
      <c r="AP27" s="178">
        <f t="shared" si="10"/>
        <v>0</v>
      </c>
      <c r="AQ27" s="178">
        <f t="shared" si="10"/>
        <v>0</v>
      </c>
      <c r="AR27" s="178">
        <f t="shared" si="10"/>
        <v>0</v>
      </c>
      <c r="AS27" s="178">
        <f t="shared" si="10"/>
        <v>0</v>
      </c>
      <c r="AT27" s="178">
        <f t="shared" si="10"/>
        <v>0</v>
      </c>
      <c r="AU27" s="178">
        <f t="shared" si="10"/>
        <v>0</v>
      </c>
      <c r="AV27" s="178">
        <f t="shared" si="10"/>
        <v>0</v>
      </c>
      <c r="AW27" s="178">
        <f t="shared" si="10"/>
        <v>0</v>
      </c>
      <c r="AX27" s="178">
        <f t="shared" si="10"/>
        <v>0</v>
      </c>
      <c r="AY27" s="178">
        <f t="shared" si="10"/>
        <v>0</v>
      </c>
      <c r="AZ27" s="178">
        <f t="shared" si="11"/>
        <v>0</v>
      </c>
      <c r="BA27" s="178">
        <f t="shared" si="11"/>
        <v>0</v>
      </c>
      <c r="BB27" s="178">
        <f t="shared" si="11"/>
        <v>0</v>
      </c>
      <c r="BC27" s="178">
        <f t="shared" si="11"/>
        <v>0</v>
      </c>
      <c r="BD27" s="178">
        <f t="shared" si="11"/>
        <v>0</v>
      </c>
      <c r="BE27" s="178">
        <f t="shared" si="11"/>
        <v>0</v>
      </c>
      <c r="BF27" s="178">
        <f t="shared" si="11"/>
        <v>0</v>
      </c>
      <c r="BG27" s="178">
        <f t="shared" si="11"/>
        <v>0</v>
      </c>
      <c r="BH27" s="178">
        <f t="shared" si="11"/>
        <v>0</v>
      </c>
      <c r="BI27" s="178">
        <f t="shared" si="11"/>
        <v>0</v>
      </c>
    </row>
    <row r="28" spans="2:61" ht="12.75" customHeight="1" x14ac:dyDescent="0.2">
      <c r="B28" s="133" t="s">
        <v>194</v>
      </c>
      <c r="C28" s="134"/>
      <c r="D28" s="20"/>
      <c r="E28" s="20"/>
      <c r="F28" s="20"/>
      <c r="G28" s="71" t="str">
        <f t="shared" si="5"/>
        <v>-</v>
      </c>
      <c r="H28" s="190"/>
      <c r="I28" s="171" t="str">
        <f t="shared" si="6"/>
        <v/>
      </c>
      <c r="K28" s="178" t="str">
        <f t="array" ref="K28">IFERROR(INDEX($C$9:$C$59,MATCH(0,COUNTIF($K$8:$K27,$C$9:$C$59),0)),"")</f>
        <v/>
      </c>
      <c r="L28" s="178">
        <f t="shared" si="7"/>
        <v>0</v>
      </c>
      <c r="M28" s="178">
        <f t="shared" si="7"/>
        <v>0</v>
      </c>
      <c r="N28" s="178">
        <f t="shared" si="7"/>
        <v>0</v>
      </c>
      <c r="O28" s="178">
        <f t="shared" si="7"/>
        <v>0</v>
      </c>
      <c r="P28" s="178">
        <f t="shared" si="7"/>
        <v>0</v>
      </c>
      <c r="Q28" s="178">
        <f t="shared" si="7"/>
        <v>0</v>
      </c>
      <c r="R28" s="178">
        <f t="shared" si="7"/>
        <v>0</v>
      </c>
      <c r="S28" s="178">
        <f t="shared" si="7"/>
        <v>0</v>
      </c>
      <c r="T28" s="178">
        <f t="shared" si="7"/>
        <v>0</v>
      </c>
      <c r="U28" s="178">
        <f t="shared" si="7"/>
        <v>0</v>
      </c>
      <c r="V28" s="178">
        <f t="shared" si="8"/>
        <v>0</v>
      </c>
      <c r="W28" s="178">
        <f t="shared" si="8"/>
        <v>0</v>
      </c>
      <c r="X28" s="178">
        <f t="shared" si="8"/>
        <v>0</v>
      </c>
      <c r="Y28" s="178">
        <f t="shared" si="8"/>
        <v>0</v>
      </c>
      <c r="Z28" s="178">
        <f t="shared" si="8"/>
        <v>0</v>
      </c>
      <c r="AA28" s="178">
        <f t="shared" si="8"/>
        <v>0</v>
      </c>
      <c r="AB28" s="178">
        <f t="shared" si="8"/>
        <v>0</v>
      </c>
      <c r="AC28" s="178">
        <f t="shared" si="8"/>
        <v>0</v>
      </c>
      <c r="AD28" s="178">
        <f t="shared" si="8"/>
        <v>0</v>
      </c>
      <c r="AE28" s="178">
        <f t="shared" si="8"/>
        <v>0</v>
      </c>
      <c r="AF28" s="178">
        <f t="shared" si="9"/>
        <v>0</v>
      </c>
      <c r="AG28" s="178">
        <f t="shared" si="9"/>
        <v>0</v>
      </c>
      <c r="AH28" s="178">
        <f t="shared" si="9"/>
        <v>0</v>
      </c>
      <c r="AI28" s="178">
        <f t="shared" si="9"/>
        <v>0</v>
      </c>
      <c r="AJ28" s="178">
        <f t="shared" si="9"/>
        <v>0</v>
      </c>
      <c r="AK28" s="178">
        <f t="shared" si="9"/>
        <v>0</v>
      </c>
      <c r="AL28" s="178">
        <f t="shared" si="9"/>
        <v>0</v>
      </c>
      <c r="AM28" s="178">
        <f t="shared" si="9"/>
        <v>0</v>
      </c>
      <c r="AN28" s="178">
        <f t="shared" si="9"/>
        <v>0</v>
      </c>
      <c r="AO28" s="178">
        <f t="shared" si="9"/>
        <v>0</v>
      </c>
      <c r="AP28" s="178">
        <f t="shared" si="10"/>
        <v>0</v>
      </c>
      <c r="AQ28" s="178">
        <f t="shared" si="10"/>
        <v>0</v>
      </c>
      <c r="AR28" s="178">
        <f t="shared" si="10"/>
        <v>0</v>
      </c>
      <c r="AS28" s="178">
        <f t="shared" si="10"/>
        <v>0</v>
      </c>
      <c r="AT28" s="178">
        <f t="shared" si="10"/>
        <v>0</v>
      </c>
      <c r="AU28" s="178">
        <f t="shared" si="10"/>
        <v>0</v>
      </c>
      <c r="AV28" s="178">
        <f t="shared" si="10"/>
        <v>0</v>
      </c>
      <c r="AW28" s="178">
        <f t="shared" si="10"/>
        <v>0</v>
      </c>
      <c r="AX28" s="178">
        <f t="shared" si="10"/>
        <v>0</v>
      </c>
      <c r="AY28" s="178">
        <f t="shared" si="10"/>
        <v>0</v>
      </c>
      <c r="AZ28" s="178">
        <f t="shared" si="11"/>
        <v>0</v>
      </c>
      <c r="BA28" s="178">
        <f t="shared" si="11"/>
        <v>0</v>
      </c>
      <c r="BB28" s="178">
        <f t="shared" si="11"/>
        <v>0</v>
      </c>
      <c r="BC28" s="178">
        <f t="shared" si="11"/>
        <v>0</v>
      </c>
      <c r="BD28" s="178">
        <f t="shared" si="11"/>
        <v>0</v>
      </c>
      <c r="BE28" s="178">
        <f t="shared" si="11"/>
        <v>0</v>
      </c>
      <c r="BF28" s="178">
        <f t="shared" si="11"/>
        <v>0</v>
      </c>
      <c r="BG28" s="178">
        <f t="shared" si="11"/>
        <v>0</v>
      </c>
      <c r="BH28" s="178">
        <f t="shared" si="11"/>
        <v>0</v>
      </c>
      <c r="BI28" s="178">
        <f t="shared" si="11"/>
        <v>0</v>
      </c>
    </row>
    <row r="29" spans="2:61" ht="12.75" customHeight="1" x14ac:dyDescent="0.2">
      <c r="B29" s="133" t="s">
        <v>257</v>
      </c>
      <c r="C29" s="134"/>
      <c r="D29" s="20"/>
      <c r="E29" s="20"/>
      <c r="F29" s="20"/>
      <c r="G29" s="71" t="str">
        <f t="shared" si="5"/>
        <v>-</v>
      </c>
      <c r="H29" s="190"/>
      <c r="I29" s="171" t="str">
        <f t="shared" si="6"/>
        <v/>
      </c>
      <c r="K29" s="178" t="str">
        <f t="array" ref="K29">IFERROR(INDEX($C$9:$C$59,MATCH(0,COUNTIF($K$8:$K28,$C$9:$C$59),0)),"")</f>
        <v/>
      </c>
      <c r="L29" s="178">
        <f t="shared" ref="L29:U38" si="12">IF(AND($K29&lt;&gt;"",L$8&lt;&gt;""),COUNTIFS($C$9:$C$59,$K29,$I$9:$I$59,L$8),0)</f>
        <v>0</v>
      </c>
      <c r="M29" s="178">
        <f t="shared" si="12"/>
        <v>0</v>
      </c>
      <c r="N29" s="178">
        <f t="shared" si="12"/>
        <v>0</v>
      </c>
      <c r="O29" s="178">
        <f t="shared" si="12"/>
        <v>0</v>
      </c>
      <c r="P29" s="178">
        <f t="shared" si="12"/>
        <v>0</v>
      </c>
      <c r="Q29" s="178">
        <f t="shared" si="12"/>
        <v>0</v>
      </c>
      <c r="R29" s="178">
        <f t="shared" si="12"/>
        <v>0</v>
      </c>
      <c r="S29" s="178">
        <f t="shared" si="12"/>
        <v>0</v>
      </c>
      <c r="T29" s="178">
        <f t="shared" si="12"/>
        <v>0</v>
      </c>
      <c r="U29" s="178">
        <f t="shared" si="12"/>
        <v>0</v>
      </c>
      <c r="V29" s="178">
        <f t="shared" ref="V29:AE38" si="13">IF(AND($K29&lt;&gt;"",V$8&lt;&gt;""),COUNTIFS($C$9:$C$59,$K29,$I$9:$I$59,V$8),0)</f>
        <v>0</v>
      </c>
      <c r="W29" s="178">
        <f t="shared" si="13"/>
        <v>0</v>
      </c>
      <c r="X29" s="178">
        <f t="shared" si="13"/>
        <v>0</v>
      </c>
      <c r="Y29" s="178">
        <f t="shared" si="13"/>
        <v>0</v>
      </c>
      <c r="Z29" s="178">
        <f t="shared" si="13"/>
        <v>0</v>
      </c>
      <c r="AA29" s="178">
        <f t="shared" si="13"/>
        <v>0</v>
      </c>
      <c r="AB29" s="178">
        <f t="shared" si="13"/>
        <v>0</v>
      </c>
      <c r="AC29" s="178">
        <f t="shared" si="13"/>
        <v>0</v>
      </c>
      <c r="AD29" s="178">
        <f t="shared" si="13"/>
        <v>0</v>
      </c>
      <c r="AE29" s="178">
        <f t="shared" si="13"/>
        <v>0</v>
      </c>
      <c r="AF29" s="178">
        <f t="shared" ref="AF29:AO38" si="14">IF(AND($K29&lt;&gt;"",AF$8&lt;&gt;""),COUNTIFS($C$9:$C$59,$K29,$I$9:$I$59,AF$8),0)</f>
        <v>0</v>
      </c>
      <c r="AG29" s="178">
        <f t="shared" si="14"/>
        <v>0</v>
      </c>
      <c r="AH29" s="178">
        <f t="shared" si="14"/>
        <v>0</v>
      </c>
      <c r="AI29" s="178">
        <f t="shared" si="14"/>
        <v>0</v>
      </c>
      <c r="AJ29" s="178">
        <f t="shared" si="14"/>
        <v>0</v>
      </c>
      <c r="AK29" s="178">
        <f t="shared" si="14"/>
        <v>0</v>
      </c>
      <c r="AL29" s="178">
        <f t="shared" si="14"/>
        <v>0</v>
      </c>
      <c r="AM29" s="178">
        <f t="shared" si="14"/>
        <v>0</v>
      </c>
      <c r="AN29" s="178">
        <f t="shared" si="14"/>
        <v>0</v>
      </c>
      <c r="AO29" s="178">
        <f t="shared" si="14"/>
        <v>0</v>
      </c>
      <c r="AP29" s="178">
        <f t="shared" ref="AP29:AY38" si="15">IF(AND($K29&lt;&gt;"",AP$8&lt;&gt;""),COUNTIFS($C$9:$C$59,$K29,$I$9:$I$59,AP$8),0)</f>
        <v>0</v>
      </c>
      <c r="AQ29" s="178">
        <f t="shared" si="15"/>
        <v>0</v>
      </c>
      <c r="AR29" s="178">
        <f t="shared" si="15"/>
        <v>0</v>
      </c>
      <c r="AS29" s="178">
        <f t="shared" si="15"/>
        <v>0</v>
      </c>
      <c r="AT29" s="178">
        <f t="shared" si="15"/>
        <v>0</v>
      </c>
      <c r="AU29" s="178">
        <f t="shared" si="15"/>
        <v>0</v>
      </c>
      <c r="AV29" s="178">
        <f t="shared" si="15"/>
        <v>0</v>
      </c>
      <c r="AW29" s="178">
        <f t="shared" si="15"/>
        <v>0</v>
      </c>
      <c r="AX29" s="178">
        <f t="shared" si="15"/>
        <v>0</v>
      </c>
      <c r="AY29" s="178">
        <f t="shared" si="15"/>
        <v>0</v>
      </c>
      <c r="AZ29" s="178">
        <f t="shared" ref="AZ29:BI38" si="16">IF(AND($K29&lt;&gt;"",AZ$8&lt;&gt;""),COUNTIFS($C$9:$C$59,$K29,$I$9:$I$59,AZ$8),0)</f>
        <v>0</v>
      </c>
      <c r="BA29" s="178">
        <f t="shared" si="16"/>
        <v>0</v>
      </c>
      <c r="BB29" s="178">
        <f t="shared" si="16"/>
        <v>0</v>
      </c>
      <c r="BC29" s="178">
        <f t="shared" si="16"/>
        <v>0</v>
      </c>
      <c r="BD29" s="178">
        <f t="shared" si="16"/>
        <v>0</v>
      </c>
      <c r="BE29" s="178">
        <f t="shared" si="16"/>
        <v>0</v>
      </c>
      <c r="BF29" s="178">
        <f t="shared" si="16"/>
        <v>0</v>
      </c>
      <c r="BG29" s="178">
        <f t="shared" si="16"/>
        <v>0</v>
      </c>
      <c r="BH29" s="178">
        <f t="shared" si="16"/>
        <v>0</v>
      </c>
      <c r="BI29" s="178">
        <f t="shared" si="16"/>
        <v>0</v>
      </c>
    </row>
    <row r="30" spans="2:61" ht="12.75" customHeight="1" x14ac:dyDescent="0.2">
      <c r="B30" s="133" t="s">
        <v>258</v>
      </c>
      <c r="C30" s="134"/>
      <c r="D30" s="20"/>
      <c r="E30" s="20"/>
      <c r="F30" s="20"/>
      <c r="G30" s="71" t="str">
        <f t="shared" si="5"/>
        <v>-</v>
      </c>
      <c r="H30" s="190"/>
      <c r="I30" s="171" t="str">
        <f t="shared" si="6"/>
        <v/>
      </c>
      <c r="K30" s="178" t="str">
        <f t="array" ref="K30">IFERROR(INDEX($C$9:$C$59,MATCH(0,COUNTIF($K$8:$K29,$C$9:$C$59),0)),"")</f>
        <v/>
      </c>
      <c r="L30" s="178">
        <f t="shared" si="12"/>
        <v>0</v>
      </c>
      <c r="M30" s="178">
        <f t="shared" si="12"/>
        <v>0</v>
      </c>
      <c r="N30" s="178">
        <f t="shared" si="12"/>
        <v>0</v>
      </c>
      <c r="O30" s="178">
        <f t="shared" si="12"/>
        <v>0</v>
      </c>
      <c r="P30" s="178">
        <f t="shared" si="12"/>
        <v>0</v>
      </c>
      <c r="Q30" s="178">
        <f t="shared" si="12"/>
        <v>0</v>
      </c>
      <c r="R30" s="178">
        <f t="shared" si="12"/>
        <v>0</v>
      </c>
      <c r="S30" s="178">
        <f t="shared" si="12"/>
        <v>0</v>
      </c>
      <c r="T30" s="178">
        <f t="shared" si="12"/>
        <v>0</v>
      </c>
      <c r="U30" s="178">
        <f t="shared" si="12"/>
        <v>0</v>
      </c>
      <c r="V30" s="178">
        <f t="shared" si="13"/>
        <v>0</v>
      </c>
      <c r="W30" s="178">
        <f t="shared" si="13"/>
        <v>0</v>
      </c>
      <c r="X30" s="178">
        <f t="shared" si="13"/>
        <v>0</v>
      </c>
      <c r="Y30" s="178">
        <f t="shared" si="13"/>
        <v>0</v>
      </c>
      <c r="Z30" s="178">
        <f t="shared" si="13"/>
        <v>0</v>
      </c>
      <c r="AA30" s="178">
        <f t="shared" si="13"/>
        <v>0</v>
      </c>
      <c r="AB30" s="178">
        <f t="shared" si="13"/>
        <v>0</v>
      </c>
      <c r="AC30" s="178">
        <f t="shared" si="13"/>
        <v>0</v>
      </c>
      <c r="AD30" s="178">
        <f t="shared" si="13"/>
        <v>0</v>
      </c>
      <c r="AE30" s="178">
        <f t="shared" si="13"/>
        <v>0</v>
      </c>
      <c r="AF30" s="178">
        <f t="shared" si="14"/>
        <v>0</v>
      </c>
      <c r="AG30" s="178">
        <f t="shared" si="14"/>
        <v>0</v>
      </c>
      <c r="AH30" s="178">
        <f t="shared" si="14"/>
        <v>0</v>
      </c>
      <c r="AI30" s="178">
        <f t="shared" si="14"/>
        <v>0</v>
      </c>
      <c r="AJ30" s="178">
        <f t="shared" si="14"/>
        <v>0</v>
      </c>
      <c r="AK30" s="178">
        <f t="shared" si="14"/>
        <v>0</v>
      </c>
      <c r="AL30" s="178">
        <f t="shared" si="14"/>
        <v>0</v>
      </c>
      <c r="AM30" s="178">
        <f t="shared" si="14"/>
        <v>0</v>
      </c>
      <c r="AN30" s="178">
        <f t="shared" si="14"/>
        <v>0</v>
      </c>
      <c r="AO30" s="178">
        <f t="shared" si="14"/>
        <v>0</v>
      </c>
      <c r="AP30" s="178">
        <f t="shared" si="15"/>
        <v>0</v>
      </c>
      <c r="AQ30" s="178">
        <f t="shared" si="15"/>
        <v>0</v>
      </c>
      <c r="AR30" s="178">
        <f t="shared" si="15"/>
        <v>0</v>
      </c>
      <c r="AS30" s="178">
        <f t="shared" si="15"/>
        <v>0</v>
      </c>
      <c r="AT30" s="178">
        <f t="shared" si="15"/>
        <v>0</v>
      </c>
      <c r="AU30" s="178">
        <f t="shared" si="15"/>
        <v>0</v>
      </c>
      <c r="AV30" s="178">
        <f t="shared" si="15"/>
        <v>0</v>
      </c>
      <c r="AW30" s="178">
        <f t="shared" si="15"/>
        <v>0</v>
      </c>
      <c r="AX30" s="178">
        <f t="shared" si="15"/>
        <v>0</v>
      </c>
      <c r="AY30" s="178">
        <f t="shared" si="15"/>
        <v>0</v>
      </c>
      <c r="AZ30" s="178">
        <f t="shared" si="16"/>
        <v>0</v>
      </c>
      <c r="BA30" s="178">
        <f t="shared" si="16"/>
        <v>0</v>
      </c>
      <c r="BB30" s="178">
        <f t="shared" si="16"/>
        <v>0</v>
      </c>
      <c r="BC30" s="178">
        <f t="shared" si="16"/>
        <v>0</v>
      </c>
      <c r="BD30" s="178">
        <f t="shared" si="16"/>
        <v>0</v>
      </c>
      <c r="BE30" s="178">
        <f t="shared" si="16"/>
        <v>0</v>
      </c>
      <c r="BF30" s="178">
        <f t="shared" si="16"/>
        <v>0</v>
      </c>
      <c r="BG30" s="178">
        <f t="shared" si="16"/>
        <v>0</v>
      </c>
      <c r="BH30" s="178">
        <f t="shared" si="16"/>
        <v>0</v>
      </c>
      <c r="BI30" s="178">
        <f t="shared" si="16"/>
        <v>0</v>
      </c>
    </row>
    <row r="31" spans="2:61" ht="12.75" customHeight="1" x14ac:dyDescent="0.2">
      <c r="B31" s="133" t="s">
        <v>259</v>
      </c>
      <c r="C31" s="134"/>
      <c r="D31" s="20"/>
      <c r="E31" s="20"/>
      <c r="F31" s="20"/>
      <c r="G31" s="71" t="str">
        <f t="shared" si="5"/>
        <v>-</v>
      </c>
      <c r="H31" s="190"/>
      <c r="I31" s="171" t="str">
        <f t="shared" si="6"/>
        <v/>
      </c>
      <c r="K31" s="178" t="str">
        <f t="array" ref="K31">IFERROR(INDEX($C$9:$C$59,MATCH(0,COUNTIF($K$8:$K30,$C$9:$C$59),0)),"")</f>
        <v/>
      </c>
      <c r="L31" s="178">
        <f t="shared" si="12"/>
        <v>0</v>
      </c>
      <c r="M31" s="178">
        <f t="shared" si="12"/>
        <v>0</v>
      </c>
      <c r="N31" s="178">
        <f t="shared" si="12"/>
        <v>0</v>
      </c>
      <c r="O31" s="178">
        <f t="shared" si="12"/>
        <v>0</v>
      </c>
      <c r="P31" s="178">
        <f t="shared" si="12"/>
        <v>0</v>
      </c>
      <c r="Q31" s="178">
        <f t="shared" si="12"/>
        <v>0</v>
      </c>
      <c r="R31" s="178">
        <f t="shared" si="12"/>
        <v>0</v>
      </c>
      <c r="S31" s="178">
        <f t="shared" si="12"/>
        <v>0</v>
      </c>
      <c r="T31" s="178">
        <f t="shared" si="12"/>
        <v>0</v>
      </c>
      <c r="U31" s="178">
        <f t="shared" si="12"/>
        <v>0</v>
      </c>
      <c r="V31" s="178">
        <f t="shared" si="13"/>
        <v>0</v>
      </c>
      <c r="W31" s="178">
        <f t="shared" si="13"/>
        <v>0</v>
      </c>
      <c r="X31" s="178">
        <f t="shared" si="13"/>
        <v>0</v>
      </c>
      <c r="Y31" s="178">
        <f t="shared" si="13"/>
        <v>0</v>
      </c>
      <c r="Z31" s="178">
        <f t="shared" si="13"/>
        <v>0</v>
      </c>
      <c r="AA31" s="178">
        <f t="shared" si="13"/>
        <v>0</v>
      </c>
      <c r="AB31" s="178">
        <f t="shared" si="13"/>
        <v>0</v>
      </c>
      <c r="AC31" s="178">
        <f t="shared" si="13"/>
        <v>0</v>
      </c>
      <c r="AD31" s="178">
        <f t="shared" si="13"/>
        <v>0</v>
      </c>
      <c r="AE31" s="178">
        <f t="shared" si="13"/>
        <v>0</v>
      </c>
      <c r="AF31" s="178">
        <f t="shared" si="14"/>
        <v>0</v>
      </c>
      <c r="AG31" s="178">
        <f t="shared" si="14"/>
        <v>0</v>
      </c>
      <c r="AH31" s="178">
        <f t="shared" si="14"/>
        <v>0</v>
      </c>
      <c r="AI31" s="178">
        <f t="shared" si="14"/>
        <v>0</v>
      </c>
      <c r="AJ31" s="178">
        <f t="shared" si="14"/>
        <v>0</v>
      </c>
      <c r="AK31" s="178">
        <f t="shared" si="14"/>
        <v>0</v>
      </c>
      <c r="AL31" s="178">
        <f t="shared" si="14"/>
        <v>0</v>
      </c>
      <c r="AM31" s="178">
        <f t="shared" si="14"/>
        <v>0</v>
      </c>
      <c r="AN31" s="178">
        <f t="shared" si="14"/>
        <v>0</v>
      </c>
      <c r="AO31" s="178">
        <f t="shared" si="14"/>
        <v>0</v>
      </c>
      <c r="AP31" s="178">
        <f t="shared" si="15"/>
        <v>0</v>
      </c>
      <c r="AQ31" s="178">
        <f t="shared" si="15"/>
        <v>0</v>
      </c>
      <c r="AR31" s="178">
        <f t="shared" si="15"/>
        <v>0</v>
      </c>
      <c r="AS31" s="178">
        <f t="shared" si="15"/>
        <v>0</v>
      </c>
      <c r="AT31" s="178">
        <f t="shared" si="15"/>
        <v>0</v>
      </c>
      <c r="AU31" s="178">
        <f t="shared" si="15"/>
        <v>0</v>
      </c>
      <c r="AV31" s="178">
        <f t="shared" si="15"/>
        <v>0</v>
      </c>
      <c r="AW31" s="178">
        <f t="shared" si="15"/>
        <v>0</v>
      </c>
      <c r="AX31" s="178">
        <f t="shared" si="15"/>
        <v>0</v>
      </c>
      <c r="AY31" s="178">
        <f t="shared" si="15"/>
        <v>0</v>
      </c>
      <c r="AZ31" s="178">
        <f t="shared" si="16"/>
        <v>0</v>
      </c>
      <c r="BA31" s="178">
        <f t="shared" si="16"/>
        <v>0</v>
      </c>
      <c r="BB31" s="178">
        <f t="shared" si="16"/>
        <v>0</v>
      </c>
      <c r="BC31" s="178">
        <f t="shared" si="16"/>
        <v>0</v>
      </c>
      <c r="BD31" s="178">
        <f t="shared" si="16"/>
        <v>0</v>
      </c>
      <c r="BE31" s="178">
        <f t="shared" si="16"/>
        <v>0</v>
      </c>
      <c r="BF31" s="178">
        <f t="shared" si="16"/>
        <v>0</v>
      </c>
      <c r="BG31" s="178">
        <f t="shared" si="16"/>
        <v>0</v>
      </c>
      <c r="BH31" s="178">
        <f t="shared" si="16"/>
        <v>0</v>
      </c>
      <c r="BI31" s="178">
        <f t="shared" si="16"/>
        <v>0</v>
      </c>
    </row>
    <row r="32" spans="2:61" ht="12.75" customHeight="1" x14ac:dyDescent="0.2">
      <c r="B32" s="133" t="s">
        <v>260</v>
      </c>
      <c r="C32" s="134"/>
      <c r="D32" s="20"/>
      <c r="E32" s="20"/>
      <c r="F32" s="20"/>
      <c r="G32" s="71" t="str">
        <f t="shared" si="5"/>
        <v>-</v>
      </c>
      <c r="H32" s="190"/>
      <c r="I32" s="171" t="str">
        <f t="shared" si="6"/>
        <v/>
      </c>
      <c r="K32" s="178" t="str">
        <f t="array" ref="K32">IFERROR(INDEX($C$9:$C$59,MATCH(0,COUNTIF($K$8:$K31,$C$9:$C$59),0)),"")</f>
        <v/>
      </c>
      <c r="L32" s="178">
        <f t="shared" si="12"/>
        <v>0</v>
      </c>
      <c r="M32" s="178">
        <f t="shared" si="12"/>
        <v>0</v>
      </c>
      <c r="N32" s="178">
        <f t="shared" si="12"/>
        <v>0</v>
      </c>
      <c r="O32" s="178">
        <f t="shared" si="12"/>
        <v>0</v>
      </c>
      <c r="P32" s="178">
        <f t="shared" si="12"/>
        <v>0</v>
      </c>
      <c r="Q32" s="178">
        <f t="shared" si="12"/>
        <v>0</v>
      </c>
      <c r="R32" s="178">
        <f t="shared" si="12"/>
        <v>0</v>
      </c>
      <c r="S32" s="178">
        <f t="shared" si="12"/>
        <v>0</v>
      </c>
      <c r="T32" s="178">
        <f t="shared" si="12"/>
        <v>0</v>
      </c>
      <c r="U32" s="178">
        <f t="shared" si="12"/>
        <v>0</v>
      </c>
      <c r="V32" s="178">
        <f t="shared" si="13"/>
        <v>0</v>
      </c>
      <c r="W32" s="178">
        <f t="shared" si="13"/>
        <v>0</v>
      </c>
      <c r="X32" s="178">
        <f t="shared" si="13"/>
        <v>0</v>
      </c>
      <c r="Y32" s="178">
        <f t="shared" si="13"/>
        <v>0</v>
      </c>
      <c r="Z32" s="178">
        <f t="shared" si="13"/>
        <v>0</v>
      </c>
      <c r="AA32" s="178">
        <f t="shared" si="13"/>
        <v>0</v>
      </c>
      <c r="AB32" s="178">
        <f t="shared" si="13"/>
        <v>0</v>
      </c>
      <c r="AC32" s="178">
        <f t="shared" si="13"/>
        <v>0</v>
      </c>
      <c r="AD32" s="178">
        <f t="shared" si="13"/>
        <v>0</v>
      </c>
      <c r="AE32" s="178">
        <f t="shared" si="13"/>
        <v>0</v>
      </c>
      <c r="AF32" s="178">
        <f t="shared" si="14"/>
        <v>0</v>
      </c>
      <c r="AG32" s="178">
        <f t="shared" si="14"/>
        <v>0</v>
      </c>
      <c r="AH32" s="178">
        <f t="shared" si="14"/>
        <v>0</v>
      </c>
      <c r="AI32" s="178">
        <f t="shared" si="14"/>
        <v>0</v>
      </c>
      <c r="AJ32" s="178">
        <f t="shared" si="14"/>
        <v>0</v>
      </c>
      <c r="AK32" s="178">
        <f t="shared" si="14"/>
        <v>0</v>
      </c>
      <c r="AL32" s="178">
        <f t="shared" si="14"/>
        <v>0</v>
      </c>
      <c r="AM32" s="178">
        <f t="shared" si="14"/>
        <v>0</v>
      </c>
      <c r="AN32" s="178">
        <f t="shared" si="14"/>
        <v>0</v>
      </c>
      <c r="AO32" s="178">
        <f t="shared" si="14"/>
        <v>0</v>
      </c>
      <c r="AP32" s="178">
        <f t="shared" si="15"/>
        <v>0</v>
      </c>
      <c r="AQ32" s="178">
        <f t="shared" si="15"/>
        <v>0</v>
      </c>
      <c r="AR32" s="178">
        <f t="shared" si="15"/>
        <v>0</v>
      </c>
      <c r="AS32" s="178">
        <f t="shared" si="15"/>
        <v>0</v>
      </c>
      <c r="AT32" s="178">
        <f t="shared" si="15"/>
        <v>0</v>
      </c>
      <c r="AU32" s="178">
        <f t="shared" si="15"/>
        <v>0</v>
      </c>
      <c r="AV32" s="178">
        <f t="shared" si="15"/>
        <v>0</v>
      </c>
      <c r="AW32" s="178">
        <f t="shared" si="15"/>
        <v>0</v>
      </c>
      <c r="AX32" s="178">
        <f t="shared" si="15"/>
        <v>0</v>
      </c>
      <c r="AY32" s="178">
        <f t="shared" si="15"/>
        <v>0</v>
      </c>
      <c r="AZ32" s="178">
        <f t="shared" si="16"/>
        <v>0</v>
      </c>
      <c r="BA32" s="178">
        <f t="shared" si="16"/>
        <v>0</v>
      </c>
      <c r="BB32" s="178">
        <f t="shared" si="16"/>
        <v>0</v>
      </c>
      <c r="BC32" s="178">
        <f t="shared" si="16"/>
        <v>0</v>
      </c>
      <c r="BD32" s="178">
        <f t="shared" si="16"/>
        <v>0</v>
      </c>
      <c r="BE32" s="178">
        <f t="shared" si="16"/>
        <v>0</v>
      </c>
      <c r="BF32" s="178">
        <f t="shared" si="16"/>
        <v>0</v>
      </c>
      <c r="BG32" s="178">
        <f t="shared" si="16"/>
        <v>0</v>
      </c>
      <c r="BH32" s="178">
        <f t="shared" si="16"/>
        <v>0</v>
      </c>
      <c r="BI32" s="178">
        <f t="shared" si="16"/>
        <v>0</v>
      </c>
    </row>
    <row r="33" spans="2:61" ht="12.75" customHeight="1" x14ac:dyDescent="0.2">
      <c r="B33" s="133" t="s">
        <v>261</v>
      </c>
      <c r="C33" s="134"/>
      <c r="D33" s="20"/>
      <c r="E33" s="20"/>
      <c r="F33" s="20"/>
      <c r="G33" s="71" t="str">
        <f t="shared" si="5"/>
        <v>-</v>
      </c>
      <c r="H33" s="190"/>
      <c r="I33" s="171" t="str">
        <f t="shared" si="6"/>
        <v/>
      </c>
      <c r="K33" s="178" t="str">
        <f t="array" ref="K33">IFERROR(INDEX($C$9:$C$59,MATCH(0,COUNTIF($K$8:$K32,$C$9:$C$59),0)),"")</f>
        <v/>
      </c>
      <c r="L33" s="178">
        <f t="shared" si="12"/>
        <v>0</v>
      </c>
      <c r="M33" s="178">
        <f t="shared" si="12"/>
        <v>0</v>
      </c>
      <c r="N33" s="178">
        <f t="shared" si="12"/>
        <v>0</v>
      </c>
      <c r="O33" s="178">
        <f t="shared" si="12"/>
        <v>0</v>
      </c>
      <c r="P33" s="178">
        <f t="shared" si="12"/>
        <v>0</v>
      </c>
      <c r="Q33" s="178">
        <f t="shared" si="12"/>
        <v>0</v>
      </c>
      <c r="R33" s="178">
        <f t="shared" si="12"/>
        <v>0</v>
      </c>
      <c r="S33" s="178">
        <f t="shared" si="12"/>
        <v>0</v>
      </c>
      <c r="T33" s="178">
        <f t="shared" si="12"/>
        <v>0</v>
      </c>
      <c r="U33" s="178">
        <f t="shared" si="12"/>
        <v>0</v>
      </c>
      <c r="V33" s="178">
        <f t="shared" si="13"/>
        <v>0</v>
      </c>
      <c r="W33" s="178">
        <f t="shared" si="13"/>
        <v>0</v>
      </c>
      <c r="X33" s="178">
        <f t="shared" si="13"/>
        <v>0</v>
      </c>
      <c r="Y33" s="178">
        <f t="shared" si="13"/>
        <v>0</v>
      </c>
      <c r="Z33" s="178">
        <f t="shared" si="13"/>
        <v>0</v>
      </c>
      <c r="AA33" s="178">
        <f t="shared" si="13"/>
        <v>0</v>
      </c>
      <c r="AB33" s="178">
        <f t="shared" si="13"/>
        <v>0</v>
      </c>
      <c r="AC33" s="178">
        <f t="shared" si="13"/>
        <v>0</v>
      </c>
      <c r="AD33" s="178">
        <f t="shared" si="13"/>
        <v>0</v>
      </c>
      <c r="AE33" s="178">
        <f t="shared" si="13"/>
        <v>0</v>
      </c>
      <c r="AF33" s="178">
        <f t="shared" si="14"/>
        <v>0</v>
      </c>
      <c r="AG33" s="178">
        <f t="shared" si="14"/>
        <v>0</v>
      </c>
      <c r="AH33" s="178">
        <f t="shared" si="14"/>
        <v>0</v>
      </c>
      <c r="AI33" s="178">
        <f t="shared" si="14"/>
        <v>0</v>
      </c>
      <c r="AJ33" s="178">
        <f t="shared" si="14"/>
        <v>0</v>
      </c>
      <c r="AK33" s="178">
        <f t="shared" si="14"/>
        <v>0</v>
      </c>
      <c r="AL33" s="178">
        <f t="shared" si="14"/>
        <v>0</v>
      </c>
      <c r="AM33" s="178">
        <f t="shared" si="14"/>
        <v>0</v>
      </c>
      <c r="AN33" s="178">
        <f t="shared" si="14"/>
        <v>0</v>
      </c>
      <c r="AO33" s="178">
        <f t="shared" si="14"/>
        <v>0</v>
      </c>
      <c r="AP33" s="178">
        <f t="shared" si="15"/>
        <v>0</v>
      </c>
      <c r="AQ33" s="178">
        <f t="shared" si="15"/>
        <v>0</v>
      </c>
      <c r="AR33" s="178">
        <f t="shared" si="15"/>
        <v>0</v>
      </c>
      <c r="AS33" s="178">
        <f t="shared" si="15"/>
        <v>0</v>
      </c>
      <c r="AT33" s="178">
        <f t="shared" si="15"/>
        <v>0</v>
      </c>
      <c r="AU33" s="178">
        <f t="shared" si="15"/>
        <v>0</v>
      </c>
      <c r="AV33" s="178">
        <f t="shared" si="15"/>
        <v>0</v>
      </c>
      <c r="AW33" s="178">
        <f t="shared" si="15"/>
        <v>0</v>
      </c>
      <c r="AX33" s="178">
        <f t="shared" si="15"/>
        <v>0</v>
      </c>
      <c r="AY33" s="178">
        <f t="shared" si="15"/>
        <v>0</v>
      </c>
      <c r="AZ33" s="178">
        <f t="shared" si="16"/>
        <v>0</v>
      </c>
      <c r="BA33" s="178">
        <f t="shared" si="16"/>
        <v>0</v>
      </c>
      <c r="BB33" s="178">
        <f t="shared" si="16"/>
        <v>0</v>
      </c>
      <c r="BC33" s="178">
        <f t="shared" si="16"/>
        <v>0</v>
      </c>
      <c r="BD33" s="178">
        <f t="shared" si="16"/>
        <v>0</v>
      </c>
      <c r="BE33" s="178">
        <f t="shared" si="16"/>
        <v>0</v>
      </c>
      <c r="BF33" s="178">
        <f t="shared" si="16"/>
        <v>0</v>
      </c>
      <c r="BG33" s="178">
        <f t="shared" si="16"/>
        <v>0</v>
      </c>
      <c r="BH33" s="178">
        <f t="shared" si="16"/>
        <v>0</v>
      </c>
      <c r="BI33" s="178">
        <f t="shared" si="16"/>
        <v>0</v>
      </c>
    </row>
    <row r="34" spans="2:61" ht="12.75" customHeight="1" x14ac:dyDescent="0.2">
      <c r="B34" s="133" t="s">
        <v>262</v>
      </c>
      <c r="C34" s="134"/>
      <c r="D34" s="20"/>
      <c r="E34" s="20"/>
      <c r="F34" s="20"/>
      <c r="G34" s="71" t="str">
        <f t="shared" si="5"/>
        <v>-</v>
      </c>
      <c r="H34" s="190"/>
      <c r="I34" s="171" t="str">
        <f t="shared" si="6"/>
        <v/>
      </c>
      <c r="K34" s="178" t="str">
        <f t="array" ref="K34">IFERROR(INDEX($C$9:$C$59,MATCH(0,COUNTIF($K$8:$K33,$C$9:$C$59),0)),"")</f>
        <v/>
      </c>
      <c r="L34" s="178">
        <f t="shared" si="12"/>
        <v>0</v>
      </c>
      <c r="M34" s="178">
        <f t="shared" si="12"/>
        <v>0</v>
      </c>
      <c r="N34" s="178">
        <f t="shared" si="12"/>
        <v>0</v>
      </c>
      <c r="O34" s="178">
        <f t="shared" si="12"/>
        <v>0</v>
      </c>
      <c r="P34" s="178">
        <f t="shared" si="12"/>
        <v>0</v>
      </c>
      <c r="Q34" s="178">
        <f t="shared" si="12"/>
        <v>0</v>
      </c>
      <c r="R34" s="178">
        <f t="shared" si="12"/>
        <v>0</v>
      </c>
      <c r="S34" s="178">
        <f t="shared" si="12"/>
        <v>0</v>
      </c>
      <c r="T34" s="178">
        <f t="shared" si="12"/>
        <v>0</v>
      </c>
      <c r="U34" s="178">
        <f t="shared" si="12"/>
        <v>0</v>
      </c>
      <c r="V34" s="178">
        <f t="shared" si="13"/>
        <v>0</v>
      </c>
      <c r="W34" s="178">
        <f t="shared" si="13"/>
        <v>0</v>
      </c>
      <c r="X34" s="178">
        <f t="shared" si="13"/>
        <v>0</v>
      </c>
      <c r="Y34" s="178">
        <f t="shared" si="13"/>
        <v>0</v>
      </c>
      <c r="Z34" s="178">
        <f t="shared" si="13"/>
        <v>0</v>
      </c>
      <c r="AA34" s="178">
        <f t="shared" si="13"/>
        <v>0</v>
      </c>
      <c r="AB34" s="178">
        <f t="shared" si="13"/>
        <v>0</v>
      </c>
      <c r="AC34" s="178">
        <f t="shared" si="13"/>
        <v>0</v>
      </c>
      <c r="AD34" s="178">
        <f t="shared" si="13"/>
        <v>0</v>
      </c>
      <c r="AE34" s="178">
        <f t="shared" si="13"/>
        <v>0</v>
      </c>
      <c r="AF34" s="178">
        <f t="shared" si="14"/>
        <v>0</v>
      </c>
      <c r="AG34" s="178">
        <f t="shared" si="14"/>
        <v>0</v>
      </c>
      <c r="AH34" s="178">
        <f t="shared" si="14"/>
        <v>0</v>
      </c>
      <c r="AI34" s="178">
        <f t="shared" si="14"/>
        <v>0</v>
      </c>
      <c r="AJ34" s="178">
        <f t="shared" si="14"/>
        <v>0</v>
      </c>
      <c r="AK34" s="178">
        <f t="shared" si="14"/>
        <v>0</v>
      </c>
      <c r="AL34" s="178">
        <f t="shared" si="14"/>
        <v>0</v>
      </c>
      <c r="AM34" s="178">
        <f t="shared" si="14"/>
        <v>0</v>
      </c>
      <c r="AN34" s="178">
        <f t="shared" si="14"/>
        <v>0</v>
      </c>
      <c r="AO34" s="178">
        <f t="shared" si="14"/>
        <v>0</v>
      </c>
      <c r="AP34" s="178">
        <f t="shared" si="15"/>
        <v>0</v>
      </c>
      <c r="AQ34" s="178">
        <f t="shared" si="15"/>
        <v>0</v>
      </c>
      <c r="AR34" s="178">
        <f t="shared" si="15"/>
        <v>0</v>
      </c>
      <c r="AS34" s="178">
        <f t="shared" si="15"/>
        <v>0</v>
      </c>
      <c r="AT34" s="178">
        <f t="shared" si="15"/>
        <v>0</v>
      </c>
      <c r="AU34" s="178">
        <f t="shared" si="15"/>
        <v>0</v>
      </c>
      <c r="AV34" s="178">
        <f t="shared" si="15"/>
        <v>0</v>
      </c>
      <c r="AW34" s="178">
        <f t="shared" si="15"/>
        <v>0</v>
      </c>
      <c r="AX34" s="178">
        <f t="shared" si="15"/>
        <v>0</v>
      </c>
      <c r="AY34" s="178">
        <f t="shared" si="15"/>
        <v>0</v>
      </c>
      <c r="AZ34" s="178">
        <f t="shared" si="16"/>
        <v>0</v>
      </c>
      <c r="BA34" s="178">
        <f t="shared" si="16"/>
        <v>0</v>
      </c>
      <c r="BB34" s="178">
        <f t="shared" si="16"/>
        <v>0</v>
      </c>
      <c r="BC34" s="178">
        <f t="shared" si="16"/>
        <v>0</v>
      </c>
      <c r="BD34" s="178">
        <f t="shared" si="16"/>
        <v>0</v>
      </c>
      <c r="BE34" s="178">
        <f t="shared" si="16"/>
        <v>0</v>
      </c>
      <c r="BF34" s="178">
        <f t="shared" si="16"/>
        <v>0</v>
      </c>
      <c r="BG34" s="178">
        <f t="shared" si="16"/>
        <v>0</v>
      </c>
      <c r="BH34" s="178">
        <f t="shared" si="16"/>
        <v>0</v>
      </c>
      <c r="BI34" s="178">
        <f t="shared" si="16"/>
        <v>0</v>
      </c>
    </row>
    <row r="35" spans="2:61" ht="12.75" customHeight="1" x14ac:dyDescent="0.2">
      <c r="B35" s="133" t="s">
        <v>263</v>
      </c>
      <c r="C35" s="134"/>
      <c r="D35" s="20"/>
      <c r="E35" s="20"/>
      <c r="F35" s="20"/>
      <c r="G35" s="71" t="str">
        <f t="shared" si="5"/>
        <v>-</v>
      </c>
      <c r="H35" s="190"/>
      <c r="I35" s="171" t="str">
        <f t="shared" si="6"/>
        <v/>
      </c>
      <c r="K35" s="178" t="str">
        <f t="array" ref="K35">IFERROR(INDEX($C$9:$C$59,MATCH(0,COUNTIF($K$8:$K34,$C$9:$C$59),0)),"")</f>
        <v/>
      </c>
      <c r="L35" s="178">
        <f t="shared" si="12"/>
        <v>0</v>
      </c>
      <c r="M35" s="178">
        <f t="shared" si="12"/>
        <v>0</v>
      </c>
      <c r="N35" s="178">
        <f t="shared" si="12"/>
        <v>0</v>
      </c>
      <c r="O35" s="178">
        <f t="shared" si="12"/>
        <v>0</v>
      </c>
      <c r="P35" s="178">
        <f t="shared" si="12"/>
        <v>0</v>
      </c>
      <c r="Q35" s="178">
        <f t="shared" si="12"/>
        <v>0</v>
      </c>
      <c r="R35" s="178">
        <f t="shared" si="12"/>
        <v>0</v>
      </c>
      <c r="S35" s="178">
        <f t="shared" si="12"/>
        <v>0</v>
      </c>
      <c r="T35" s="178">
        <f t="shared" si="12"/>
        <v>0</v>
      </c>
      <c r="U35" s="178">
        <f t="shared" si="12"/>
        <v>0</v>
      </c>
      <c r="V35" s="178">
        <f t="shared" si="13"/>
        <v>0</v>
      </c>
      <c r="W35" s="178">
        <f t="shared" si="13"/>
        <v>0</v>
      </c>
      <c r="X35" s="178">
        <f t="shared" si="13"/>
        <v>0</v>
      </c>
      <c r="Y35" s="178">
        <f t="shared" si="13"/>
        <v>0</v>
      </c>
      <c r="Z35" s="178">
        <f t="shared" si="13"/>
        <v>0</v>
      </c>
      <c r="AA35" s="178">
        <f t="shared" si="13"/>
        <v>0</v>
      </c>
      <c r="AB35" s="178">
        <f t="shared" si="13"/>
        <v>0</v>
      </c>
      <c r="AC35" s="178">
        <f t="shared" si="13"/>
        <v>0</v>
      </c>
      <c r="AD35" s="178">
        <f t="shared" si="13"/>
        <v>0</v>
      </c>
      <c r="AE35" s="178">
        <f t="shared" si="13"/>
        <v>0</v>
      </c>
      <c r="AF35" s="178">
        <f t="shared" si="14"/>
        <v>0</v>
      </c>
      <c r="AG35" s="178">
        <f t="shared" si="14"/>
        <v>0</v>
      </c>
      <c r="AH35" s="178">
        <f t="shared" si="14"/>
        <v>0</v>
      </c>
      <c r="AI35" s="178">
        <f t="shared" si="14"/>
        <v>0</v>
      </c>
      <c r="AJ35" s="178">
        <f t="shared" si="14"/>
        <v>0</v>
      </c>
      <c r="AK35" s="178">
        <f t="shared" si="14"/>
        <v>0</v>
      </c>
      <c r="AL35" s="178">
        <f t="shared" si="14"/>
        <v>0</v>
      </c>
      <c r="AM35" s="178">
        <f t="shared" si="14"/>
        <v>0</v>
      </c>
      <c r="AN35" s="178">
        <f t="shared" si="14"/>
        <v>0</v>
      </c>
      <c r="AO35" s="178">
        <f t="shared" si="14"/>
        <v>0</v>
      </c>
      <c r="AP35" s="178">
        <f t="shared" si="15"/>
        <v>0</v>
      </c>
      <c r="AQ35" s="178">
        <f t="shared" si="15"/>
        <v>0</v>
      </c>
      <c r="AR35" s="178">
        <f t="shared" si="15"/>
        <v>0</v>
      </c>
      <c r="AS35" s="178">
        <f t="shared" si="15"/>
        <v>0</v>
      </c>
      <c r="AT35" s="178">
        <f t="shared" si="15"/>
        <v>0</v>
      </c>
      <c r="AU35" s="178">
        <f t="shared" si="15"/>
        <v>0</v>
      </c>
      <c r="AV35" s="178">
        <f t="shared" si="15"/>
        <v>0</v>
      </c>
      <c r="AW35" s="178">
        <f t="shared" si="15"/>
        <v>0</v>
      </c>
      <c r="AX35" s="178">
        <f t="shared" si="15"/>
        <v>0</v>
      </c>
      <c r="AY35" s="178">
        <f t="shared" si="15"/>
        <v>0</v>
      </c>
      <c r="AZ35" s="178">
        <f t="shared" si="16"/>
        <v>0</v>
      </c>
      <c r="BA35" s="178">
        <f t="shared" si="16"/>
        <v>0</v>
      </c>
      <c r="BB35" s="178">
        <f t="shared" si="16"/>
        <v>0</v>
      </c>
      <c r="BC35" s="178">
        <f t="shared" si="16"/>
        <v>0</v>
      </c>
      <c r="BD35" s="178">
        <f t="shared" si="16"/>
        <v>0</v>
      </c>
      <c r="BE35" s="178">
        <f t="shared" si="16"/>
        <v>0</v>
      </c>
      <c r="BF35" s="178">
        <f t="shared" si="16"/>
        <v>0</v>
      </c>
      <c r="BG35" s="178">
        <f t="shared" si="16"/>
        <v>0</v>
      </c>
      <c r="BH35" s="178">
        <f t="shared" si="16"/>
        <v>0</v>
      </c>
      <c r="BI35" s="178">
        <f t="shared" si="16"/>
        <v>0</v>
      </c>
    </row>
    <row r="36" spans="2:61" ht="12.75" customHeight="1" x14ac:dyDescent="0.2">
      <c r="B36" s="133" t="s">
        <v>264</v>
      </c>
      <c r="C36" s="134"/>
      <c r="D36" s="20"/>
      <c r="E36" s="20"/>
      <c r="F36" s="20"/>
      <c r="G36" s="71" t="str">
        <f t="shared" si="5"/>
        <v>-</v>
      </c>
      <c r="H36" s="190"/>
      <c r="I36" s="171" t="str">
        <f t="shared" si="6"/>
        <v/>
      </c>
      <c r="K36" s="178" t="str">
        <f t="array" ref="K36">IFERROR(INDEX($C$9:$C$59,MATCH(0,COUNTIF($K$8:$K35,$C$9:$C$59),0)),"")</f>
        <v/>
      </c>
      <c r="L36" s="178">
        <f t="shared" si="12"/>
        <v>0</v>
      </c>
      <c r="M36" s="178">
        <f t="shared" si="12"/>
        <v>0</v>
      </c>
      <c r="N36" s="178">
        <f t="shared" si="12"/>
        <v>0</v>
      </c>
      <c r="O36" s="178">
        <f t="shared" si="12"/>
        <v>0</v>
      </c>
      <c r="P36" s="178">
        <f t="shared" si="12"/>
        <v>0</v>
      </c>
      <c r="Q36" s="178">
        <f t="shared" si="12"/>
        <v>0</v>
      </c>
      <c r="R36" s="178">
        <f t="shared" si="12"/>
        <v>0</v>
      </c>
      <c r="S36" s="178">
        <f t="shared" si="12"/>
        <v>0</v>
      </c>
      <c r="T36" s="178">
        <f t="shared" si="12"/>
        <v>0</v>
      </c>
      <c r="U36" s="178">
        <f t="shared" si="12"/>
        <v>0</v>
      </c>
      <c r="V36" s="178">
        <f t="shared" si="13"/>
        <v>0</v>
      </c>
      <c r="W36" s="178">
        <f t="shared" si="13"/>
        <v>0</v>
      </c>
      <c r="X36" s="178">
        <f t="shared" si="13"/>
        <v>0</v>
      </c>
      <c r="Y36" s="178">
        <f t="shared" si="13"/>
        <v>0</v>
      </c>
      <c r="Z36" s="178">
        <f t="shared" si="13"/>
        <v>0</v>
      </c>
      <c r="AA36" s="178">
        <f t="shared" si="13"/>
        <v>0</v>
      </c>
      <c r="AB36" s="178">
        <f t="shared" si="13"/>
        <v>0</v>
      </c>
      <c r="AC36" s="178">
        <f t="shared" si="13"/>
        <v>0</v>
      </c>
      <c r="AD36" s="178">
        <f t="shared" si="13"/>
        <v>0</v>
      </c>
      <c r="AE36" s="178">
        <f t="shared" si="13"/>
        <v>0</v>
      </c>
      <c r="AF36" s="178">
        <f t="shared" si="14"/>
        <v>0</v>
      </c>
      <c r="AG36" s="178">
        <f t="shared" si="14"/>
        <v>0</v>
      </c>
      <c r="AH36" s="178">
        <f t="shared" si="14"/>
        <v>0</v>
      </c>
      <c r="AI36" s="178">
        <f t="shared" si="14"/>
        <v>0</v>
      </c>
      <c r="AJ36" s="178">
        <f t="shared" si="14"/>
        <v>0</v>
      </c>
      <c r="AK36" s="178">
        <f t="shared" si="14"/>
        <v>0</v>
      </c>
      <c r="AL36" s="178">
        <f t="shared" si="14"/>
        <v>0</v>
      </c>
      <c r="AM36" s="178">
        <f t="shared" si="14"/>
        <v>0</v>
      </c>
      <c r="AN36" s="178">
        <f t="shared" si="14"/>
        <v>0</v>
      </c>
      <c r="AO36" s="178">
        <f t="shared" si="14"/>
        <v>0</v>
      </c>
      <c r="AP36" s="178">
        <f t="shared" si="15"/>
        <v>0</v>
      </c>
      <c r="AQ36" s="178">
        <f t="shared" si="15"/>
        <v>0</v>
      </c>
      <c r="AR36" s="178">
        <f t="shared" si="15"/>
        <v>0</v>
      </c>
      <c r="AS36" s="178">
        <f t="shared" si="15"/>
        <v>0</v>
      </c>
      <c r="AT36" s="178">
        <f t="shared" si="15"/>
        <v>0</v>
      </c>
      <c r="AU36" s="178">
        <f t="shared" si="15"/>
        <v>0</v>
      </c>
      <c r="AV36" s="178">
        <f t="shared" si="15"/>
        <v>0</v>
      </c>
      <c r="AW36" s="178">
        <f t="shared" si="15"/>
        <v>0</v>
      </c>
      <c r="AX36" s="178">
        <f t="shared" si="15"/>
        <v>0</v>
      </c>
      <c r="AY36" s="178">
        <f t="shared" si="15"/>
        <v>0</v>
      </c>
      <c r="AZ36" s="178">
        <f t="shared" si="16"/>
        <v>0</v>
      </c>
      <c r="BA36" s="178">
        <f t="shared" si="16"/>
        <v>0</v>
      </c>
      <c r="BB36" s="178">
        <f t="shared" si="16"/>
        <v>0</v>
      </c>
      <c r="BC36" s="178">
        <f t="shared" si="16"/>
        <v>0</v>
      </c>
      <c r="BD36" s="178">
        <f t="shared" si="16"/>
        <v>0</v>
      </c>
      <c r="BE36" s="178">
        <f t="shared" si="16"/>
        <v>0</v>
      </c>
      <c r="BF36" s="178">
        <f t="shared" si="16"/>
        <v>0</v>
      </c>
      <c r="BG36" s="178">
        <f t="shared" si="16"/>
        <v>0</v>
      </c>
      <c r="BH36" s="178">
        <f t="shared" si="16"/>
        <v>0</v>
      </c>
      <c r="BI36" s="178">
        <f t="shared" si="16"/>
        <v>0</v>
      </c>
    </row>
    <row r="37" spans="2:61" ht="12.75" customHeight="1" x14ac:dyDescent="0.2">
      <c r="B37" s="133" t="s">
        <v>265</v>
      </c>
      <c r="C37" s="134"/>
      <c r="D37" s="20"/>
      <c r="E37" s="20"/>
      <c r="F37" s="20"/>
      <c r="G37" s="71" t="str">
        <f t="shared" si="5"/>
        <v>-</v>
      </c>
      <c r="H37" s="190"/>
      <c r="I37" s="171" t="str">
        <f t="shared" si="6"/>
        <v/>
      </c>
      <c r="K37" s="178" t="str">
        <f t="array" ref="K37">IFERROR(INDEX($C$9:$C$59,MATCH(0,COUNTIF($K$8:$K36,$C$9:$C$59),0)),"")</f>
        <v/>
      </c>
      <c r="L37" s="178">
        <f t="shared" si="12"/>
        <v>0</v>
      </c>
      <c r="M37" s="178">
        <f t="shared" si="12"/>
        <v>0</v>
      </c>
      <c r="N37" s="178">
        <f t="shared" si="12"/>
        <v>0</v>
      </c>
      <c r="O37" s="178">
        <f t="shared" si="12"/>
        <v>0</v>
      </c>
      <c r="P37" s="178">
        <f t="shared" si="12"/>
        <v>0</v>
      </c>
      <c r="Q37" s="178">
        <f t="shared" si="12"/>
        <v>0</v>
      </c>
      <c r="R37" s="178">
        <f t="shared" si="12"/>
        <v>0</v>
      </c>
      <c r="S37" s="178">
        <f t="shared" si="12"/>
        <v>0</v>
      </c>
      <c r="T37" s="178">
        <f t="shared" si="12"/>
        <v>0</v>
      </c>
      <c r="U37" s="178">
        <f t="shared" si="12"/>
        <v>0</v>
      </c>
      <c r="V37" s="178">
        <f t="shared" si="13"/>
        <v>0</v>
      </c>
      <c r="W37" s="178">
        <f t="shared" si="13"/>
        <v>0</v>
      </c>
      <c r="X37" s="178">
        <f t="shared" si="13"/>
        <v>0</v>
      </c>
      <c r="Y37" s="178">
        <f t="shared" si="13"/>
        <v>0</v>
      </c>
      <c r="Z37" s="178">
        <f t="shared" si="13"/>
        <v>0</v>
      </c>
      <c r="AA37" s="178">
        <f t="shared" si="13"/>
        <v>0</v>
      </c>
      <c r="AB37" s="178">
        <f t="shared" si="13"/>
        <v>0</v>
      </c>
      <c r="AC37" s="178">
        <f t="shared" si="13"/>
        <v>0</v>
      </c>
      <c r="AD37" s="178">
        <f t="shared" si="13"/>
        <v>0</v>
      </c>
      <c r="AE37" s="178">
        <f t="shared" si="13"/>
        <v>0</v>
      </c>
      <c r="AF37" s="178">
        <f t="shared" si="14"/>
        <v>0</v>
      </c>
      <c r="AG37" s="178">
        <f t="shared" si="14"/>
        <v>0</v>
      </c>
      <c r="AH37" s="178">
        <f t="shared" si="14"/>
        <v>0</v>
      </c>
      <c r="AI37" s="178">
        <f t="shared" si="14"/>
        <v>0</v>
      </c>
      <c r="AJ37" s="178">
        <f t="shared" si="14"/>
        <v>0</v>
      </c>
      <c r="AK37" s="178">
        <f t="shared" si="14"/>
        <v>0</v>
      </c>
      <c r="AL37" s="178">
        <f t="shared" si="14"/>
        <v>0</v>
      </c>
      <c r="AM37" s="178">
        <f t="shared" si="14"/>
        <v>0</v>
      </c>
      <c r="AN37" s="178">
        <f t="shared" si="14"/>
        <v>0</v>
      </c>
      <c r="AO37" s="178">
        <f t="shared" si="14"/>
        <v>0</v>
      </c>
      <c r="AP37" s="178">
        <f t="shared" si="15"/>
        <v>0</v>
      </c>
      <c r="AQ37" s="178">
        <f t="shared" si="15"/>
        <v>0</v>
      </c>
      <c r="AR37" s="178">
        <f t="shared" si="15"/>
        <v>0</v>
      </c>
      <c r="AS37" s="178">
        <f t="shared" si="15"/>
        <v>0</v>
      </c>
      <c r="AT37" s="178">
        <f t="shared" si="15"/>
        <v>0</v>
      </c>
      <c r="AU37" s="178">
        <f t="shared" si="15"/>
        <v>0</v>
      </c>
      <c r="AV37" s="178">
        <f t="shared" si="15"/>
        <v>0</v>
      </c>
      <c r="AW37" s="178">
        <f t="shared" si="15"/>
        <v>0</v>
      </c>
      <c r="AX37" s="178">
        <f t="shared" si="15"/>
        <v>0</v>
      </c>
      <c r="AY37" s="178">
        <f t="shared" si="15"/>
        <v>0</v>
      </c>
      <c r="AZ37" s="178">
        <f t="shared" si="16"/>
        <v>0</v>
      </c>
      <c r="BA37" s="178">
        <f t="shared" si="16"/>
        <v>0</v>
      </c>
      <c r="BB37" s="178">
        <f t="shared" si="16"/>
        <v>0</v>
      </c>
      <c r="BC37" s="178">
        <f t="shared" si="16"/>
        <v>0</v>
      </c>
      <c r="BD37" s="178">
        <f t="shared" si="16"/>
        <v>0</v>
      </c>
      <c r="BE37" s="178">
        <f t="shared" si="16"/>
        <v>0</v>
      </c>
      <c r="BF37" s="178">
        <f t="shared" si="16"/>
        <v>0</v>
      </c>
      <c r="BG37" s="178">
        <f t="shared" si="16"/>
        <v>0</v>
      </c>
      <c r="BH37" s="178">
        <f t="shared" si="16"/>
        <v>0</v>
      </c>
      <c r="BI37" s="178">
        <f t="shared" si="16"/>
        <v>0</v>
      </c>
    </row>
    <row r="38" spans="2:61" ht="12.75" customHeight="1" x14ac:dyDescent="0.2">
      <c r="B38" s="133" t="s">
        <v>266</v>
      </c>
      <c r="C38" s="134"/>
      <c r="D38" s="20"/>
      <c r="E38" s="20"/>
      <c r="F38" s="20"/>
      <c r="G38" s="71" t="str">
        <f t="shared" si="5"/>
        <v>-</v>
      </c>
      <c r="H38" s="190"/>
      <c r="I38" s="171" t="str">
        <f t="shared" si="6"/>
        <v/>
      </c>
      <c r="K38" s="178" t="str">
        <f t="array" ref="K38">IFERROR(INDEX($C$9:$C$59,MATCH(0,COUNTIF($K$8:$K37,$C$9:$C$59),0)),"")</f>
        <v/>
      </c>
      <c r="L38" s="178">
        <f t="shared" si="12"/>
        <v>0</v>
      </c>
      <c r="M38" s="178">
        <f t="shared" si="12"/>
        <v>0</v>
      </c>
      <c r="N38" s="178">
        <f t="shared" si="12"/>
        <v>0</v>
      </c>
      <c r="O38" s="178">
        <f t="shared" si="12"/>
        <v>0</v>
      </c>
      <c r="P38" s="178">
        <f t="shared" si="12"/>
        <v>0</v>
      </c>
      <c r="Q38" s="178">
        <f t="shared" si="12"/>
        <v>0</v>
      </c>
      <c r="R38" s="178">
        <f t="shared" si="12"/>
        <v>0</v>
      </c>
      <c r="S38" s="178">
        <f t="shared" si="12"/>
        <v>0</v>
      </c>
      <c r="T38" s="178">
        <f t="shared" si="12"/>
        <v>0</v>
      </c>
      <c r="U38" s="178">
        <f t="shared" si="12"/>
        <v>0</v>
      </c>
      <c r="V38" s="178">
        <f t="shared" si="13"/>
        <v>0</v>
      </c>
      <c r="W38" s="178">
        <f t="shared" si="13"/>
        <v>0</v>
      </c>
      <c r="X38" s="178">
        <f t="shared" si="13"/>
        <v>0</v>
      </c>
      <c r="Y38" s="178">
        <f t="shared" si="13"/>
        <v>0</v>
      </c>
      <c r="Z38" s="178">
        <f t="shared" si="13"/>
        <v>0</v>
      </c>
      <c r="AA38" s="178">
        <f t="shared" si="13"/>
        <v>0</v>
      </c>
      <c r="AB38" s="178">
        <f t="shared" si="13"/>
        <v>0</v>
      </c>
      <c r="AC38" s="178">
        <f t="shared" si="13"/>
        <v>0</v>
      </c>
      <c r="AD38" s="178">
        <f t="shared" si="13"/>
        <v>0</v>
      </c>
      <c r="AE38" s="178">
        <f t="shared" si="13"/>
        <v>0</v>
      </c>
      <c r="AF38" s="178">
        <f t="shared" si="14"/>
        <v>0</v>
      </c>
      <c r="AG38" s="178">
        <f t="shared" si="14"/>
        <v>0</v>
      </c>
      <c r="AH38" s="178">
        <f t="shared" si="14"/>
        <v>0</v>
      </c>
      <c r="AI38" s="178">
        <f t="shared" si="14"/>
        <v>0</v>
      </c>
      <c r="AJ38" s="178">
        <f t="shared" si="14"/>
        <v>0</v>
      </c>
      <c r="AK38" s="178">
        <f t="shared" si="14"/>
        <v>0</v>
      </c>
      <c r="AL38" s="178">
        <f t="shared" si="14"/>
        <v>0</v>
      </c>
      <c r="AM38" s="178">
        <f t="shared" si="14"/>
        <v>0</v>
      </c>
      <c r="AN38" s="178">
        <f t="shared" si="14"/>
        <v>0</v>
      </c>
      <c r="AO38" s="178">
        <f t="shared" si="14"/>
        <v>0</v>
      </c>
      <c r="AP38" s="178">
        <f t="shared" si="15"/>
        <v>0</v>
      </c>
      <c r="AQ38" s="178">
        <f t="shared" si="15"/>
        <v>0</v>
      </c>
      <c r="AR38" s="178">
        <f t="shared" si="15"/>
        <v>0</v>
      </c>
      <c r="AS38" s="178">
        <f t="shared" si="15"/>
        <v>0</v>
      </c>
      <c r="AT38" s="178">
        <f t="shared" si="15"/>
        <v>0</v>
      </c>
      <c r="AU38" s="178">
        <f t="shared" si="15"/>
        <v>0</v>
      </c>
      <c r="AV38" s="178">
        <f t="shared" si="15"/>
        <v>0</v>
      </c>
      <c r="AW38" s="178">
        <f t="shared" si="15"/>
        <v>0</v>
      </c>
      <c r="AX38" s="178">
        <f t="shared" si="15"/>
        <v>0</v>
      </c>
      <c r="AY38" s="178">
        <f t="shared" si="15"/>
        <v>0</v>
      </c>
      <c r="AZ38" s="178">
        <f t="shared" si="16"/>
        <v>0</v>
      </c>
      <c r="BA38" s="178">
        <f t="shared" si="16"/>
        <v>0</v>
      </c>
      <c r="BB38" s="178">
        <f t="shared" si="16"/>
        <v>0</v>
      </c>
      <c r="BC38" s="178">
        <f t="shared" si="16"/>
        <v>0</v>
      </c>
      <c r="BD38" s="178">
        <f t="shared" si="16"/>
        <v>0</v>
      </c>
      <c r="BE38" s="178">
        <f t="shared" si="16"/>
        <v>0</v>
      </c>
      <c r="BF38" s="178">
        <f t="shared" si="16"/>
        <v>0</v>
      </c>
      <c r="BG38" s="178">
        <f t="shared" si="16"/>
        <v>0</v>
      </c>
      <c r="BH38" s="178">
        <f t="shared" si="16"/>
        <v>0</v>
      </c>
      <c r="BI38" s="178">
        <f t="shared" si="16"/>
        <v>0</v>
      </c>
    </row>
    <row r="39" spans="2:61" ht="12.75" customHeight="1" x14ac:dyDescent="0.2">
      <c r="B39" s="133" t="s">
        <v>267</v>
      </c>
      <c r="C39" s="134"/>
      <c r="D39" s="20"/>
      <c r="E39" s="20"/>
      <c r="F39" s="20"/>
      <c r="G39" s="71" t="str">
        <f t="shared" si="5"/>
        <v>-</v>
      </c>
      <c r="H39" s="190"/>
      <c r="I39" s="171" t="str">
        <f t="shared" si="6"/>
        <v/>
      </c>
      <c r="K39" s="178" t="str">
        <f t="array" ref="K39">IFERROR(INDEX($C$9:$C$59,MATCH(0,COUNTIF($K$8:$K38,$C$9:$C$59),0)),"")</f>
        <v/>
      </c>
      <c r="L39" s="178">
        <f t="shared" ref="L39:U48" si="17">IF(AND($K39&lt;&gt;"",L$8&lt;&gt;""),COUNTIFS($C$9:$C$59,$K39,$I$9:$I$59,L$8),0)</f>
        <v>0</v>
      </c>
      <c r="M39" s="178">
        <f t="shared" si="17"/>
        <v>0</v>
      </c>
      <c r="N39" s="178">
        <f t="shared" si="17"/>
        <v>0</v>
      </c>
      <c r="O39" s="178">
        <f t="shared" si="17"/>
        <v>0</v>
      </c>
      <c r="P39" s="178">
        <f t="shared" si="17"/>
        <v>0</v>
      </c>
      <c r="Q39" s="178">
        <f t="shared" si="17"/>
        <v>0</v>
      </c>
      <c r="R39" s="178">
        <f t="shared" si="17"/>
        <v>0</v>
      </c>
      <c r="S39" s="178">
        <f t="shared" si="17"/>
        <v>0</v>
      </c>
      <c r="T39" s="178">
        <f t="shared" si="17"/>
        <v>0</v>
      </c>
      <c r="U39" s="178">
        <f t="shared" si="17"/>
        <v>0</v>
      </c>
      <c r="V39" s="178">
        <f t="shared" ref="V39:AE48" si="18">IF(AND($K39&lt;&gt;"",V$8&lt;&gt;""),COUNTIFS($C$9:$C$59,$K39,$I$9:$I$59,V$8),0)</f>
        <v>0</v>
      </c>
      <c r="W39" s="178">
        <f t="shared" si="18"/>
        <v>0</v>
      </c>
      <c r="X39" s="178">
        <f t="shared" si="18"/>
        <v>0</v>
      </c>
      <c r="Y39" s="178">
        <f t="shared" si="18"/>
        <v>0</v>
      </c>
      <c r="Z39" s="178">
        <f t="shared" si="18"/>
        <v>0</v>
      </c>
      <c r="AA39" s="178">
        <f t="shared" si="18"/>
        <v>0</v>
      </c>
      <c r="AB39" s="178">
        <f t="shared" si="18"/>
        <v>0</v>
      </c>
      <c r="AC39" s="178">
        <f t="shared" si="18"/>
        <v>0</v>
      </c>
      <c r="AD39" s="178">
        <f t="shared" si="18"/>
        <v>0</v>
      </c>
      <c r="AE39" s="178">
        <f t="shared" si="18"/>
        <v>0</v>
      </c>
      <c r="AF39" s="178">
        <f t="shared" ref="AF39:AO48" si="19">IF(AND($K39&lt;&gt;"",AF$8&lt;&gt;""),COUNTIFS($C$9:$C$59,$K39,$I$9:$I$59,AF$8),0)</f>
        <v>0</v>
      </c>
      <c r="AG39" s="178">
        <f t="shared" si="19"/>
        <v>0</v>
      </c>
      <c r="AH39" s="178">
        <f t="shared" si="19"/>
        <v>0</v>
      </c>
      <c r="AI39" s="178">
        <f t="shared" si="19"/>
        <v>0</v>
      </c>
      <c r="AJ39" s="178">
        <f t="shared" si="19"/>
        <v>0</v>
      </c>
      <c r="AK39" s="178">
        <f t="shared" si="19"/>
        <v>0</v>
      </c>
      <c r="AL39" s="178">
        <f t="shared" si="19"/>
        <v>0</v>
      </c>
      <c r="AM39" s="178">
        <f t="shared" si="19"/>
        <v>0</v>
      </c>
      <c r="AN39" s="178">
        <f t="shared" si="19"/>
        <v>0</v>
      </c>
      <c r="AO39" s="178">
        <f t="shared" si="19"/>
        <v>0</v>
      </c>
      <c r="AP39" s="178">
        <f t="shared" ref="AP39:AY48" si="20">IF(AND($K39&lt;&gt;"",AP$8&lt;&gt;""),COUNTIFS($C$9:$C$59,$K39,$I$9:$I$59,AP$8),0)</f>
        <v>0</v>
      </c>
      <c r="AQ39" s="178">
        <f t="shared" si="20"/>
        <v>0</v>
      </c>
      <c r="AR39" s="178">
        <f t="shared" si="20"/>
        <v>0</v>
      </c>
      <c r="AS39" s="178">
        <f t="shared" si="20"/>
        <v>0</v>
      </c>
      <c r="AT39" s="178">
        <f t="shared" si="20"/>
        <v>0</v>
      </c>
      <c r="AU39" s="178">
        <f t="shared" si="20"/>
        <v>0</v>
      </c>
      <c r="AV39" s="178">
        <f t="shared" si="20"/>
        <v>0</v>
      </c>
      <c r="AW39" s="178">
        <f t="shared" si="20"/>
        <v>0</v>
      </c>
      <c r="AX39" s="178">
        <f t="shared" si="20"/>
        <v>0</v>
      </c>
      <c r="AY39" s="178">
        <f t="shared" si="20"/>
        <v>0</v>
      </c>
      <c r="AZ39" s="178">
        <f t="shared" ref="AZ39:BI48" si="21">IF(AND($K39&lt;&gt;"",AZ$8&lt;&gt;""),COUNTIFS($C$9:$C$59,$K39,$I$9:$I$59,AZ$8),0)</f>
        <v>0</v>
      </c>
      <c r="BA39" s="178">
        <f t="shared" si="21"/>
        <v>0</v>
      </c>
      <c r="BB39" s="178">
        <f t="shared" si="21"/>
        <v>0</v>
      </c>
      <c r="BC39" s="178">
        <f t="shared" si="21"/>
        <v>0</v>
      </c>
      <c r="BD39" s="178">
        <f t="shared" si="21"/>
        <v>0</v>
      </c>
      <c r="BE39" s="178">
        <f t="shared" si="21"/>
        <v>0</v>
      </c>
      <c r="BF39" s="178">
        <f t="shared" si="21"/>
        <v>0</v>
      </c>
      <c r="BG39" s="178">
        <f t="shared" si="21"/>
        <v>0</v>
      </c>
      <c r="BH39" s="178">
        <f t="shared" si="21"/>
        <v>0</v>
      </c>
      <c r="BI39" s="178">
        <f t="shared" si="21"/>
        <v>0</v>
      </c>
    </row>
    <row r="40" spans="2:61" ht="12.75" customHeight="1" x14ac:dyDescent="0.2">
      <c r="B40" s="133" t="s">
        <v>268</v>
      </c>
      <c r="C40" s="134"/>
      <c r="D40" s="20"/>
      <c r="E40" s="20"/>
      <c r="F40" s="20"/>
      <c r="G40" s="71" t="str">
        <f t="shared" si="5"/>
        <v>-</v>
      </c>
      <c r="H40" s="190"/>
      <c r="I40" s="171" t="str">
        <f t="shared" si="6"/>
        <v/>
      </c>
      <c r="K40" s="178" t="str">
        <f t="array" ref="K40">IFERROR(INDEX($C$9:$C$59,MATCH(0,COUNTIF($K$8:$K39,$C$9:$C$59),0)),"")</f>
        <v/>
      </c>
      <c r="L40" s="178">
        <f t="shared" si="17"/>
        <v>0</v>
      </c>
      <c r="M40" s="178">
        <f t="shared" si="17"/>
        <v>0</v>
      </c>
      <c r="N40" s="178">
        <f t="shared" si="17"/>
        <v>0</v>
      </c>
      <c r="O40" s="178">
        <f t="shared" si="17"/>
        <v>0</v>
      </c>
      <c r="P40" s="178">
        <f t="shared" si="17"/>
        <v>0</v>
      </c>
      <c r="Q40" s="178">
        <f t="shared" si="17"/>
        <v>0</v>
      </c>
      <c r="R40" s="178">
        <f t="shared" si="17"/>
        <v>0</v>
      </c>
      <c r="S40" s="178">
        <f t="shared" si="17"/>
        <v>0</v>
      </c>
      <c r="T40" s="178">
        <f t="shared" si="17"/>
        <v>0</v>
      </c>
      <c r="U40" s="178">
        <f t="shared" si="17"/>
        <v>0</v>
      </c>
      <c r="V40" s="178">
        <f t="shared" si="18"/>
        <v>0</v>
      </c>
      <c r="W40" s="178">
        <f t="shared" si="18"/>
        <v>0</v>
      </c>
      <c r="X40" s="178">
        <f t="shared" si="18"/>
        <v>0</v>
      </c>
      <c r="Y40" s="178">
        <f t="shared" si="18"/>
        <v>0</v>
      </c>
      <c r="Z40" s="178">
        <f t="shared" si="18"/>
        <v>0</v>
      </c>
      <c r="AA40" s="178">
        <f t="shared" si="18"/>
        <v>0</v>
      </c>
      <c r="AB40" s="178">
        <f t="shared" si="18"/>
        <v>0</v>
      </c>
      <c r="AC40" s="178">
        <f t="shared" si="18"/>
        <v>0</v>
      </c>
      <c r="AD40" s="178">
        <f t="shared" si="18"/>
        <v>0</v>
      </c>
      <c r="AE40" s="178">
        <f t="shared" si="18"/>
        <v>0</v>
      </c>
      <c r="AF40" s="178">
        <f t="shared" si="19"/>
        <v>0</v>
      </c>
      <c r="AG40" s="178">
        <f t="shared" si="19"/>
        <v>0</v>
      </c>
      <c r="AH40" s="178">
        <f t="shared" si="19"/>
        <v>0</v>
      </c>
      <c r="AI40" s="178">
        <f t="shared" si="19"/>
        <v>0</v>
      </c>
      <c r="AJ40" s="178">
        <f t="shared" si="19"/>
        <v>0</v>
      </c>
      <c r="AK40" s="178">
        <f t="shared" si="19"/>
        <v>0</v>
      </c>
      <c r="AL40" s="178">
        <f t="shared" si="19"/>
        <v>0</v>
      </c>
      <c r="AM40" s="178">
        <f t="shared" si="19"/>
        <v>0</v>
      </c>
      <c r="AN40" s="178">
        <f t="shared" si="19"/>
        <v>0</v>
      </c>
      <c r="AO40" s="178">
        <f t="shared" si="19"/>
        <v>0</v>
      </c>
      <c r="AP40" s="178">
        <f t="shared" si="20"/>
        <v>0</v>
      </c>
      <c r="AQ40" s="178">
        <f t="shared" si="20"/>
        <v>0</v>
      </c>
      <c r="AR40" s="178">
        <f t="shared" si="20"/>
        <v>0</v>
      </c>
      <c r="AS40" s="178">
        <f t="shared" si="20"/>
        <v>0</v>
      </c>
      <c r="AT40" s="178">
        <f t="shared" si="20"/>
        <v>0</v>
      </c>
      <c r="AU40" s="178">
        <f t="shared" si="20"/>
        <v>0</v>
      </c>
      <c r="AV40" s="178">
        <f t="shared" si="20"/>
        <v>0</v>
      </c>
      <c r="AW40" s="178">
        <f t="shared" si="20"/>
        <v>0</v>
      </c>
      <c r="AX40" s="178">
        <f t="shared" si="20"/>
        <v>0</v>
      </c>
      <c r="AY40" s="178">
        <f t="shared" si="20"/>
        <v>0</v>
      </c>
      <c r="AZ40" s="178">
        <f t="shared" si="21"/>
        <v>0</v>
      </c>
      <c r="BA40" s="178">
        <f t="shared" si="21"/>
        <v>0</v>
      </c>
      <c r="BB40" s="178">
        <f t="shared" si="21"/>
        <v>0</v>
      </c>
      <c r="BC40" s="178">
        <f t="shared" si="21"/>
        <v>0</v>
      </c>
      <c r="BD40" s="178">
        <f t="shared" si="21"/>
        <v>0</v>
      </c>
      <c r="BE40" s="178">
        <f t="shared" si="21"/>
        <v>0</v>
      </c>
      <c r="BF40" s="178">
        <f t="shared" si="21"/>
        <v>0</v>
      </c>
      <c r="BG40" s="178">
        <f t="shared" si="21"/>
        <v>0</v>
      </c>
      <c r="BH40" s="178">
        <f t="shared" si="21"/>
        <v>0</v>
      </c>
      <c r="BI40" s="178">
        <f t="shared" si="21"/>
        <v>0</v>
      </c>
    </row>
    <row r="41" spans="2:61" ht="12.75" customHeight="1" x14ac:dyDescent="0.2">
      <c r="B41" s="133" t="s">
        <v>269</v>
      </c>
      <c r="C41" s="134"/>
      <c r="D41" s="20"/>
      <c r="E41" s="20"/>
      <c r="F41" s="20"/>
      <c r="G41" s="71" t="str">
        <f t="shared" si="5"/>
        <v>-</v>
      </c>
      <c r="H41" s="190"/>
      <c r="I41" s="171" t="str">
        <f t="shared" si="6"/>
        <v/>
      </c>
      <c r="K41" s="178" t="str">
        <f t="array" ref="K41">IFERROR(INDEX($C$9:$C$59,MATCH(0,COUNTIF($K$8:$K40,$C$9:$C$59),0)),"")</f>
        <v/>
      </c>
      <c r="L41" s="178">
        <f t="shared" si="17"/>
        <v>0</v>
      </c>
      <c r="M41" s="178">
        <f t="shared" si="17"/>
        <v>0</v>
      </c>
      <c r="N41" s="178">
        <f t="shared" si="17"/>
        <v>0</v>
      </c>
      <c r="O41" s="178">
        <f t="shared" si="17"/>
        <v>0</v>
      </c>
      <c r="P41" s="178">
        <f t="shared" si="17"/>
        <v>0</v>
      </c>
      <c r="Q41" s="178">
        <f t="shared" si="17"/>
        <v>0</v>
      </c>
      <c r="R41" s="178">
        <f t="shared" si="17"/>
        <v>0</v>
      </c>
      <c r="S41" s="178">
        <f t="shared" si="17"/>
        <v>0</v>
      </c>
      <c r="T41" s="178">
        <f t="shared" si="17"/>
        <v>0</v>
      </c>
      <c r="U41" s="178">
        <f t="shared" si="17"/>
        <v>0</v>
      </c>
      <c r="V41" s="178">
        <f t="shared" si="18"/>
        <v>0</v>
      </c>
      <c r="W41" s="178">
        <f t="shared" si="18"/>
        <v>0</v>
      </c>
      <c r="X41" s="178">
        <f t="shared" si="18"/>
        <v>0</v>
      </c>
      <c r="Y41" s="178">
        <f t="shared" si="18"/>
        <v>0</v>
      </c>
      <c r="Z41" s="178">
        <f t="shared" si="18"/>
        <v>0</v>
      </c>
      <c r="AA41" s="178">
        <f t="shared" si="18"/>
        <v>0</v>
      </c>
      <c r="AB41" s="178">
        <f t="shared" si="18"/>
        <v>0</v>
      </c>
      <c r="AC41" s="178">
        <f t="shared" si="18"/>
        <v>0</v>
      </c>
      <c r="AD41" s="178">
        <f t="shared" si="18"/>
        <v>0</v>
      </c>
      <c r="AE41" s="178">
        <f t="shared" si="18"/>
        <v>0</v>
      </c>
      <c r="AF41" s="178">
        <f t="shared" si="19"/>
        <v>0</v>
      </c>
      <c r="AG41" s="178">
        <f t="shared" si="19"/>
        <v>0</v>
      </c>
      <c r="AH41" s="178">
        <f t="shared" si="19"/>
        <v>0</v>
      </c>
      <c r="AI41" s="178">
        <f t="shared" si="19"/>
        <v>0</v>
      </c>
      <c r="AJ41" s="178">
        <f t="shared" si="19"/>
        <v>0</v>
      </c>
      <c r="AK41" s="178">
        <f t="shared" si="19"/>
        <v>0</v>
      </c>
      <c r="AL41" s="178">
        <f t="shared" si="19"/>
        <v>0</v>
      </c>
      <c r="AM41" s="178">
        <f t="shared" si="19"/>
        <v>0</v>
      </c>
      <c r="AN41" s="178">
        <f t="shared" si="19"/>
        <v>0</v>
      </c>
      <c r="AO41" s="178">
        <f t="shared" si="19"/>
        <v>0</v>
      </c>
      <c r="AP41" s="178">
        <f t="shared" si="20"/>
        <v>0</v>
      </c>
      <c r="AQ41" s="178">
        <f t="shared" si="20"/>
        <v>0</v>
      </c>
      <c r="AR41" s="178">
        <f t="shared" si="20"/>
        <v>0</v>
      </c>
      <c r="AS41" s="178">
        <f t="shared" si="20"/>
        <v>0</v>
      </c>
      <c r="AT41" s="178">
        <f t="shared" si="20"/>
        <v>0</v>
      </c>
      <c r="AU41" s="178">
        <f t="shared" si="20"/>
        <v>0</v>
      </c>
      <c r="AV41" s="178">
        <f t="shared" si="20"/>
        <v>0</v>
      </c>
      <c r="AW41" s="178">
        <f t="shared" si="20"/>
        <v>0</v>
      </c>
      <c r="AX41" s="178">
        <f t="shared" si="20"/>
        <v>0</v>
      </c>
      <c r="AY41" s="178">
        <f t="shared" si="20"/>
        <v>0</v>
      </c>
      <c r="AZ41" s="178">
        <f t="shared" si="21"/>
        <v>0</v>
      </c>
      <c r="BA41" s="178">
        <f t="shared" si="21"/>
        <v>0</v>
      </c>
      <c r="BB41" s="178">
        <f t="shared" si="21"/>
        <v>0</v>
      </c>
      <c r="BC41" s="178">
        <f t="shared" si="21"/>
        <v>0</v>
      </c>
      <c r="BD41" s="178">
        <f t="shared" si="21"/>
        <v>0</v>
      </c>
      <c r="BE41" s="178">
        <f t="shared" si="21"/>
        <v>0</v>
      </c>
      <c r="BF41" s="178">
        <f t="shared" si="21"/>
        <v>0</v>
      </c>
      <c r="BG41" s="178">
        <f t="shared" si="21"/>
        <v>0</v>
      </c>
      <c r="BH41" s="178">
        <f t="shared" si="21"/>
        <v>0</v>
      </c>
      <c r="BI41" s="178">
        <f t="shared" si="21"/>
        <v>0</v>
      </c>
    </row>
    <row r="42" spans="2:61" ht="12.75" customHeight="1" x14ac:dyDescent="0.2">
      <c r="B42" s="133" t="s">
        <v>270</v>
      </c>
      <c r="C42" s="134"/>
      <c r="D42" s="20"/>
      <c r="E42" s="20"/>
      <c r="F42" s="20"/>
      <c r="G42" s="71" t="str">
        <f t="shared" si="5"/>
        <v>-</v>
      </c>
      <c r="H42" s="190"/>
      <c r="I42" s="171" t="str">
        <f t="shared" si="6"/>
        <v/>
      </c>
      <c r="K42" s="178" t="str">
        <f t="array" ref="K42">IFERROR(INDEX($C$9:$C$59,MATCH(0,COUNTIF($K$8:$K41,$C$9:$C$59),0)),"")</f>
        <v/>
      </c>
      <c r="L42" s="178">
        <f t="shared" si="17"/>
        <v>0</v>
      </c>
      <c r="M42" s="178">
        <f t="shared" si="17"/>
        <v>0</v>
      </c>
      <c r="N42" s="178">
        <f t="shared" si="17"/>
        <v>0</v>
      </c>
      <c r="O42" s="178">
        <f t="shared" si="17"/>
        <v>0</v>
      </c>
      <c r="P42" s="178">
        <f t="shared" si="17"/>
        <v>0</v>
      </c>
      <c r="Q42" s="178">
        <f t="shared" si="17"/>
        <v>0</v>
      </c>
      <c r="R42" s="178">
        <f t="shared" si="17"/>
        <v>0</v>
      </c>
      <c r="S42" s="178">
        <f t="shared" si="17"/>
        <v>0</v>
      </c>
      <c r="T42" s="178">
        <f t="shared" si="17"/>
        <v>0</v>
      </c>
      <c r="U42" s="178">
        <f t="shared" si="17"/>
        <v>0</v>
      </c>
      <c r="V42" s="178">
        <f t="shared" si="18"/>
        <v>0</v>
      </c>
      <c r="W42" s="178">
        <f t="shared" si="18"/>
        <v>0</v>
      </c>
      <c r="X42" s="178">
        <f t="shared" si="18"/>
        <v>0</v>
      </c>
      <c r="Y42" s="178">
        <f t="shared" si="18"/>
        <v>0</v>
      </c>
      <c r="Z42" s="178">
        <f t="shared" si="18"/>
        <v>0</v>
      </c>
      <c r="AA42" s="178">
        <f t="shared" si="18"/>
        <v>0</v>
      </c>
      <c r="AB42" s="178">
        <f t="shared" si="18"/>
        <v>0</v>
      </c>
      <c r="AC42" s="178">
        <f t="shared" si="18"/>
        <v>0</v>
      </c>
      <c r="AD42" s="178">
        <f t="shared" si="18"/>
        <v>0</v>
      </c>
      <c r="AE42" s="178">
        <f t="shared" si="18"/>
        <v>0</v>
      </c>
      <c r="AF42" s="178">
        <f t="shared" si="19"/>
        <v>0</v>
      </c>
      <c r="AG42" s="178">
        <f t="shared" si="19"/>
        <v>0</v>
      </c>
      <c r="AH42" s="178">
        <f t="shared" si="19"/>
        <v>0</v>
      </c>
      <c r="AI42" s="178">
        <f t="shared" si="19"/>
        <v>0</v>
      </c>
      <c r="AJ42" s="178">
        <f t="shared" si="19"/>
        <v>0</v>
      </c>
      <c r="AK42" s="178">
        <f t="shared" si="19"/>
        <v>0</v>
      </c>
      <c r="AL42" s="178">
        <f t="shared" si="19"/>
        <v>0</v>
      </c>
      <c r="AM42" s="178">
        <f t="shared" si="19"/>
        <v>0</v>
      </c>
      <c r="AN42" s="178">
        <f t="shared" si="19"/>
        <v>0</v>
      </c>
      <c r="AO42" s="178">
        <f t="shared" si="19"/>
        <v>0</v>
      </c>
      <c r="AP42" s="178">
        <f t="shared" si="20"/>
        <v>0</v>
      </c>
      <c r="AQ42" s="178">
        <f t="shared" si="20"/>
        <v>0</v>
      </c>
      <c r="AR42" s="178">
        <f t="shared" si="20"/>
        <v>0</v>
      </c>
      <c r="AS42" s="178">
        <f t="shared" si="20"/>
        <v>0</v>
      </c>
      <c r="AT42" s="178">
        <f t="shared" si="20"/>
        <v>0</v>
      </c>
      <c r="AU42" s="178">
        <f t="shared" si="20"/>
        <v>0</v>
      </c>
      <c r="AV42" s="178">
        <f t="shared" si="20"/>
        <v>0</v>
      </c>
      <c r="AW42" s="178">
        <f t="shared" si="20"/>
        <v>0</v>
      </c>
      <c r="AX42" s="178">
        <f t="shared" si="20"/>
        <v>0</v>
      </c>
      <c r="AY42" s="178">
        <f t="shared" si="20"/>
        <v>0</v>
      </c>
      <c r="AZ42" s="178">
        <f t="shared" si="21"/>
        <v>0</v>
      </c>
      <c r="BA42" s="178">
        <f t="shared" si="21"/>
        <v>0</v>
      </c>
      <c r="BB42" s="178">
        <f t="shared" si="21"/>
        <v>0</v>
      </c>
      <c r="BC42" s="178">
        <f t="shared" si="21"/>
        <v>0</v>
      </c>
      <c r="BD42" s="178">
        <f t="shared" si="21"/>
        <v>0</v>
      </c>
      <c r="BE42" s="178">
        <f t="shared" si="21"/>
        <v>0</v>
      </c>
      <c r="BF42" s="178">
        <f t="shared" si="21"/>
        <v>0</v>
      </c>
      <c r="BG42" s="178">
        <f t="shared" si="21"/>
        <v>0</v>
      </c>
      <c r="BH42" s="178">
        <f t="shared" si="21"/>
        <v>0</v>
      </c>
      <c r="BI42" s="178">
        <f t="shared" si="21"/>
        <v>0</v>
      </c>
    </row>
    <row r="43" spans="2:61" ht="12.75" customHeight="1" x14ac:dyDescent="0.2">
      <c r="B43" s="133" t="s">
        <v>271</v>
      </c>
      <c r="C43" s="134"/>
      <c r="D43" s="20"/>
      <c r="E43" s="20"/>
      <c r="F43" s="20"/>
      <c r="G43" s="71" t="str">
        <f t="shared" si="5"/>
        <v>-</v>
      </c>
      <c r="H43" s="190"/>
      <c r="I43" s="171" t="str">
        <f t="shared" si="6"/>
        <v/>
      </c>
      <c r="K43" s="178" t="str">
        <f t="array" ref="K43">IFERROR(INDEX($C$9:$C$59,MATCH(0,COUNTIF($K$8:$K42,$C$9:$C$59),0)),"")</f>
        <v/>
      </c>
      <c r="L43" s="178">
        <f t="shared" si="17"/>
        <v>0</v>
      </c>
      <c r="M43" s="178">
        <f t="shared" si="17"/>
        <v>0</v>
      </c>
      <c r="N43" s="178">
        <f t="shared" si="17"/>
        <v>0</v>
      </c>
      <c r="O43" s="178">
        <f t="shared" si="17"/>
        <v>0</v>
      </c>
      <c r="P43" s="178">
        <f t="shared" si="17"/>
        <v>0</v>
      </c>
      <c r="Q43" s="178">
        <f t="shared" si="17"/>
        <v>0</v>
      </c>
      <c r="R43" s="178">
        <f t="shared" si="17"/>
        <v>0</v>
      </c>
      <c r="S43" s="178">
        <f t="shared" si="17"/>
        <v>0</v>
      </c>
      <c r="T43" s="178">
        <f t="shared" si="17"/>
        <v>0</v>
      </c>
      <c r="U43" s="178">
        <f t="shared" si="17"/>
        <v>0</v>
      </c>
      <c r="V43" s="178">
        <f t="shared" si="18"/>
        <v>0</v>
      </c>
      <c r="W43" s="178">
        <f t="shared" si="18"/>
        <v>0</v>
      </c>
      <c r="X43" s="178">
        <f t="shared" si="18"/>
        <v>0</v>
      </c>
      <c r="Y43" s="178">
        <f t="shared" si="18"/>
        <v>0</v>
      </c>
      <c r="Z43" s="178">
        <f t="shared" si="18"/>
        <v>0</v>
      </c>
      <c r="AA43" s="178">
        <f t="shared" si="18"/>
        <v>0</v>
      </c>
      <c r="AB43" s="178">
        <f t="shared" si="18"/>
        <v>0</v>
      </c>
      <c r="AC43" s="178">
        <f t="shared" si="18"/>
        <v>0</v>
      </c>
      <c r="AD43" s="178">
        <f t="shared" si="18"/>
        <v>0</v>
      </c>
      <c r="AE43" s="178">
        <f t="shared" si="18"/>
        <v>0</v>
      </c>
      <c r="AF43" s="178">
        <f t="shared" si="19"/>
        <v>0</v>
      </c>
      <c r="AG43" s="178">
        <f t="shared" si="19"/>
        <v>0</v>
      </c>
      <c r="AH43" s="178">
        <f t="shared" si="19"/>
        <v>0</v>
      </c>
      <c r="AI43" s="178">
        <f t="shared" si="19"/>
        <v>0</v>
      </c>
      <c r="AJ43" s="178">
        <f t="shared" si="19"/>
        <v>0</v>
      </c>
      <c r="AK43" s="178">
        <f t="shared" si="19"/>
        <v>0</v>
      </c>
      <c r="AL43" s="178">
        <f t="shared" si="19"/>
        <v>0</v>
      </c>
      <c r="AM43" s="178">
        <f t="shared" si="19"/>
        <v>0</v>
      </c>
      <c r="AN43" s="178">
        <f t="shared" si="19"/>
        <v>0</v>
      </c>
      <c r="AO43" s="178">
        <f t="shared" si="19"/>
        <v>0</v>
      </c>
      <c r="AP43" s="178">
        <f t="shared" si="20"/>
        <v>0</v>
      </c>
      <c r="AQ43" s="178">
        <f t="shared" si="20"/>
        <v>0</v>
      </c>
      <c r="AR43" s="178">
        <f t="shared" si="20"/>
        <v>0</v>
      </c>
      <c r="AS43" s="178">
        <f t="shared" si="20"/>
        <v>0</v>
      </c>
      <c r="AT43" s="178">
        <f t="shared" si="20"/>
        <v>0</v>
      </c>
      <c r="AU43" s="178">
        <f t="shared" si="20"/>
        <v>0</v>
      </c>
      <c r="AV43" s="178">
        <f t="shared" si="20"/>
        <v>0</v>
      </c>
      <c r="AW43" s="178">
        <f t="shared" si="20"/>
        <v>0</v>
      </c>
      <c r="AX43" s="178">
        <f t="shared" si="20"/>
        <v>0</v>
      </c>
      <c r="AY43" s="178">
        <f t="shared" si="20"/>
        <v>0</v>
      </c>
      <c r="AZ43" s="178">
        <f t="shared" si="21"/>
        <v>0</v>
      </c>
      <c r="BA43" s="178">
        <f t="shared" si="21"/>
        <v>0</v>
      </c>
      <c r="BB43" s="178">
        <f t="shared" si="21"/>
        <v>0</v>
      </c>
      <c r="BC43" s="178">
        <f t="shared" si="21"/>
        <v>0</v>
      </c>
      <c r="BD43" s="178">
        <f t="shared" si="21"/>
        <v>0</v>
      </c>
      <c r="BE43" s="178">
        <f t="shared" si="21"/>
        <v>0</v>
      </c>
      <c r="BF43" s="178">
        <f t="shared" si="21"/>
        <v>0</v>
      </c>
      <c r="BG43" s="178">
        <f t="shared" si="21"/>
        <v>0</v>
      </c>
      <c r="BH43" s="178">
        <f t="shared" si="21"/>
        <v>0</v>
      </c>
      <c r="BI43" s="178">
        <f t="shared" si="21"/>
        <v>0</v>
      </c>
    </row>
    <row r="44" spans="2:61" ht="12.75" customHeight="1" x14ac:dyDescent="0.2">
      <c r="B44" s="133" t="s">
        <v>272</v>
      </c>
      <c r="C44" s="134"/>
      <c r="D44" s="20"/>
      <c r="E44" s="20"/>
      <c r="F44" s="20"/>
      <c r="G44" s="71" t="str">
        <f t="shared" si="5"/>
        <v>-</v>
      </c>
      <c r="H44" s="190"/>
      <c r="I44" s="171" t="str">
        <f t="shared" si="6"/>
        <v/>
      </c>
      <c r="K44" s="178" t="str">
        <f t="array" ref="K44">IFERROR(INDEX($C$9:$C$59,MATCH(0,COUNTIF($K$8:$K43,$C$9:$C$59),0)),"")</f>
        <v/>
      </c>
      <c r="L44" s="178">
        <f t="shared" si="17"/>
        <v>0</v>
      </c>
      <c r="M44" s="178">
        <f t="shared" si="17"/>
        <v>0</v>
      </c>
      <c r="N44" s="178">
        <f t="shared" si="17"/>
        <v>0</v>
      </c>
      <c r="O44" s="178">
        <f t="shared" si="17"/>
        <v>0</v>
      </c>
      <c r="P44" s="178">
        <f t="shared" si="17"/>
        <v>0</v>
      </c>
      <c r="Q44" s="178">
        <f t="shared" si="17"/>
        <v>0</v>
      </c>
      <c r="R44" s="178">
        <f t="shared" si="17"/>
        <v>0</v>
      </c>
      <c r="S44" s="178">
        <f t="shared" si="17"/>
        <v>0</v>
      </c>
      <c r="T44" s="178">
        <f t="shared" si="17"/>
        <v>0</v>
      </c>
      <c r="U44" s="178">
        <f t="shared" si="17"/>
        <v>0</v>
      </c>
      <c r="V44" s="178">
        <f t="shared" si="18"/>
        <v>0</v>
      </c>
      <c r="W44" s="178">
        <f t="shared" si="18"/>
        <v>0</v>
      </c>
      <c r="X44" s="178">
        <f t="shared" si="18"/>
        <v>0</v>
      </c>
      <c r="Y44" s="178">
        <f t="shared" si="18"/>
        <v>0</v>
      </c>
      <c r="Z44" s="178">
        <f t="shared" si="18"/>
        <v>0</v>
      </c>
      <c r="AA44" s="178">
        <f t="shared" si="18"/>
        <v>0</v>
      </c>
      <c r="AB44" s="178">
        <f t="shared" si="18"/>
        <v>0</v>
      </c>
      <c r="AC44" s="178">
        <f t="shared" si="18"/>
        <v>0</v>
      </c>
      <c r="AD44" s="178">
        <f t="shared" si="18"/>
        <v>0</v>
      </c>
      <c r="AE44" s="178">
        <f t="shared" si="18"/>
        <v>0</v>
      </c>
      <c r="AF44" s="178">
        <f t="shared" si="19"/>
        <v>0</v>
      </c>
      <c r="AG44" s="178">
        <f t="shared" si="19"/>
        <v>0</v>
      </c>
      <c r="AH44" s="178">
        <f t="shared" si="19"/>
        <v>0</v>
      </c>
      <c r="AI44" s="178">
        <f t="shared" si="19"/>
        <v>0</v>
      </c>
      <c r="AJ44" s="178">
        <f t="shared" si="19"/>
        <v>0</v>
      </c>
      <c r="AK44" s="178">
        <f t="shared" si="19"/>
        <v>0</v>
      </c>
      <c r="AL44" s="178">
        <f t="shared" si="19"/>
        <v>0</v>
      </c>
      <c r="AM44" s="178">
        <f t="shared" si="19"/>
        <v>0</v>
      </c>
      <c r="AN44" s="178">
        <f t="shared" si="19"/>
        <v>0</v>
      </c>
      <c r="AO44" s="178">
        <f t="shared" si="19"/>
        <v>0</v>
      </c>
      <c r="AP44" s="178">
        <f t="shared" si="20"/>
        <v>0</v>
      </c>
      <c r="AQ44" s="178">
        <f t="shared" si="20"/>
        <v>0</v>
      </c>
      <c r="AR44" s="178">
        <f t="shared" si="20"/>
        <v>0</v>
      </c>
      <c r="AS44" s="178">
        <f t="shared" si="20"/>
        <v>0</v>
      </c>
      <c r="AT44" s="178">
        <f t="shared" si="20"/>
        <v>0</v>
      </c>
      <c r="AU44" s="178">
        <f t="shared" si="20"/>
        <v>0</v>
      </c>
      <c r="AV44" s="178">
        <f t="shared" si="20"/>
        <v>0</v>
      </c>
      <c r="AW44" s="178">
        <f t="shared" si="20"/>
        <v>0</v>
      </c>
      <c r="AX44" s="178">
        <f t="shared" si="20"/>
        <v>0</v>
      </c>
      <c r="AY44" s="178">
        <f t="shared" si="20"/>
        <v>0</v>
      </c>
      <c r="AZ44" s="178">
        <f t="shared" si="21"/>
        <v>0</v>
      </c>
      <c r="BA44" s="178">
        <f t="shared" si="21"/>
        <v>0</v>
      </c>
      <c r="BB44" s="178">
        <f t="shared" si="21"/>
        <v>0</v>
      </c>
      <c r="BC44" s="178">
        <f t="shared" si="21"/>
        <v>0</v>
      </c>
      <c r="BD44" s="178">
        <f t="shared" si="21"/>
        <v>0</v>
      </c>
      <c r="BE44" s="178">
        <f t="shared" si="21"/>
        <v>0</v>
      </c>
      <c r="BF44" s="178">
        <f t="shared" si="21"/>
        <v>0</v>
      </c>
      <c r="BG44" s="178">
        <f t="shared" si="21"/>
        <v>0</v>
      </c>
      <c r="BH44" s="178">
        <f t="shared" si="21"/>
        <v>0</v>
      </c>
      <c r="BI44" s="178">
        <f t="shared" si="21"/>
        <v>0</v>
      </c>
    </row>
    <row r="45" spans="2:61" ht="12.75" customHeight="1" x14ac:dyDescent="0.2">
      <c r="B45" s="133" t="s">
        <v>273</v>
      </c>
      <c r="C45" s="134"/>
      <c r="D45" s="20"/>
      <c r="E45" s="20"/>
      <c r="F45" s="20"/>
      <c r="G45" s="71" t="str">
        <f t="shared" si="5"/>
        <v>-</v>
      </c>
      <c r="H45" s="190"/>
      <c r="I45" s="171" t="str">
        <f t="shared" si="6"/>
        <v/>
      </c>
      <c r="K45" s="178" t="str">
        <f t="array" ref="K45">IFERROR(INDEX($C$9:$C$59,MATCH(0,COUNTIF($K$8:$K44,$C$9:$C$59),0)),"")</f>
        <v/>
      </c>
      <c r="L45" s="178">
        <f t="shared" si="17"/>
        <v>0</v>
      </c>
      <c r="M45" s="178">
        <f t="shared" si="17"/>
        <v>0</v>
      </c>
      <c r="N45" s="178">
        <f t="shared" si="17"/>
        <v>0</v>
      </c>
      <c r="O45" s="178">
        <f t="shared" si="17"/>
        <v>0</v>
      </c>
      <c r="P45" s="178">
        <f t="shared" si="17"/>
        <v>0</v>
      </c>
      <c r="Q45" s="178">
        <f t="shared" si="17"/>
        <v>0</v>
      </c>
      <c r="R45" s="178">
        <f t="shared" si="17"/>
        <v>0</v>
      </c>
      <c r="S45" s="178">
        <f t="shared" si="17"/>
        <v>0</v>
      </c>
      <c r="T45" s="178">
        <f t="shared" si="17"/>
        <v>0</v>
      </c>
      <c r="U45" s="178">
        <f t="shared" si="17"/>
        <v>0</v>
      </c>
      <c r="V45" s="178">
        <f t="shared" si="18"/>
        <v>0</v>
      </c>
      <c r="W45" s="178">
        <f t="shared" si="18"/>
        <v>0</v>
      </c>
      <c r="X45" s="178">
        <f t="shared" si="18"/>
        <v>0</v>
      </c>
      <c r="Y45" s="178">
        <f t="shared" si="18"/>
        <v>0</v>
      </c>
      <c r="Z45" s="178">
        <f t="shared" si="18"/>
        <v>0</v>
      </c>
      <c r="AA45" s="178">
        <f t="shared" si="18"/>
        <v>0</v>
      </c>
      <c r="AB45" s="178">
        <f t="shared" si="18"/>
        <v>0</v>
      </c>
      <c r="AC45" s="178">
        <f t="shared" si="18"/>
        <v>0</v>
      </c>
      <c r="AD45" s="178">
        <f t="shared" si="18"/>
        <v>0</v>
      </c>
      <c r="AE45" s="178">
        <f t="shared" si="18"/>
        <v>0</v>
      </c>
      <c r="AF45" s="178">
        <f t="shared" si="19"/>
        <v>0</v>
      </c>
      <c r="AG45" s="178">
        <f t="shared" si="19"/>
        <v>0</v>
      </c>
      <c r="AH45" s="178">
        <f t="shared" si="19"/>
        <v>0</v>
      </c>
      <c r="AI45" s="178">
        <f t="shared" si="19"/>
        <v>0</v>
      </c>
      <c r="AJ45" s="178">
        <f t="shared" si="19"/>
        <v>0</v>
      </c>
      <c r="AK45" s="178">
        <f t="shared" si="19"/>
        <v>0</v>
      </c>
      <c r="AL45" s="178">
        <f t="shared" si="19"/>
        <v>0</v>
      </c>
      <c r="AM45" s="178">
        <f t="shared" si="19"/>
        <v>0</v>
      </c>
      <c r="AN45" s="178">
        <f t="shared" si="19"/>
        <v>0</v>
      </c>
      <c r="AO45" s="178">
        <f t="shared" si="19"/>
        <v>0</v>
      </c>
      <c r="AP45" s="178">
        <f t="shared" si="20"/>
        <v>0</v>
      </c>
      <c r="AQ45" s="178">
        <f t="shared" si="20"/>
        <v>0</v>
      </c>
      <c r="AR45" s="178">
        <f t="shared" si="20"/>
        <v>0</v>
      </c>
      <c r="AS45" s="178">
        <f t="shared" si="20"/>
        <v>0</v>
      </c>
      <c r="AT45" s="178">
        <f t="shared" si="20"/>
        <v>0</v>
      </c>
      <c r="AU45" s="178">
        <f t="shared" si="20"/>
        <v>0</v>
      </c>
      <c r="AV45" s="178">
        <f t="shared" si="20"/>
        <v>0</v>
      </c>
      <c r="AW45" s="178">
        <f t="shared" si="20"/>
        <v>0</v>
      </c>
      <c r="AX45" s="178">
        <f t="shared" si="20"/>
        <v>0</v>
      </c>
      <c r="AY45" s="178">
        <f t="shared" si="20"/>
        <v>0</v>
      </c>
      <c r="AZ45" s="178">
        <f t="shared" si="21"/>
        <v>0</v>
      </c>
      <c r="BA45" s="178">
        <f t="shared" si="21"/>
        <v>0</v>
      </c>
      <c r="BB45" s="178">
        <f t="shared" si="21"/>
        <v>0</v>
      </c>
      <c r="BC45" s="178">
        <f t="shared" si="21"/>
        <v>0</v>
      </c>
      <c r="BD45" s="178">
        <f t="shared" si="21"/>
        <v>0</v>
      </c>
      <c r="BE45" s="178">
        <f t="shared" si="21"/>
        <v>0</v>
      </c>
      <c r="BF45" s="178">
        <f t="shared" si="21"/>
        <v>0</v>
      </c>
      <c r="BG45" s="178">
        <f t="shared" si="21"/>
        <v>0</v>
      </c>
      <c r="BH45" s="178">
        <f t="shared" si="21"/>
        <v>0</v>
      </c>
      <c r="BI45" s="178">
        <f t="shared" si="21"/>
        <v>0</v>
      </c>
    </row>
    <row r="46" spans="2:61" ht="12.75" customHeight="1" x14ac:dyDescent="0.2">
      <c r="B46" s="133" t="s">
        <v>274</v>
      </c>
      <c r="C46" s="134"/>
      <c r="D46" s="20"/>
      <c r="E46" s="20"/>
      <c r="F46" s="20"/>
      <c r="G46" s="71" t="str">
        <f t="shared" si="5"/>
        <v>-</v>
      </c>
      <c r="H46" s="190"/>
      <c r="I46" s="171" t="str">
        <f t="shared" si="6"/>
        <v/>
      </c>
      <c r="K46" s="178" t="str">
        <f t="array" ref="K46">IFERROR(INDEX($C$9:$C$59,MATCH(0,COUNTIF($K$8:$K45,$C$9:$C$59),0)),"")</f>
        <v/>
      </c>
      <c r="L46" s="178">
        <f t="shared" si="17"/>
        <v>0</v>
      </c>
      <c r="M46" s="178">
        <f t="shared" si="17"/>
        <v>0</v>
      </c>
      <c r="N46" s="178">
        <f t="shared" si="17"/>
        <v>0</v>
      </c>
      <c r="O46" s="178">
        <f t="shared" si="17"/>
        <v>0</v>
      </c>
      <c r="P46" s="178">
        <f t="shared" si="17"/>
        <v>0</v>
      </c>
      <c r="Q46" s="178">
        <f t="shared" si="17"/>
        <v>0</v>
      </c>
      <c r="R46" s="178">
        <f t="shared" si="17"/>
        <v>0</v>
      </c>
      <c r="S46" s="178">
        <f t="shared" si="17"/>
        <v>0</v>
      </c>
      <c r="T46" s="178">
        <f t="shared" si="17"/>
        <v>0</v>
      </c>
      <c r="U46" s="178">
        <f t="shared" si="17"/>
        <v>0</v>
      </c>
      <c r="V46" s="178">
        <f t="shared" si="18"/>
        <v>0</v>
      </c>
      <c r="W46" s="178">
        <f t="shared" si="18"/>
        <v>0</v>
      </c>
      <c r="X46" s="178">
        <f t="shared" si="18"/>
        <v>0</v>
      </c>
      <c r="Y46" s="178">
        <f t="shared" si="18"/>
        <v>0</v>
      </c>
      <c r="Z46" s="178">
        <f t="shared" si="18"/>
        <v>0</v>
      </c>
      <c r="AA46" s="178">
        <f t="shared" si="18"/>
        <v>0</v>
      </c>
      <c r="AB46" s="178">
        <f t="shared" si="18"/>
        <v>0</v>
      </c>
      <c r="AC46" s="178">
        <f t="shared" si="18"/>
        <v>0</v>
      </c>
      <c r="AD46" s="178">
        <f t="shared" si="18"/>
        <v>0</v>
      </c>
      <c r="AE46" s="178">
        <f t="shared" si="18"/>
        <v>0</v>
      </c>
      <c r="AF46" s="178">
        <f t="shared" si="19"/>
        <v>0</v>
      </c>
      <c r="AG46" s="178">
        <f t="shared" si="19"/>
        <v>0</v>
      </c>
      <c r="AH46" s="178">
        <f t="shared" si="19"/>
        <v>0</v>
      </c>
      <c r="AI46" s="178">
        <f t="shared" si="19"/>
        <v>0</v>
      </c>
      <c r="AJ46" s="178">
        <f t="shared" si="19"/>
        <v>0</v>
      </c>
      <c r="AK46" s="178">
        <f t="shared" si="19"/>
        <v>0</v>
      </c>
      <c r="AL46" s="178">
        <f t="shared" si="19"/>
        <v>0</v>
      </c>
      <c r="AM46" s="178">
        <f t="shared" si="19"/>
        <v>0</v>
      </c>
      <c r="AN46" s="178">
        <f t="shared" si="19"/>
        <v>0</v>
      </c>
      <c r="AO46" s="178">
        <f t="shared" si="19"/>
        <v>0</v>
      </c>
      <c r="AP46" s="178">
        <f t="shared" si="20"/>
        <v>0</v>
      </c>
      <c r="AQ46" s="178">
        <f t="shared" si="20"/>
        <v>0</v>
      </c>
      <c r="AR46" s="178">
        <f t="shared" si="20"/>
        <v>0</v>
      </c>
      <c r="AS46" s="178">
        <f t="shared" si="20"/>
        <v>0</v>
      </c>
      <c r="AT46" s="178">
        <f t="shared" si="20"/>
        <v>0</v>
      </c>
      <c r="AU46" s="178">
        <f t="shared" si="20"/>
        <v>0</v>
      </c>
      <c r="AV46" s="178">
        <f t="shared" si="20"/>
        <v>0</v>
      </c>
      <c r="AW46" s="178">
        <f t="shared" si="20"/>
        <v>0</v>
      </c>
      <c r="AX46" s="178">
        <f t="shared" si="20"/>
        <v>0</v>
      </c>
      <c r="AY46" s="178">
        <f t="shared" si="20"/>
        <v>0</v>
      </c>
      <c r="AZ46" s="178">
        <f t="shared" si="21"/>
        <v>0</v>
      </c>
      <c r="BA46" s="178">
        <f t="shared" si="21"/>
        <v>0</v>
      </c>
      <c r="BB46" s="178">
        <f t="shared" si="21"/>
        <v>0</v>
      </c>
      <c r="BC46" s="178">
        <f t="shared" si="21"/>
        <v>0</v>
      </c>
      <c r="BD46" s="178">
        <f t="shared" si="21"/>
        <v>0</v>
      </c>
      <c r="BE46" s="178">
        <f t="shared" si="21"/>
        <v>0</v>
      </c>
      <c r="BF46" s="178">
        <f t="shared" si="21"/>
        <v>0</v>
      </c>
      <c r="BG46" s="178">
        <f t="shared" si="21"/>
        <v>0</v>
      </c>
      <c r="BH46" s="178">
        <f t="shared" si="21"/>
        <v>0</v>
      </c>
      <c r="BI46" s="178">
        <f t="shared" si="21"/>
        <v>0</v>
      </c>
    </row>
    <row r="47" spans="2:61" ht="12.75" customHeight="1" x14ac:dyDescent="0.2">
      <c r="B47" s="133" t="s">
        <v>275</v>
      </c>
      <c r="C47" s="134"/>
      <c r="D47" s="20"/>
      <c r="E47" s="20"/>
      <c r="F47" s="20"/>
      <c r="G47" s="71" t="str">
        <f t="shared" si="5"/>
        <v>-</v>
      </c>
      <c r="H47" s="190"/>
      <c r="I47" s="171" t="str">
        <f t="shared" si="6"/>
        <v/>
      </c>
      <c r="K47" s="178" t="str">
        <f t="array" ref="K47">IFERROR(INDEX($C$9:$C$59,MATCH(0,COUNTIF($K$8:$K46,$C$9:$C$59),0)),"")</f>
        <v/>
      </c>
      <c r="L47" s="178">
        <f t="shared" si="17"/>
        <v>0</v>
      </c>
      <c r="M47" s="178">
        <f t="shared" si="17"/>
        <v>0</v>
      </c>
      <c r="N47" s="178">
        <f t="shared" si="17"/>
        <v>0</v>
      </c>
      <c r="O47" s="178">
        <f t="shared" si="17"/>
        <v>0</v>
      </c>
      <c r="P47" s="178">
        <f t="shared" si="17"/>
        <v>0</v>
      </c>
      <c r="Q47" s="178">
        <f t="shared" si="17"/>
        <v>0</v>
      </c>
      <c r="R47" s="178">
        <f t="shared" si="17"/>
        <v>0</v>
      </c>
      <c r="S47" s="178">
        <f t="shared" si="17"/>
        <v>0</v>
      </c>
      <c r="T47" s="178">
        <f t="shared" si="17"/>
        <v>0</v>
      </c>
      <c r="U47" s="178">
        <f t="shared" si="17"/>
        <v>0</v>
      </c>
      <c r="V47" s="178">
        <f t="shared" si="18"/>
        <v>0</v>
      </c>
      <c r="W47" s="178">
        <f t="shared" si="18"/>
        <v>0</v>
      </c>
      <c r="X47" s="178">
        <f t="shared" si="18"/>
        <v>0</v>
      </c>
      <c r="Y47" s="178">
        <f t="shared" si="18"/>
        <v>0</v>
      </c>
      <c r="Z47" s="178">
        <f t="shared" si="18"/>
        <v>0</v>
      </c>
      <c r="AA47" s="178">
        <f t="shared" si="18"/>
        <v>0</v>
      </c>
      <c r="AB47" s="178">
        <f t="shared" si="18"/>
        <v>0</v>
      </c>
      <c r="AC47" s="178">
        <f t="shared" si="18"/>
        <v>0</v>
      </c>
      <c r="AD47" s="178">
        <f t="shared" si="18"/>
        <v>0</v>
      </c>
      <c r="AE47" s="178">
        <f t="shared" si="18"/>
        <v>0</v>
      </c>
      <c r="AF47" s="178">
        <f t="shared" si="19"/>
        <v>0</v>
      </c>
      <c r="AG47" s="178">
        <f t="shared" si="19"/>
        <v>0</v>
      </c>
      <c r="AH47" s="178">
        <f t="shared" si="19"/>
        <v>0</v>
      </c>
      <c r="AI47" s="178">
        <f t="shared" si="19"/>
        <v>0</v>
      </c>
      <c r="AJ47" s="178">
        <f t="shared" si="19"/>
        <v>0</v>
      </c>
      <c r="AK47" s="178">
        <f t="shared" si="19"/>
        <v>0</v>
      </c>
      <c r="AL47" s="178">
        <f t="shared" si="19"/>
        <v>0</v>
      </c>
      <c r="AM47" s="178">
        <f t="shared" si="19"/>
        <v>0</v>
      </c>
      <c r="AN47" s="178">
        <f t="shared" si="19"/>
        <v>0</v>
      </c>
      <c r="AO47" s="178">
        <f t="shared" si="19"/>
        <v>0</v>
      </c>
      <c r="AP47" s="178">
        <f t="shared" si="20"/>
        <v>0</v>
      </c>
      <c r="AQ47" s="178">
        <f t="shared" si="20"/>
        <v>0</v>
      </c>
      <c r="AR47" s="178">
        <f t="shared" si="20"/>
        <v>0</v>
      </c>
      <c r="AS47" s="178">
        <f t="shared" si="20"/>
        <v>0</v>
      </c>
      <c r="AT47" s="178">
        <f t="shared" si="20"/>
        <v>0</v>
      </c>
      <c r="AU47" s="178">
        <f t="shared" si="20"/>
        <v>0</v>
      </c>
      <c r="AV47" s="178">
        <f t="shared" si="20"/>
        <v>0</v>
      </c>
      <c r="AW47" s="178">
        <f t="shared" si="20"/>
        <v>0</v>
      </c>
      <c r="AX47" s="178">
        <f t="shared" si="20"/>
        <v>0</v>
      </c>
      <c r="AY47" s="178">
        <f t="shared" si="20"/>
        <v>0</v>
      </c>
      <c r="AZ47" s="178">
        <f t="shared" si="21"/>
        <v>0</v>
      </c>
      <c r="BA47" s="178">
        <f t="shared" si="21"/>
        <v>0</v>
      </c>
      <c r="BB47" s="178">
        <f t="shared" si="21"/>
        <v>0</v>
      </c>
      <c r="BC47" s="178">
        <f t="shared" si="21"/>
        <v>0</v>
      </c>
      <c r="BD47" s="178">
        <f t="shared" si="21"/>
        <v>0</v>
      </c>
      <c r="BE47" s="178">
        <f t="shared" si="21"/>
        <v>0</v>
      </c>
      <c r="BF47" s="178">
        <f t="shared" si="21"/>
        <v>0</v>
      </c>
      <c r="BG47" s="178">
        <f t="shared" si="21"/>
        <v>0</v>
      </c>
      <c r="BH47" s="178">
        <f t="shared" si="21"/>
        <v>0</v>
      </c>
      <c r="BI47" s="178">
        <f t="shared" si="21"/>
        <v>0</v>
      </c>
    </row>
    <row r="48" spans="2:61" ht="12.75" customHeight="1" x14ac:dyDescent="0.2">
      <c r="B48" s="133" t="s">
        <v>276</v>
      </c>
      <c r="C48" s="134"/>
      <c r="D48" s="20"/>
      <c r="E48" s="20"/>
      <c r="F48" s="20"/>
      <c r="G48" s="71" t="str">
        <f t="shared" si="5"/>
        <v>-</v>
      </c>
      <c r="H48" s="190"/>
      <c r="I48" s="171" t="str">
        <f t="shared" si="6"/>
        <v/>
      </c>
      <c r="K48" s="178" t="str">
        <f t="array" ref="K48">IFERROR(INDEX($C$9:$C$59,MATCH(0,COUNTIF($K$8:$K47,$C$9:$C$59),0)),"")</f>
        <v/>
      </c>
      <c r="L48" s="178">
        <f t="shared" si="17"/>
        <v>0</v>
      </c>
      <c r="M48" s="178">
        <f t="shared" si="17"/>
        <v>0</v>
      </c>
      <c r="N48" s="178">
        <f t="shared" si="17"/>
        <v>0</v>
      </c>
      <c r="O48" s="178">
        <f t="shared" si="17"/>
        <v>0</v>
      </c>
      <c r="P48" s="178">
        <f t="shared" si="17"/>
        <v>0</v>
      </c>
      <c r="Q48" s="178">
        <f t="shared" si="17"/>
        <v>0</v>
      </c>
      <c r="R48" s="178">
        <f t="shared" si="17"/>
        <v>0</v>
      </c>
      <c r="S48" s="178">
        <f t="shared" si="17"/>
        <v>0</v>
      </c>
      <c r="T48" s="178">
        <f t="shared" si="17"/>
        <v>0</v>
      </c>
      <c r="U48" s="178">
        <f t="shared" si="17"/>
        <v>0</v>
      </c>
      <c r="V48" s="178">
        <f t="shared" si="18"/>
        <v>0</v>
      </c>
      <c r="W48" s="178">
        <f t="shared" si="18"/>
        <v>0</v>
      </c>
      <c r="X48" s="178">
        <f t="shared" si="18"/>
        <v>0</v>
      </c>
      <c r="Y48" s="178">
        <f t="shared" si="18"/>
        <v>0</v>
      </c>
      <c r="Z48" s="178">
        <f t="shared" si="18"/>
        <v>0</v>
      </c>
      <c r="AA48" s="178">
        <f t="shared" si="18"/>
        <v>0</v>
      </c>
      <c r="AB48" s="178">
        <f t="shared" si="18"/>
        <v>0</v>
      </c>
      <c r="AC48" s="178">
        <f t="shared" si="18"/>
        <v>0</v>
      </c>
      <c r="AD48" s="178">
        <f t="shared" si="18"/>
        <v>0</v>
      </c>
      <c r="AE48" s="178">
        <f t="shared" si="18"/>
        <v>0</v>
      </c>
      <c r="AF48" s="178">
        <f t="shared" si="19"/>
        <v>0</v>
      </c>
      <c r="AG48" s="178">
        <f t="shared" si="19"/>
        <v>0</v>
      </c>
      <c r="AH48" s="178">
        <f t="shared" si="19"/>
        <v>0</v>
      </c>
      <c r="AI48" s="178">
        <f t="shared" si="19"/>
        <v>0</v>
      </c>
      <c r="AJ48" s="178">
        <f t="shared" si="19"/>
        <v>0</v>
      </c>
      <c r="AK48" s="178">
        <f t="shared" si="19"/>
        <v>0</v>
      </c>
      <c r="AL48" s="178">
        <f t="shared" si="19"/>
        <v>0</v>
      </c>
      <c r="AM48" s="178">
        <f t="shared" si="19"/>
        <v>0</v>
      </c>
      <c r="AN48" s="178">
        <f t="shared" si="19"/>
        <v>0</v>
      </c>
      <c r="AO48" s="178">
        <f t="shared" si="19"/>
        <v>0</v>
      </c>
      <c r="AP48" s="178">
        <f t="shared" si="20"/>
        <v>0</v>
      </c>
      <c r="AQ48" s="178">
        <f t="shared" si="20"/>
        <v>0</v>
      </c>
      <c r="AR48" s="178">
        <f t="shared" si="20"/>
        <v>0</v>
      </c>
      <c r="AS48" s="178">
        <f t="shared" si="20"/>
        <v>0</v>
      </c>
      <c r="AT48" s="178">
        <f t="shared" si="20"/>
        <v>0</v>
      </c>
      <c r="AU48" s="178">
        <f t="shared" si="20"/>
        <v>0</v>
      </c>
      <c r="AV48" s="178">
        <f t="shared" si="20"/>
        <v>0</v>
      </c>
      <c r="AW48" s="178">
        <f t="shared" si="20"/>
        <v>0</v>
      </c>
      <c r="AX48" s="178">
        <f t="shared" si="20"/>
        <v>0</v>
      </c>
      <c r="AY48" s="178">
        <f t="shared" si="20"/>
        <v>0</v>
      </c>
      <c r="AZ48" s="178">
        <f t="shared" si="21"/>
        <v>0</v>
      </c>
      <c r="BA48" s="178">
        <f t="shared" si="21"/>
        <v>0</v>
      </c>
      <c r="BB48" s="178">
        <f t="shared" si="21"/>
        <v>0</v>
      </c>
      <c r="BC48" s="178">
        <f t="shared" si="21"/>
        <v>0</v>
      </c>
      <c r="BD48" s="178">
        <f t="shared" si="21"/>
        <v>0</v>
      </c>
      <c r="BE48" s="178">
        <f t="shared" si="21"/>
        <v>0</v>
      </c>
      <c r="BF48" s="178">
        <f t="shared" si="21"/>
        <v>0</v>
      </c>
      <c r="BG48" s="178">
        <f t="shared" si="21"/>
        <v>0</v>
      </c>
      <c r="BH48" s="178">
        <f t="shared" si="21"/>
        <v>0</v>
      </c>
      <c r="BI48" s="178">
        <f t="shared" si="21"/>
        <v>0</v>
      </c>
    </row>
    <row r="49" spans="2:61" ht="12.75" customHeight="1" x14ac:dyDescent="0.2">
      <c r="B49" s="133" t="s">
        <v>277</v>
      </c>
      <c r="C49" s="134"/>
      <c r="D49" s="20"/>
      <c r="E49" s="20"/>
      <c r="F49" s="20"/>
      <c r="G49" s="71" t="str">
        <f t="shared" si="5"/>
        <v>-</v>
      </c>
      <c r="H49" s="190"/>
      <c r="I49" s="171" t="str">
        <f t="shared" si="6"/>
        <v/>
      </c>
      <c r="K49" s="178" t="str">
        <f t="array" ref="K49">IFERROR(INDEX($C$9:$C$59,MATCH(0,COUNTIF($K$8:$K48,$C$9:$C$59),0)),"")</f>
        <v/>
      </c>
      <c r="L49" s="178">
        <f t="shared" ref="L49:U58" si="22">IF(AND($K49&lt;&gt;"",L$8&lt;&gt;""),COUNTIFS($C$9:$C$59,$K49,$I$9:$I$59,L$8),0)</f>
        <v>0</v>
      </c>
      <c r="M49" s="178">
        <f t="shared" si="22"/>
        <v>0</v>
      </c>
      <c r="N49" s="178">
        <f t="shared" si="22"/>
        <v>0</v>
      </c>
      <c r="O49" s="178">
        <f t="shared" si="22"/>
        <v>0</v>
      </c>
      <c r="P49" s="178">
        <f t="shared" si="22"/>
        <v>0</v>
      </c>
      <c r="Q49" s="178">
        <f t="shared" si="22"/>
        <v>0</v>
      </c>
      <c r="R49" s="178">
        <f t="shared" si="22"/>
        <v>0</v>
      </c>
      <c r="S49" s="178">
        <f t="shared" si="22"/>
        <v>0</v>
      </c>
      <c r="T49" s="178">
        <f t="shared" si="22"/>
        <v>0</v>
      </c>
      <c r="U49" s="178">
        <f t="shared" si="22"/>
        <v>0</v>
      </c>
      <c r="V49" s="178">
        <f t="shared" ref="V49:AE58" si="23">IF(AND($K49&lt;&gt;"",V$8&lt;&gt;""),COUNTIFS($C$9:$C$59,$K49,$I$9:$I$59,V$8),0)</f>
        <v>0</v>
      </c>
      <c r="W49" s="178">
        <f t="shared" si="23"/>
        <v>0</v>
      </c>
      <c r="X49" s="178">
        <f t="shared" si="23"/>
        <v>0</v>
      </c>
      <c r="Y49" s="178">
        <f t="shared" si="23"/>
        <v>0</v>
      </c>
      <c r="Z49" s="178">
        <f t="shared" si="23"/>
        <v>0</v>
      </c>
      <c r="AA49" s="178">
        <f t="shared" si="23"/>
        <v>0</v>
      </c>
      <c r="AB49" s="178">
        <f t="shared" si="23"/>
        <v>0</v>
      </c>
      <c r="AC49" s="178">
        <f t="shared" si="23"/>
        <v>0</v>
      </c>
      <c r="AD49" s="178">
        <f t="shared" si="23"/>
        <v>0</v>
      </c>
      <c r="AE49" s="178">
        <f t="shared" si="23"/>
        <v>0</v>
      </c>
      <c r="AF49" s="178">
        <f t="shared" ref="AF49:AO58" si="24">IF(AND($K49&lt;&gt;"",AF$8&lt;&gt;""),COUNTIFS($C$9:$C$59,$K49,$I$9:$I$59,AF$8),0)</f>
        <v>0</v>
      </c>
      <c r="AG49" s="178">
        <f t="shared" si="24"/>
        <v>0</v>
      </c>
      <c r="AH49" s="178">
        <f t="shared" si="24"/>
        <v>0</v>
      </c>
      <c r="AI49" s="178">
        <f t="shared" si="24"/>
        <v>0</v>
      </c>
      <c r="AJ49" s="178">
        <f t="shared" si="24"/>
        <v>0</v>
      </c>
      <c r="AK49" s="178">
        <f t="shared" si="24"/>
        <v>0</v>
      </c>
      <c r="AL49" s="178">
        <f t="shared" si="24"/>
        <v>0</v>
      </c>
      <c r="AM49" s="178">
        <f t="shared" si="24"/>
        <v>0</v>
      </c>
      <c r="AN49" s="178">
        <f t="shared" si="24"/>
        <v>0</v>
      </c>
      <c r="AO49" s="178">
        <f t="shared" si="24"/>
        <v>0</v>
      </c>
      <c r="AP49" s="178">
        <f t="shared" ref="AP49:AY58" si="25">IF(AND($K49&lt;&gt;"",AP$8&lt;&gt;""),COUNTIFS($C$9:$C$59,$K49,$I$9:$I$59,AP$8),0)</f>
        <v>0</v>
      </c>
      <c r="AQ49" s="178">
        <f t="shared" si="25"/>
        <v>0</v>
      </c>
      <c r="AR49" s="178">
        <f t="shared" si="25"/>
        <v>0</v>
      </c>
      <c r="AS49" s="178">
        <f t="shared" si="25"/>
        <v>0</v>
      </c>
      <c r="AT49" s="178">
        <f t="shared" si="25"/>
        <v>0</v>
      </c>
      <c r="AU49" s="178">
        <f t="shared" si="25"/>
        <v>0</v>
      </c>
      <c r="AV49" s="178">
        <f t="shared" si="25"/>
        <v>0</v>
      </c>
      <c r="AW49" s="178">
        <f t="shared" si="25"/>
        <v>0</v>
      </c>
      <c r="AX49" s="178">
        <f t="shared" si="25"/>
        <v>0</v>
      </c>
      <c r="AY49" s="178">
        <f t="shared" si="25"/>
        <v>0</v>
      </c>
      <c r="AZ49" s="178">
        <f t="shared" ref="AZ49:BI58" si="26">IF(AND($K49&lt;&gt;"",AZ$8&lt;&gt;""),COUNTIFS($C$9:$C$59,$K49,$I$9:$I$59,AZ$8),0)</f>
        <v>0</v>
      </c>
      <c r="BA49" s="178">
        <f t="shared" si="26"/>
        <v>0</v>
      </c>
      <c r="BB49" s="178">
        <f t="shared" si="26"/>
        <v>0</v>
      </c>
      <c r="BC49" s="178">
        <f t="shared" si="26"/>
        <v>0</v>
      </c>
      <c r="BD49" s="178">
        <f t="shared" si="26"/>
        <v>0</v>
      </c>
      <c r="BE49" s="178">
        <f t="shared" si="26"/>
        <v>0</v>
      </c>
      <c r="BF49" s="178">
        <f t="shared" si="26"/>
        <v>0</v>
      </c>
      <c r="BG49" s="178">
        <f t="shared" si="26"/>
        <v>0</v>
      </c>
      <c r="BH49" s="178">
        <f t="shared" si="26"/>
        <v>0</v>
      </c>
      <c r="BI49" s="178">
        <f t="shared" si="26"/>
        <v>0</v>
      </c>
    </row>
    <row r="50" spans="2:61" ht="12.75" customHeight="1" x14ac:dyDescent="0.2">
      <c r="B50" s="133" t="s">
        <v>278</v>
      </c>
      <c r="C50" s="134"/>
      <c r="D50" s="20"/>
      <c r="E50" s="20"/>
      <c r="F50" s="20"/>
      <c r="G50" s="71" t="str">
        <f t="shared" si="5"/>
        <v>-</v>
      </c>
      <c r="H50" s="190"/>
      <c r="I50" s="171" t="str">
        <f t="shared" si="6"/>
        <v/>
      </c>
      <c r="K50" s="178" t="str">
        <f t="array" ref="K50">IFERROR(INDEX($C$9:$C$59,MATCH(0,COUNTIF($K$8:$K49,$C$9:$C$59),0)),"")</f>
        <v/>
      </c>
      <c r="L50" s="178">
        <f t="shared" si="22"/>
        <v>0</v>
      </c>
      <c r="M50" s="178">
        <f t="shared" si="22"/>
        <v>0</v>
      </c>
      <c r="N50" s="178">
        <f t="shared" si="22"/>
        <v>0</v>
      </c>
      <c r="O50" s="178">
        <f t="shared" si="22"/>
        <v>0</v>
      </c>
      <c r="P50" s="178">
        <f t="shared" si="22"/>
        <v>0</v>
      </c>
      <c r="Q50" s="178">
        <f t="shared" si="22"/>
        <v>0</v>
      </c>
      <c r="R50" s="178">
        <f t="shared" si="22"/>
        <v>0</v>
      </c>
      <c r="S50" s="178">
        <f t="shared" si="22"/>
        <v>0</v>
      </c>
      <c r="T50" s="178">
        <f t="shared" si="22"/>
        <v>0</v>
      </c>
      <c r="U50" s="178">
        <f t="shared" si="22"/>
        <v>0</v>
      </c>
      <c r="V50" s="178">
        <f t="shared" si="23"/>
        <v>0</v>
      </c>
      <c r="W50" s="178">
        <f t="shared" si="23"/>
        <v>0</v>
      </c>
      <c r="X50" s="178">
        <f t="shared" si="23"/>
        <v>0</v>
      </c>
      <c r="Y50" s="178">
        <f t="shared" si="23"/>
        <v>0</v>
      </c>
      <c r="Z50" s="178">
        <f t="shared" si="23"/>
        <v>0</v>
      </c>
      <c r="AA50" s="178">
        <f t="shared" si="23"/>
        <v>0</v>
      </c>
      <c r="AB50" s="178">
        <f t="shared" si="23"/>
        <v>0</v>
      </c>
      <c r="AC50" s="178">
        <f t="shared" si="23"/>
        <v>0</v>
      </c>
      <c r="AD50" s="178">
        <f t="shared" si="23"/>
        <v>0</v>
      </c>
      <c r="AE50" s="178">
        <f t="shared" si="23"/>
        <v>0</v>
      </c>
      <c r="AF50" s="178">
        <f t="shared" si="24"/>
        <v>0</v>
      </c>
      <c r="AG50" s="178">
        <f t="shared" si="24"/>
        <v>0</v>
      </c>
      <c r="AH50" s="178">
        <f t="shared" si="24"/>
        <v>0</v>
      </c>
      <c r="AI50" s="178">
        <f t="shared" si="24"/>
        <v>0</v>
      </c>
      <c r="AJ50" s="178">
        <f t="shared" si="24"/>
        <v>0</v>
      </c>
      <c r="AK50" s="178">
        <f t="shared" si="24"/>
        <v>0</v>
      </c>
      <c r="AL50" s="178">
        <f t="shared" si="24"/>
        <v>0</v>
      </c>
      <c r="AM50" s="178">
        <f t="shared" si="24"/>
        <v>0</v>
      </c>
      <c r="AN50" s="178">
        <f t="shared" si="24"/>
        <v>0</v>
      </c>
      <c r="AO50" s="178">
        <f t="shared" si="24"/>
        <v>0</v>
      </c>
      <c r="AP50" s="178">
        <f t="shared" si="25"/>
        <v>0</v>
      </c>
      <c r="AQ50" s="178">
        <f t="shared" si="25"/>
        <v>0</v>
      </c>
      <c r="AR50" s="178">
        <f t="shared" si="25"/>
        <v>0</v>
      </c>
      <c r="AS50" s="178">
        <f t="shared" si="25"/>
        <v>0</v>
      </c>
      <c r="AT50" s="178">
        <f t="shared" si="25"/>
        <v>0</v>
      </c>
      <c r="AU50" s="178">
        <f t="shared" si="25"/>
        <v>0</v>
      </c>
      <c r="AV50" s="178">
        <f t="shared" si="25"/>
        <v>0</v>
      </c>
      <c r="AW50" s="178">
        <f t="shared" si="25"/>
        <v>0</v>
      </c>
      <c r="AX50" s="178">
        <f t="shared" si="25"/>
        <v>0</v>
      </c>
      <c r="AY50" s="178">
        <f t="shared" si="25"/>
        <v>0</v>
      </c>
      <c r="AZ50" s="178">
        <f t="shared" si="26"/>
        <v>0</v>
      </c>
      <c r="BA50" s="178">
        <f t="shared" si="26"/>
        <v>0</v>
      </c>
      <c r="BB50" s="178">
        <f t="shared" si="26"/>
        <v>0</v>
      </c>
      <c r="BC50" s="178">
        <f t="shared" si="26"/>
        <v>0</v>
      </c>
      <c r="BD50" s="178">
        <f t="shared" si="26"/>
        <v>0</v>
      </c>
      <c r="BE50" s="178">
        <f t="shared" si="26"/>
        <v>0</v>
      </c>
      <c r="BF50" s="178">
        <f t="shared" si="26"/>
        <v>0</v>
      </c>
      <c r="BG50" s="178">
        <f t="shared" si="26"/>
        <v>0</v>
      </c>
      <c r="BH50" s="178">
        <f t="shared" si="26"/>
        <v>0</v>
      </c>
      <c r="BI50" s="178">
        <f t="shared" si="26"/>
        <v>0</v>
      </c>
    </row>
    <row r="51" spans="2:61" ht="12.75" customHeight="1" x14ac:dyDescent="0.2">
      <c r="B51" s="133" t="s">
        <v>279</v>
      </c>
      <c r="C51" s="134"/>
      <c r="D51" s="20"/>
      <c r="E51" s="20"/>
      <c r="F51" s="20"/>
      <c r="G51" s="71" t="str">
        <f t="shared" si="5"/>
        <v>-</v>
      </c>
      <c r="H51" s="190"/>
      <c r="I51" s="171" t="str">
        <f t="shared" si="6"/>
        <v/>
      </c>
      <c r="K51" s="178" t="str">
        <f t="array" ref="K51">IFERROR(INDEX($C$9:$C$59,MATCH(0,COUNTIF($K$8:$K50,$C$9:$C$59),0)),"")</f>
        <v/>
      </c>
      <c r="L51" s="178">
        <f t="shared" si="22"/>
        <v>0</v>
      </c>
      <c r="M51" s="178">
        <f t="shared" si="22"/>
        <v>0</v>
      </c>
      <c r="N51" s="178">
        <f t="shared" si="22"/>
        <v>0</v>
      </c>
      <c r="O51" s="178">
        <f t="shared" si="22"/>
        <v>0</v>
      </c>
      <c r="P51" s="178">
        <f t="shared" si="22"/>
        <v>0</v>
      </c>
      <c r="Q51" s="178">
        <f t="shared" si="22"/>
        <v>0</v>
      </c>
      <c r="R51" s="178">
        <f t="shared" si="22"/>
        <v>0</v>
      </c>
      <c r="S51" s="178">
        <f t="shared" si="22"/>
        <v>0</v>
      </c>
      <c r="T51" s="178">
        <f t="shared" si="22"/>
        <v>0</v>
      </c>
      <c r="U51" s="178">
        <f t="shared" si="22"/>
        <v>0</v>
      </c>
      <c r="V51" s="178">
        <f t="shared" si="23"/>
        <v>0</v>
      </c>
      <c r="W51" s="178">
        <f t="shared" si="23"/>
        <v>0</v>
      </c>
      <c r="X51" s="178">
        <f t="shared" si="23"/>
        <v>0</v>
      </c>
      <c r="Y51" s="178">
        <f t="shared" si="23"/>
        <v>0</v>
      </c>
      <c r="Z51" s="178">
        <f t="shared" si="23"/>
        <v>0</v>
      </c>
      <c r="AA51" s="178">
        <f t="shared" si="23"/>
        <v>0</v>
      </c>
      <c r="AB51" s="178">
        <f t="shared" si="23"/>
        <v>0</v>
      </c>
      <c r="AC51" s="178">
        <f t="shared" si="23"/>
        <v>0</v>
      </c>
      <c r="AD51" s="178">
        <f t="shared" si="23"/>
        <v>0</v>
      </c>
      <c r="AE51" s="178">
        <f t="shared" si="23"/>
        <v>0</v>
      </c>
      <c r="AF51" s="178">
        <f t="shared" si="24"/>
        <v>0</v>
      </c>
      <c r="AG51" s="178">
        <f t="shared" si="24"/>
        <v>0</v>
      </c>
      <c r="AH51" s="178">
        <f t="shared" si="24"/>
        <v>0</v>
      </c>
      <c r="AI51" s="178">
        <f t="shared" si="24"/>
        <v>0</v>
      </c>
      <c r="AJ51" s="178">
        <f t="shared" si="24"/>
        <v>0</v>
      </c>
      <c r="AK51" s="178">
        <f t="shared" si="24"/>
        <v>0</v>
      </c>
      <c r="AL51" s="178">
        <f t="shared" si="24"/>
        <v>0</v>
      </c>
      <c r="AM51" s="178">
        <f t="shared" si="24"/>
        <v>0</v>
      </c>
      <c r="AN51" s="178">
        <f t="shared" si="24"/>
        <v>0</v>
      </c>
      <c r="AO51" s="178">
        <f t="shared" si="24"/>
        <v>0</v>
      </c>
      <c r="AP51" s="178">
        <f t="shared" si="25"/>
        <v>0</v>
      </c>
      <c r="AQ51" s="178">
        <f t="shared" si="25"/>
        <v>0</v>
      </c>
      <c r="AR51" s="178">
        <f t="shared" si="25"/>
        <v>0</v>
      </c>
      <c r="AS51" s="178">
        <f t="shared" si="25"/>
        <v>0</v>
      </c>
      <c r="AT51" s="178">
        <f t="shared" si="25"/>
        <v>0</v>
      </c>
      <c r="AU51" s="178">
        <f t="shared" si="25"/>
        <v>0</v>
      </c>
      <c r="AV51" s="178">
        <f t="shared" si="25"/>
        <v>0</v>
      </c>
      <c r="AW51" s="178">
        <f t="shared" si="25"/>
        <v>0</v>
      </c>
      <c r="AX51" s="178">
        <f t="shared" si="25"/>
        <v>0</v>
      </c>
      <c r="AY51" s="178">
        <f t="shared" si="25"/>
        <v>0</v>
      </c>
      <c r="AZ51" s="178">
        <f t="shared" si="26"/>
        <v>0</v>
      </c>
      <c r="BA51" s="178">
        <f t="shared" si="26"/>
        <v>0</v>
      </c>
      <c r="BB51" s="178">
        <f t="shared" si="26"/>
        <v>0</v>
      </c>
      <c r="BC51" s="178">
        <f t="shared" si="26"/>
        <v>0</v>
      </c>
      <c r="BD51" s="178">
        <f t="shared" si="26"/>
        <v>0</v>
      </c>
      <c r="BE51" s="178">
        <f t="shared" si="26"/>
        <v>0</v>
      </c>
      <c r="BF51" s="178">
        <f t="shared" si="26"/>
        <v>0</v>
      </c>
      <c r="BG51" s="178">
        <f t="shared" si="26"/>
        <v>0</v>
      </c>
      <c r="BH51" s="178">
        <f t="shared" si="26"/>
        <v>0</v>
      </c>
      <c r="BI51" s="178">
        <f t="shared" si="26"/>
        <v>0</v>
      </c>
    </row>
    <row r="52" spans="2:61" ht="12.75" customHeight="1" x14ac:dyDescent="0.2">
      <c r="B52" s="133" t="s">
        <v>280</v>
      </c>
      <c r="C52" s="134"/>
      <c r="D52" s="20"/>
      <c r="E52" s="20"/>
      <c r="F52" s="20"/>
      <c r="G52" s="71" t="str">
        <f t="shared" si="5"/>
        <v>-</v>
      </c>
      <c r="H52" s="190"/>
      <c r="I52" s="171" t="str">
        <f t="shared" si="6"/>
        <v/>
      </c>
      <c r="K52" s="178" t="str">
        <f t="array" ref="K52">IFERROR(INDEX($C$9:$C$59,MATCH(0,COUNTIF($K$8:$K51,$C$9:$C$59),0)),"")</f>
        <v/>
      </c>
      <c r="L52" s="178">
        <f t="shared" si="22"/>
        <v>0</v>
      </c>
      <c r="M52" s="178">
        <f t="shared" si="22"/>
        <v>0</v>
      </c>
      <c r="N52" s="178">
        <f t="shared" si="22"/>
        <v>0</v>
      </c>
      <c r="O52" s="178">
        <f t="shared" si="22"/>
        <v>0</v>
      </c>
      <c r="P52" s="178">
        <f t="shared" si="22"/>
        <v>0</v>
      </c>
      <c r="Q52" s="178">
        <f t="shared" si="22"/>
        <v>0</v>
      </c>
      <c r="R52" s="178">
        <f t="shared" si="22"/>
        <v>0</v>
      </c>
      <c r="S52" s="178">
        <f t="shared" si="22"/>
        <v>0</v>
      </c>
      <c r="T52" s="178">
        <f t="shared" si="22"/>
        <v>0</v>
      </c>
      <c r="U52" s="178">
        <f t="shared" si="22"/>
        <v>0</v>
      </c>
      <c r="V52" s="178">
        <f t="shared" si="23"/>
        <v>0</v>
      </c>
      <c r="W52" s="178">
        <f t="shared" si="23"/>
        <v>0</v>
      </c>
      <c r="X52" s="178">
        <f t="shared" si="23"/>
        <v>0</v>
      </c>
      <c r="Y52" s="178">
        <f t="shared" si="23"/>
        <v>0</v>
      </c>
      <c r="Z52" s="178">
        <f t="shared" si="23"/>
        <v>0</v>
      </c>
      <c r="AA52" s="178">
        <f t="shared" si="23"/>
        <v>0</v>
      </c>
      <c r="AB52" s="178">
        <f t="shared" si="23"/>
        <v>0</v>
      </c>
      <c r="AC52" s="178">
        <f t="shared" si="23"/>
        <v>0</v>
      </c>
      <c r="AD52" s="178">
        <f t="shared" si="23"/>
        <v>0</v>
      </c>
      <c r="AE52" s="178">
        <f t="shared" si="23"/>
        <v>0</v>
      </c>
      <c r="AF52" s="178">
        <f t="shared" si="24"/>
        <v>0</v>
      </c>
      <c r="AG52" s="178">
        <f t="shared" si="24"/>
        <v>0</v>
      </c>
      <c r="AH52" s="178">
        <f t="shared" si="24"/>
        <v>0</v>
      </c>
      <c r="AI52" s="178">
        <f t="shared" si="24"/>
        <v>0</v>
      </c>
      <c r="AJ52" s="178">
        <f t="shared" si="24"/>
        <v>0</v>
      </c>
      <c r="AK52" s="178">
        <f t="shared" si="24"/>
        <v>0</v>
      </c>
      <c r="AL52" s="178">
        <f t="shared" si="24"/>
        <v>0</v>
      </c>
      <c r="AM52" s="178">
        <f t="shared" si="24"/>
        <v>0</v>
      </c>
      <c r="AN52" s="178">
        <f t="shared" si="24"/>
        <v>0</v>
      </c>
      <c r="AO52" s="178">
        <f t="shared" si="24"/>
        <v>0</v>
      </c>
      <c r="AP52" s="178">
        <f t="shared" si="25"/>
        <v>0</v>
      </c>
      <c r="AQ52" s="178">
        <f t="shared" si="25"/>
        <v>0</v>
      </c>
      <c r="AR52" s="178">
        <f t="shared" si="25"/>
        <v>0</v>
      </c>
      <c r="AS52" s="178">
        <f t="shared" si="25"/>
        <v>0</v>
      </c>
      <c r="AT52" s="178">
        <f t="shared" si="25"/>
        <v>0</v>
      </c>
      <c r="AU52" s="178">
        <f t="shared" si="25"/>
        <v>0</v>
      </c>
      <c r="AV52" s="178">
        <f t="shared" si="25"/>
        <v>0</v>
      </c>
      <c r="AW52" s="178">
        <f t="shared" si="25"/>
        <v>0</v>
      </c>
      <c r="AX52" s="178">
        <f t="shared" si="25"/>
        <v>0</v>
      </c>
      <c r="AY52" s="178">
        <f t="shared" si="25"/>
        <v>0</v>
      </c>
      <c r="AZ52" s="178">
        <f t="shared" si="26"/>
        <v>0</v>
      </c>
      <c r="BA52" s="178">
        <f t="shared" si="26"/>
        <v>0</v>
      </c>
      <c r="BB52" s="178">
        <f t="shared" si="26"/>
        <v>0</v>
      </c>
      <c r="BC52" s="178">
        <f t="shared" si="26"/>
        <v>0</v>
      </c>
      <c r="BD52" s="178">
        <f t="shared" si="26"/>
        <v>0</v>
      </c>
      <c r="BE52" s="178">
        <f t="shared" si="26"/>
        <v>0</v>
      </c>
      <c r="BF52" s="178">
        <f t="shared" si="26"/>
        <v>0</v>
      </c>
      <c r="BG52" s="178">
        <f t="shared" si="26"/>
        <v>0</v>
      </c>
      <c r="BH52" s="178">
        <f t="shared" si="26"/>
        <v>0</v>
      </c>
      <c r="BI52" s="178">
        <f t="shared" si="26"/>
        <v>0</v>
      </c>
    </row>
    <row r="53" spans="2:61" ht="12.75" customHeight="1" x14ac:dyDescent="0.2">
      <c r="B53" s="133" t="s">
        <v>281</v>
      </c>
      <c r="C53" s="134"/>
      <c r="D53" s="20"/>
      <c r="E53" s="20"/>
      <c r="F53" s="20"/>
      <c r="G53" s="71" t="str">
        <f t="shared" si="5"/>
        <v>-</v>
      </c>
      <c r="H53" s="190"/>
      <c r="I53" s="171" t="str">
        <f t="shared" si="6"/>
        <v/>
      </c>
      <c r="K53" s="178" t="str">
        <f t="array" ref="K53">IFERROR(INDEX($C$9:$C$59,MATCH(0,COUNTIF($K$8:$K52,$C$9:$C$59),0)),"")</f>
        <v/>
      </c>
      <c r="L53" s="178">
        <f t="shared" si="22"/>
        <v>0</v>
      </c>
      <c r="M53" s="178">
        <f t="shared" si="22"/>
        <v>0</v>
      </c>
      <c r="N53" s="178">
        <f t="shared" si="22"/>
        <v>0</v>
      </c>
      <c r="O53" s="178">
        <f t="shared" si="22"/>
        <v>0</v>
      </c>
      <c r="P53" s="178">
        <f t="shared" si="22"/>
        <v>0</v>
      </c>
      <c r="Q53" s="178">
        <f t="shared" si="22"/>
        <v>0</v>
      </c>
      <c r="R53" s="178">
        <f t="shared" si="22"/>
        <v>0</v>
      </c>
      <c r="S53" s="178">
        <f t="shared" si="22"/>
        <v>0</v>
      </c>
      <c r="T53" s="178">
        <f t="shared" si="22"/>
        <v>0</v>
      </c>
      <c r="U53" s="178">
        <f t="shared" si="22"/>
        <v>0</v>
      </c>
      <c r="V53" s="178">
        <f t="shared" si="23"/>
        <v>0</v>
      </c>
      <c r="W53" s="178">
        <f t="shared" si="23"/>
        <v>0</v>
      </c>
      <c r="X53" s="178">
        <f t="shared" si="23"/>
        <v>0</v>
      </c>
      <c r="Y53" s="178">
        <f t="shared" si="23"/>
        <v>0</v>
      </c>
      <c r="Z53" s="178">
        <f t="shared" si="23"/>
        <v>0</v>
      </c>
      <c r="AA53" s="178">
        <f t="shared" si="23"/>
        <v>0</v>
      </c>
      <c r="AB53" s="178">
        <f t="shared" si="23"/>
        <v>0</v>
      </c>
      <c r="AC53" s="178">
        <f t="shared" si="23"/>
        <v>0</v>
      </c>
      <c r="AD53" s="178">
        <f t="shared" si="23"/>
        <v>0</v>
      </c>
      <c r="AE53" s="178">
        <f t="shared" si="23"/>
        <v>0</v>
      </c>
      <c r="AF53" s="178">
        <f t="shared" si="24"/>
        <v>0</v>
      </c>
      <c r="AG53" s="178">
        <f t="shared" si="24"/>
        <v>0</v>
      </c>
      <c r="AH53" s="178">
        <f t="shared" si="24"/>
        <v>0</v>
      </c>
      <c r="AI53" s="178">
        <f t="shared" si="24"/>
        <v>0</v>
      </c>
      <c r="AJ53" s="178">
        <f t="shared" si="24"/>
        <v>0</v>
      </c>
      <c r="AK53" s="178">
        <f t="shared" si="24"/>
        <v>0</v>
      </c>
      <c r="AL53" s="178">
        <f t="shared" si="24"/>
        <v>0</v>
      </c>
      <c r="AM53" s="178">
        <f t="shared" si="24"/>
        <v>0</v>
      </c>
      <c r="AN53" s="178">
        <f t="shared" si="24"/>
        <v>0</v>
      </c>
      <c r="AO53" s="178">
        <f t="shared" si="24"/>
        <v>0</v>
      </c>
      <c r="AP53" s="178">
        <f t="shared" si="25"/>
        <v>0</v>
      </c>
      <c r="AQ53" s="178">
        <f t="shared" si="25"/>
        <v>0</v>
      </c>
      <c r="AR53" s="178">
        <f t="shared" si="25"/>
        <v>0</v>
      </c>
      <c r="AS53" s="178">
        <f t="shared" si="25"/>
        <v>0</v>
      </c>
      <c r="AT53" s="178">
        <f t="shared" si="25"/>
        <v>0</v>
      </c>
      <c r="AU53" s="178">
        <f t="shared" si="25"/>
        <v>0</v>
      </c>
      <c r="AV53" s="178">
        <f t="shared" si="25"/>
        <v>0</v>
      </c>
      <c r="AW53" s="178">
        <f t="shared" si="25"/>
        <v>0</v>
      </c>
      <c r="AX53" s="178">
        <f t="shared" si="25"/>
        <v>0</v>
      </c>
      <c r="AY53" s="178">
        <f t="shared" si="25"/>
        <v>0</v>
      </c>
      <c r="AZ53" s="178">
        <f t="shared" si="26"/>
        <v>0</v>
      </c>
      <c r="BA53" s="178">
        <f t="shared" si="26"/>
        <v>0</v>
      </c>
      <c r="BB53" s="178">
        <f t="shared" si="26"/>
        <v>0</v>
      </c>
      <c r="BC53" s="178">
        <f t="shared" si="26"/>
        <v>0</v>
      </c>
      <c r="BD53" s="178">
        <f t="shared" si="26"/>
        <v>0</v>
      </c>
      <c r="BE53" s="178">
        <f t="shared" si="26"/>
        <v>0</v>
      </c>
      <c r="BF53" s="178">
        <f t="shared" si="26"/>
        <v>0</v>
      </c>
      <c r="BG53" s="178">
        <f t="shared" si="26"/>
        <v>0</v>
      </c>
      <c r="BH53" s="178">
        <f t="shared" si="26"/>
        <v>0</v>
      </c>
      <c r="BI53" s="178">
        <f t="shared" si="26"/>
        <v>0</v>
      </c>
    </row>
    <row r="54" spans="2:61" ht="12.75" customHeight="1" x14ac:dyDescent="0.2">
      <c r="B54" s="133" t="s">
        <v>282</v>
      </c>
      <c r="C54" s="134"/>
      <c r="D54" s="20"/>
      <c r="E54" s="20"/>
      <c r="F54" s="20"/>
      <c r="G54" s="71" t="str">
        <f t="shared" si="5"/>
        <v>-</v>
      </c>
      <c r="H54" s="190"/>
      <c r="I54" s="171" t="str">
        <f t="shared" si="6"/>
        <v/>
      </c>
      <c r="K54" s="178" t="str">
        <f t="array" ref="K54">IFERROR(INDEX($C$9:$C$59,MATCH(0,COUNTIF($K$8:$K53,$C$9:$C$59),0)),"")</f>
        <v/>
      </c>
      <c r="L54" s="178">
        <f t="shared" si="22"/>
        <v>0</v>
      </c>
      <c r="M54" s="178">
        <f t="shared" si="22"/>
        <v>0</v>
      </c>
      <c r="N54" s="178">
        <f t="shared" si="22"/>
        <v>0</v>
      </c>
      <c r="O54" s="178">
        <f t="shared" si="22"/>
        <v>0</v>
      </c>
      <c r="P54" s="178">
        <f t="shared" si="22"/>
        <v>0</v>
      </c>
      <c r="Q54" s="178">
        <f t="shared" si="22"/>
        <v>0</v>
      </c>
      <c r="R54" s="178">
        <f t="shared" si="22"/>
        <v>0</v>
      </c>
      <c r="S54" s="178">
        <f t="shared" si="22"/>
        <v>0</v>
      </c>
      <c r="T54" s="178">
        <f t="shared" si="22"/>
        <v>0</v>
      </c>
      <c r="U54" s="178">
        <f t="shared" si="22"/>
        <v>0</v>
      </c>
      <c r="V54" s="178">
        <f t="shared" si="23"/>
        <v>0</v>
      </c>
      <c r="W54" s="178">
        <f t="shared" si="23"/>
        <v>0</v>
      </c>
      <c r="X54" s="178">
        <f t="shared" si="23"/>
        <v>0</v>
      </c>
      <c r="Y54" s="178">
        <f t="shared" si="23"/>
        <v>0</v>
      </c>
      <c r="Z54" s="178">
        <f t="shared" si="23"/>
        <v>0</v>
      </c>
      <c r="AA54" s="178">
        <f t="shared" si="23"/>
        <v>0</v>
      </c>
      <c r="AB54" s="178">
        <f t="shared" si="23"/>
        <v>0</v>
      </c>
      <c r="AC54" s="178">
        <f t="shared" si="23"/>
        <v>0</v>
      </c>
      <c r="AD54" s="178">
        <f t="shared" si="23"/>
        <v>0</v>
      </c>
      <c r="AE54" s="178">
        <f t="shared" si="23"/>
        <v>0</v>
      </c>
      <c r="AF54" s="178">
        <f t="shared" si="24"/>
        <v>0</v>
      </c>
      <c r="AG54" s="178">
        <f t="shared" si="24"/>
        <v>0</v>
      </c>
      <c r="AH54" s="178">
        <f t="shared" si="24"/>
        <v>0</v>
      </c>
      <c r="AI54" s="178">
        <f t="shared" si="24"/>
        <v>0</v>
      </c>
      <c r="AJ54" s="178">
        <f t="shared" si="24"/>
        <v>0</v>
      </c>
      <c r="AK54" s="178">
        <f t="shared" si="24"/>
        <v>0</v>
      </c>
      <c r="AL54" s="178">
        <f t="shared" si="24"/>
        <v>0</v>
      </c>
      <c r="AM54" s="178">
        <f t="shared" si="24"/>
        <v>0</v>
      </c>
      <c r="AN54" s="178">
        <f t="shared" si="24"/>
        <v>0</v>
      </c>
      <c r="AO54" s="178">
        <f t="shared" si="24"/>
        <v>0</v>
      </c>
      <c r="AP54" s="178">
        <f t="shared" si="25"/>
        <v>0</v>
      </c>
      <c r="AQ54" s="178">
        <f t="shared" si="25"/>
        <v>0</v>
      </c>
      <c r="AR54" s="178">
        <f t="shared" si="25"/>
        <v>0</v>
      </c>
      <c r="AS54" s="178">
        <f t="shared" si="25"/>
        <v>0</v>
      </c>
      <c r="AT54" s="178">
        <f t="shared" si="25"/>
        <v>0</v>
      </c>
      <c r="AU54" s="178">
        <f t="shared" si="25"/>
        <v>0</v>
      </c>
      <c r="AV54" s="178">
        <f t="shared" si="25"/>
        <v>0</v>
      </c>
      <c r="AW54" s="178">
        <f t="shared" si="25"/>
        <v>0</v>
      </c>
      <c r="AX54" s="178">
        <f t="shared" si="25"/>
        <v>0</v>
      </c>
      <c r="AY54" s="178">
        <f t="shared" si="25"/>
        <v>0</v>
      </c>
      <c r="AZ54" s="178">
        <f t="shared" si="26"/>
        <v>0</v>
      </c>
      <c r="BA54" s="178">
        <f t="shared" si="26"/>
        <v>0</v>
      </c>
      <c r="BB54" s="178">
        <f t="shared" si="26"/>
        <v>0</v>
      </c>
      <c r="BC54" s="178">
        <f t="shared" si="26"/>
        <v>0</v>
      </c>
      <c r="BD54" s="178">
        <f t="shared" si="26"/>
        <v>0</v>
      </c>
      <c r="BE54" s="178">
        <f t="shared" si="26"/>
        <v>0</v>
      </c>
      <c r="BF54" s="178">
        <f t="shared" si="26"/>
        <v>0</v>
      </c>
      <c r="BG54" s="178">
        <f t="shared" si="26"/>
        <v>0</v>
      </c>
      <c r="BH54" s="178">
        <f t="shared" si="26"/>
        <v>0</v>
      </c>
      <c r="BI54" s="178">
        <f t="shared" si="26"/>
        <v>0</v>
      </c>
    </row>
    <row r="55" spans="2:61" ht="12.75" customHeight="1" x14ac:dyDescent="0.2">
      <c r="B55" s="133" t="s">
        <v>283</v>
      </c>
      <c r="C55" s="134"/>
      <c r="D55" s="20"/>
      <c r="E55" s="20"/>
      <c r="F55" s="20"/>
      <c r="G55" s="71" t="str">
        <f t="shared" si="5"/>
        <v>-</v>
      </c>
      <c r="H55" s="190"/>
      <c r="I55" s="171" t="str">
        <f t="shared" si="6"/>
        <v/>
      </c>
      <c r="K55" s="178" t="str">
        <f t="array" ref="K55">IFERROR(INDEX($C$9:$C$59,MATCH(0,COUNTIF($K$8:$K54,$C$9:$C$59),0)),"")</f>
        <v/>
      </c>
      <c r="L55" s="178">
        <f t="shared" si="22"/>
        <v>0</v>
      </c>
      <c r="M55" s="178">
        <f t="shared" si="22"/>
        <v>0</v>
      </c>
      <c r="N55" s="178">
        <f t="shared" si="22"/>
        <v>0</v>
      </c>
      <c r="O55" s="178">
        <f t="shared" si="22"/>
        <v>0</v>
      </c>
      <c r="P55" s="178">
        <f t="shared" si="22"/>
        <v>0</v>
      </c>
      <c r="Q55" s="178">
        <f t="shared" si="22"/>
        <v>0</v>
      </c>
      <c r="R55" s="178">
        <f t="shared" si="22"/>
        <v>0</v>
      </c>
      <c r="S55" s="178">
        <f t="shared" si="22"/>
        <v>0</v>
      </c>
      <c r="T55" s="178">
        <f t="shared" si="22"/>
        <v>0</v>
      </c>
      <c r="U55" s="178">
        <f t="shared" si="22"/>
        <v>0</v>
      </c>
      <c r="V55" s="178">
        <f t="shared" si="23"/>
        <v>0</v>
      </c>
      <c r="W55" s="178">
        <f t="shared" si="23"/>
        <v>0</v>
      </c>
      <c r="X55" s="178">
        <f t="shared" si="23"/>
        <v>0</v>
      </c>
      <c r="Y55" s="178">
        <f t="shared" si="23"/>
        <v>0</v>
      </c>
      <c r="Z55" s="178">
        <f t="shared" si="23"/>
        <v>0</v>
      </c>
      <c r="AA55" s="178">
        <f t="shared" si="23"/>
        <v>0</v>
      </c>
      <c r="AB55" s="178">
        <f t="shared" si="23"/>
        <v>0</v>
      </c>
      <c r="AC55" s="178">
        <f t="shared" si="23"/>
        <v>0</v>
      </c>
      <c r="AD55" s="178">
        <f t="shared" si="23"/>
        <v>0</v>
      </c>
      <c r="AE55" s="178">
        <f t="shared" si="23"/>
        <v>0</v>
      </c>
      <c r="AF55" s="178">
        <f t="shared" si="24"/>
        <v>0</v>
      </c>
      <c r="AG55" s="178">
        <f t="shared" si="24"/>
        <v>0</v>
      </c>
      <c r="AH55" s="178">
        <f t="shared" si="24"/>
        <v>0</v>
      </c>
      <c r="AI55" s="178">
        <f t="shared" si="24"/>
        <v>0</v>
      </c>
      <c r="AJ55" s="178">
        <f t="shared" si="24"/>
        <v>0</v>
      </c>
      <c r="AK55" s="178">
        <f t="shared" si="24"/>
        <v>0</v>
      </c>
      <c r="AL55" s="178">
        <f t="shared" si="24"/>
        <v>0</v>
      </c>
      <c r="AM55" s="178">
        <f t="shared" si="24"/>
        <v>0</v>
      </c>
      <c r="AN55" s="178">
        <f t="shared" si="24"/>
        <v>0</v>
      </c>
      <c r="AO55" s="178">
        <f t="shared" si="24"/>
        <v>0</v>
      </c>
      <c r="AP55" s="178">
        <f t="shared" si="25"/>
        <v>0</v>
      </c>
      <c r="AQ55" s="178">
        <f t="shared" si="25"/>
        <v>0</v>
      </c>
      <c r="AR55" s="178">
        <f t="shared" si="25"/>
        <v>0</v>
      </c>
      <c r="AS55" s="178">
        <f t="shared" si="25"/>
        <v>0</v>
      </c>
      <c r="AT55" s="178">
        <f t="shared" si="25"/>
        <v>0</v>
      </c>
      <c r="AU55" s="178">
        <f t="shared" si="25"/>
        <v>0</v>
      </c>
      <c r="AV55" s="178">
        <f t="shared" si="25"/>
        <v>0</v>
      </c>
      <c r="AW55" s="178">
        <f t="shared" si="25"/>
        <v>0</v>
      </c>
      <c r="AX55" s="178">
        <f t="shared" si="25"/>
        <v>0</v>
      </c>
      <c r="AY55" s="178">
        <f t="shared" si="25"/>
        <v>0</v>
      </c>
      <c r="AZ55" s="178">
        <f t="shared" si="26"/>
        <v>0</v>
      </c>
      <c r="BA55" s="178">
        <f t="shared" si="26"/>
        <v>0</v>
      </c>
      <c r="BB55" s="178">
        <f t="shared" si="26"/>
        <v>0</v>
      </c>
      <c r="BC55" s="178">
        <f t="shared" si="26"/>
        <v>0</v>
      </c>
      <c r="BD55" s="178">
        <f t="shared" si="26"/>
        <v>0</v>
      </c>
      <c r="BE55" s="178">
        <f t="shared" si="26"/>
        <v>0</v>
      </c>
      <c r="BF55" s="178">
        <f t="shared" si="26"/>
        <v>0</v>
      </c>
      <c r="BG55" s="178">
        <f t="shared" si="26"/>
        <v>0</v>
      </c>
      <c r="BH55" s="178">
        <f t="shared" si="26"/>
        <v>0</v>
      </c>
      <c r="BI55" s="178">
        <f t="shared" si="26"/>
        <v>0</v>
      </c>
    </row>
    <row r="56" spans="2:61" ht="12.75" customHeight="1" x14ac:dyDescent="0.2">
      <c r="B56" s="133" t="s">
        <v>284</v>
      </c>
      <c r="C56" s="134"/>
      <c r="D56" s="20"/>
      <c r="E56" s="20"/>
      <c r="F56" s="20"/>
      <c r="G56" s="71" t="str">
        <f t="shared" si="5"/>
        <v>-</v>
      </c>
      <c r="H56" s="190"/>
      <c r="I56" s="171" t="str">
        <f t="shared" si="6"/>
        <v/>
      </c>
      <c r="K56" s="178" t="str">
        <f t="array" ref="K56">IFERROR(INDEX($C$9:$C$59,MATCH(0,COUNTIF($K$8:$K55,$C$9:$C$59),0)),"")</f>
        <v/>
      </c>
      <c r="L56" s="178">
        <f t="shared" si="22"/>
        <v>0</v>
      </c>
      <c r="M56" s="178">
        <f t="shared" si="22"/>
        <v>0</v>
      </c>
      <c r="N56" s="178">
        <f t="shared" si="22"/>
        <v>0</v>
      </c>
      <c r="O56" s="178">
        <f t="shared" si="22"/>
        <v>0</v>
      </c>
      <c r="P56" s="178">
        <f t="shared" si="22"/>
        <v>0</v>
      </c>
      <c r="Q56" s="178">
        <f t="shared" si="22"/>
        <v>0</v>
      </c>
      <c r="R56" s="178">
        <f t="shared" si="22"/>
        <v>0</v>
      </c>
      <c r="S56" s="178">
        <f t="shared" si="22"/>
        <v>0</v>
      </c>
      <c r="T56" s="178">
        <f t="shared" si="22"/>
        <v>0</v>
      </c>
      <c r="U56" s="178">
        <f t="shared" si="22"/>
        <v>0</v>
      </c>
      <c r="V56" s="178">
        <f t="shared" si="23"/>
        <v>0</v>
      </c>
      <c r="W56" s="178">
        <f t="shared" si="23"/>
        <v>0</v>
      </c>
      <c r="X56" s="178">
        <f t="shared" si="23"/>
        <v>0</v>
      </c>
      <c r="Y56" s="178">
        <f t="shared" si="23"/>
        <v>0</v>
      </c>
      <c r="Z56" s="178">
        <f t="shared" si="23"/>
        <v>0</v>
      </c>
      <c r="AA56" s="178">
        <f t="shared" si="23"/>
        <v>0</v>
      </c>
      <c r="AB56" s="178">
        <f t="shared" si="23"/>
        <v>0</v>
      </c>
      <c r="AC56" s="178">
        <f t="shared" si="23"/>
        <v>0</v>
      </c>
      <c r="AD56" s="178">
        <f t="shared" si="23"/>
        <v>0</v>
      </c>
      <c r="AE56" s="178">
        <f t="shared" si="23"/>
        <v>0</v>
      </c>
      <c r="AF56" s="178">
        <f t="shared" si="24"/>
        <v>0</v>
      </c>
      <c r="AG56" s="178">
        <f t="shared" si="24"/>
        <v>0</v>
      </c>
      <c r="AH56" s="178">
        <f t="shared" si="24"/>
        <v>0</v>
      </c>
      <c r="AI56" s="178">
        <f t="shared" si="24"/>
        <v>0</v>
      </c>
      <c r="AJ56" s="178">
        <f t="shared" si="24"/>
        <v>0</v>
      </c>
      <c r="AK56" s="178">
        <f t="shared" si="24"/>
        <v>0</v>
      </c>
      <c r="AL56" s="178">
        <f t="shared" si="24"/>
        <v>0</v>
      </c>
      <c r="AM56" s="178">
        <f t="shared" si="24"/>
        <v>0</v>
      </c>
      <c r="AN56" s="178">
        <f t="shared" si="24"/>
        <v>0</v>
      </c>
      <c r="AO56" s="178">
        <f t="shared" si="24"/>
        <v>0</v>
      </c>
      <c r="AP56" s="178">
        <f t="shared" si="25"/>
        <v>0</v>
      </c>
      <c r="AQ56" s="178">
        <f t="shared" si="25"/>
        <v>0</v>
      </c>
      <c r="AR56" s="178">
        <f t="shared" si="25"/>
        <v>0</v>
      </c>
      <c r="AS56" s="178">
        <f t="shared" si="25"/>
        <v>0</v>
      </c>
      <c r="AT56" s="178">
        <f t="shared" si="25"/>
        <v>0</v>
      </c>
      <c r="AU56" s="178">
        <f t="shared" si="25"/>
        <v>0</v>
      </c>
      <c r="AV56" s="178">
        <f t="shared" si="25"/>
        <v>0</v>
      </c>
      <c r="AW56" s="178">
        <f t="shared" si="25"/>
        <v>0</v>
      </c>
      <c r="AX56" s="178">
        <f t="shared" si="25"/>
        <v>0</v>
      </c>
      <c r="AY56" s="178">
        <f t="shared" si="25"/>
        <v>0</v>
      </c>
      <c r="AZ56" s="178">
        <f t="shared" si="26"/>
        <v>0</v>
      </c>
      <c r="BA56" s="178">
        <f t="shared" si="26"/>
        <v>0</v>
      </c>
      <c r="BB56" s="178">
        <f t="shared" si="26"/>
        <v>0</v>
      </c>
      <c r="BC56" s="178">
        <f t="shared" si="26"/>
        <v>0</v>
      </c>
      <c r="BD56" s="178">
        <f t="shared" si="26"/>
        <v>0</v>
      </c>
      <c r="BE56" s="178">
        <f t="shared" si="26"/>
        <v>0</v>
      </c>
      <c r="BF56" s="178">
        <f t="shared" si="26"/>
        <v>0</v>
      </c>
      <c r="BG56" s="178">
        <f t="shared" si="26"/>
        <v>0</v>
      </c>
      <c r="BH56" s="178">
        <f t="shared" si="26"/>
        <v>0</v>
      </c>
      <c r="BI56" s="178">
        <f t="shared" si="26"/>
        <v>0</v>
      </c>
    </row>
    <row r="57" spans="2:61" ht="12.75" customHeight="1" x14ac:dyDescent="0.2">
      <c r="B57" s="133" t="s">
        <v>285</v>
      </c>
      <c r="C57" s="134"/>
      <c r="D57" s="20"/>
      <c r="E57" s="20"/>
      <c r="F57" s="20"/>
      <c r="G57" s="71" t="str">
        <f t="shared" si="5"/>
        <v>-</v>
      </c>
      <c r="H57" s="190"/>
      <c r="I57" s="171" t="str">
        <f t="shared" si="6"/>
        <v/>
      </c>
      <c r="K57" s="178" t="str">
        <f t="array" ref="K57">IFERROR(INDEX($C$9:$C$59,MATCH(0,COUNTIF($K$8:$K56,$C$9:$C$59),0)),"")</f>
        <v/>
      </c>
      <c r="L57" s="178">
        <f t="shared" si="22"/>
        <v>0</v>
      </c>
      <c r="M57" s="178">
        <f t="shared" si="22"/>
        <v>0</v>
      </c>
      <c r="N57" s="178">
        <f t="shared" si="22"/>
        <v>0</v>
      </c>
      <c r="O57" s="178">
        <f t="shared" si="22"/>
        <v>0</v>
      </c>
      <c r="P57" s="178">
        <f t="shared" si="22"/>
        <v>0</v>
      </c>
      <c r="Q57" s="178">
        <f t="shared" si="22"/>
        <v>0</v>
      </c>
      <c r="R57" s="178">
        <f t="shared" si="22"/>
        <v>0</v>
      </c>
      <c r="S57" s="178">
        <f t="shared" si="22"/>
        <v>0</v>
      </c>
      <c r="T57" s="178">
        <f t="shared" si="22"/>
        <v>0</v>
      </c>
      <c r="U57" s="178">
        <f t="shared" si="22"/>
        <v>0</v>
      </c>
      <c r="V57" s="178">
        <f t="shared" si="23"/>
        <v>0</v>
      </c>
      <c r="W57" s="178">
        <f t="shared" si="23"/>
        <v>0</v>
      </c>
      <c r="X57" s="178">
        <f t="shared" si="23"/>
        <v>0</v>
      </c>
      <c r="Y57" s="178">
        <f t="shared" si="23"/>
        <v>0</v>
      </c>
      <c r="Z57" s="178">
        <f t="shared" si="23"/>
        <v>0</v>
      </c>
      <c r="AA57" s="178">
        <f t="shared" si="23"/>
        <v>0</v>
      </c>
      <c r="AB57" s="178">
        <f t="shared" si="23"/>
        <v>0</v>
      </c>
      <c r="AC57" s="178">
        <f t="shared" si="23"/>
        <v>0</v>
      </c>
      <c r="AD57" s="178">
        <f t="shared" si="23"/>
        <v>0</v>
      </c>
      <c r="AE57" s="178">
        <f t="shared" si="23"/>
        <v>0</v>
      </c>
      <c r="AF57" s="178">
        <f t="shared" si="24"/>
        <v>0</v>
      </c>
      <c r="AG57" s="178">
        <f t="shared" si="24"/>
        <v>0</v>
      </c>
      <c r="AH57" s="178">
        <f t="shared" si="24"/>
        <v>0</v>
      </c>
      <c r="AI57" s="178">
        <f t="shared" si="24"/>
        <v>0</v>
      </c>
      <c r="AJ57" s="178">
        <f t="shared" si="24"/>
        <v>0</v>
      </c>
      <c r="AK57" s="178">
        <f t="shared" si="24"/>
        <v>0</v>
      </c>
      <c r="AL57" s="178">
        <f t="shared" si="24"/>
        <v>0</v>
      </c>
      <c r="AM57" s="178">
        <f t="shared" si="24"/>
        <v>0</v>
      </c>
      <c r="AN57" s="178">
        <f t="shared" si="24"/>
        <v>0</v>
      </c>
      <c r="AO57" s="178">
        <f t="shared" si="24"/>
        <v>0</v>
      </c>
      <c r="AP57" s="178">
        <f t="shared" si="25"/>
        <v>0</v>
      </c>
      <c r="AQ57" s="178">
        <f t="shared" si="25"/>
        <v>0</v>
      </c>
      <c r="AR57" s="178">
        <f t="shared" si="25"/>
        <v>0</v>
      </c>
      <c r="AS57" s="178">
        <f t="shared" si="25"/>
        <v>0</v>
      </c>
      <c r="AT57" s="178">
        <f t="shared" si="25"/>
        <v>0</v>
      </c>
      <c r="AU57" s="178">
        <f t="shared" si="25"/>
        <v>0</v>
      </c>
      <c r="AV57" s="178">
        <f t="shared" si="25"/>
        <v>0</v>
      </c>
      <c r="AW57" s="178">
        <f t="shared" si="25"/>
        <v>0</v>
      </c>
      <c r="AX57" s="178">
        <f t="shared" si="25"/>
        <v>0</v>
      </c>
      <c r="AY57" s="178">
        <f t="shared" si="25"/>
        <v>0</v>
      </c>
      <c r="AZ57" s="178">
        <f t="shared" si="26"/>
        <v>0</v>
      </c>
      <c r="BA57" s="178">
        <f t="shared" si="26"/>
        <v>0</v>
      </c>
      <c r="BB57" s="178">
        <f t="shared" si="26"/>
        <v>0</v>
      </c>
      <c r="BC57" s="178">
        <f t="shared" si="26"/>
        <v>0</v>
      </c>
      <c r="BD57" s="178">
        <f t="shared" si="26"/>
        <v>0</v>
      </c>
      <c r="BE57" s="178">
        <f t="shared" si="26"/>
        <v>0</v>
      </c>
      <c r="BF57" s="178">
        <f t="shared" si="26"/>
        <v>0</v>
      </c>
      <c r="BG57" s="178">
        <f t="shared" si="26"/>
        <v>0</v>
      </c>
      <c r="BH57" s="178">
        <f t="shared" si="26"/>
        <v>0</v>
      </c>
      <c r="BI57" s="178">
        <f t="shared" si="26"/>
        <v>0</v>
      </c>
    </row>
    <row r="58" spans="2:61" ht="12.75" customHeight="1" thickBot="1" x14ac:dyDescent="0.25">
      <c r="B58" s="135" t="s">
        <v>286</v>
      </c>
      <c r="C58" s="136"/>
      <c r="D58" s="144"/>
      <c r="E58" s="144"/>
      <c r="F58" s="144"/>
      <c r="G58" s="81" t="str">
        <f t="shared" si="5"/>
        <v>-</v>
      </c>
      <c r="H58" s="191"/>
      <c r="I58" s="172" t="str">
        <f t="shared" si="6"/>
        <v/>
      </c>
      <c r="K58" s="178" t="str">
        <f t="array" ref="K58">IFERROR(INDEX($C$9:$C$59,MATCH(0,COUNTIF($K$8:$K57,$C$9:$C$59),0)),"")</f>
        <v/>
      </c>
      <c r="L58" s="178">
        <f t="shared" si="22"/>
        <v>0</v>
      </c>
      <c r="M58" s="178">
        <f t="shared" si="22"/>
        <v>0</v>
      </c>
      <c r="N58" s="178">
        <f t="shared" si="22"/>
        <v>0</v>
      </c>
      <c r="O58" s="178">
        <f t="shared" si="22"/>
        <v>0</v>
      </c>
      <c r="P58" s="178">
        <f t="shared" si="22"/>
        <v>0</v>
      </c>
      <c r="Q58" s="178">
        <f t="shared" si="22"/>
        <v>0</v>
      </c>
      <c r="R58" s="178">
        <f t="shared" si="22"/>
        <v>0</v>
      </c>
      <c r="S58" s="178">
        <f t="shared" si="22"/>
        <v>0</v>
      </c>
      <c r="T58" s="178">
        <f t="shared" si="22"/>
        <v>0</v>
      </c>
      <c r="U58" s="178">
        <f t="shared" si="22"/>
        <v>0</v>
      </c>
      <c r="V58" s="178">
        <f t="shared" si="23"/>
        <v>0</v>
      </c>
      <c r="W58" s="178">
        <f t="shared" si="23"/>
        <v>0</v>
      </c>
      <c r="X58" s="178">
        <f t="shared" si="23"/>
        <v>0</v>
      </c>
      <c r="Y58" s="178">
        <f t="shared" si="23"/>
        <v>0</v>
      </c>
      <c r="Z58" s="178">
        <f t="shared" si="23"/>
        <v>0</v>
      </c>
      <c r="AA58" s="178">
        <f t="shared" si="23"/>
        <v>0</v>
      </c>
      <c r="AB58" s="178">
        <f t="shared" si="23"/>
        <v>0</v>
      </c>
      <c r="AC58" s="178">
        <f t="shared" si="23"/>
        <v>0</v>
      </c>
      <c r="AD58" s="178">
        <f t="shared" si="23"/>
        <v>0</v>
      </c>
      <c r="AE58" s="178">
        <f t="shared" si="23"/>
        <v>0</v>
      </c>
      <c r="AF58" s="178">
        <f t="shared" si="24"/>
        <v>0</v>
      </c>
      <c r="AG58" s="178">
        <f t="shared" si="24"/>
        <v>0</v>
      </c>
      <c r="AH58" s="178">
        <f t="shared" si="24"/>
        <v>0</v>
      </c>
      <c r="AI58" s="178">
        <f t="shared" si="24"/>
        <v>0</v>
      </c>
      <c r="AJ58" s="178">
        <f t="shared" si="24"/>
        <v>0</v>
      </c>
      <c r="AK58" s="178">
        <f t="shared" si="24"/>
        <v>0</v>
      </c>
      <c r="AL58" s="178">
        <f t="shared" si="24"/>
        <v>0</v>
      </c>
      <c r="AM58" s="178">
        <f t="shared" si="24"/>
        <v>0</v>
      </c>
      <c r="AN58" s="178">
        <f t="shared" si="24"/>
        <v>0</v>
      </c>
      <c r="AO58" s="178">
        <f t="shared" si="24"/>
        <v>0</v>
      </c>
      <c r="AP58" s="178">
        <f t="shared" si="25"/>
        <v>0</v>
      </c>
      <c r="AQ58" s="178">
        <f t="shared" si="25"/>
        <v>0</v>
      </c>
      <c r="AR58" s="178">
        <f t="shared" si="25"/>
        <v>0</v>
      </c>
      <c r="AS58" s="178">
        <f t="shared" si="25"/>
        <v>0</v>
      </c>
      <c r="AT58" s="178">
        <f t="shared" si="25"/>
        <v>0</v>
      </c>
      <c r="AU58" s="178">
        <f t="shared" si="25"/>
        <v>0</v>
      </c>
      <c r="AV58" s="178">
        <f t="shared" si="25"/>
        <v>0</v>
      </c>
      <c r="AW58" s="178">
        <f t="shared" si="25"/>
        <v>0</v>
      </c>
      <c r="AX58" s="178">
        <f t="shared" si="25"/>
        <v>0</v>
      </c>
      <c r="AY58" s="178">
        <f t="shared" si="25"/>
        <v>0</v>
      </c>
      <c r="AZ58" s="178">
        <f t="shared" si="26"/>
        <v>0</v>
      </c>
      <c r="BA58" s="178">
        <f t="shared" si="26"/>
        <v>0</v>
      </c>
      <c r="BB58" s="178">
        <f t="shared" si="26"/>
        <v>0</v>
      </c>
      <c r="BC58" s="178">
        <f t="shared" si="26"/>
        <v>0</v>
      </c>
      <c r="BD58" s="178">
        <f t="shared" si="26"/>
        <v>0</v>
      </c>
      <c r="BE58" s="178">
        <f t="shared" si="26"/>
        <v>0</v>
      </c>
      <c r="BF58" s="178">
        <f t="shared" si="26"/>
        <v>0</v>
      </c>
      <c r="BG58" s="178">
        <f t="shared" si="26"/>
        <v>0</v>
      </c>
      <c r="BH58" s="178">
        <f t="shared" si="26"/>
        <v>0</v>
      </c>
      <c r="BI58" s="178">
        <f t="shared" si="26"/>
        <v>0</v>
      </c>
    </row>
    <row r="60" spans="2:61" ht="12.75" customHeight="1" x14ac:dyDescent="0.2">
      <c r="K60" s="372" t="s">
        <v>480</v>
      </c>
      <c r="L60" s="181" t="str">
        <f>IFERROR(MID(L8,1,SEARCH(" ",L8)-1),"")</f>
        <v/>
      </c>
      <c r="M60" s="179" t="str">
        <f t="shared" ref="M60:BI60" si="27">IFERROR(MID(M8,1,SEARCH(" ",M8)-1),"")</f>
        <v/>
      </c>
      <c r="N60" s="179" t="str">
        <f t="shared" si="27"/>
        <v/>
      </c>
      <c r="O60" s="179" t="str">
        <f t="shared" si="27"/>
        <v/>
      </c>
      <c r="P60" s="179" t="str">
        <f t="shared" si="27"/>
        <v/>
      </c>
      <c r="Q60" s="179" t="str">
        <f t="shared" si="27"/>
        <v/>
      </c>
      <c r="R60" s="179" t="str">
        <f t="shared" si="27"/>
        <v/>
      </c>
      <c r="S60" s="179" t="str">
        <f t="shared" si="27"/>
        <v/>
      </c>
      <c r="T60" s="179" t="str">
        <f t="shared" si="27"/>
        <v/>
      </c>
      <c r="U60" s="179" t="str">
        <f t="shared" si="27"/>
        <v/>
      </c>
      <c r="V60" s="179" t="str">
        <f t="shared" si="27"/>
        <v/>
      </c>
      <c r="W60" s="179" t="str">
        <f t="shared" si="27"/>
        <v/>
      </c>
      <c r="X60" s="179" t="str">
        <f t="shared" si="27"/>
        <v/>
      </c>
      <c r="Y60" s="179" t="str">
        <f t="shared" si="27"/>
        <v/>
      </c>
      <c r="Z60" s="179" t="str">
        <f t="shared" si="27"/>
        <v/>
      </c>
      <c r="AA60" s="179" t="str">
        <f t="shared" si="27"/>
        <v/>
      </c>
      <c r="AB60" s="179" t="str">
        <f t="shared" si="27"/>
        <v/>
      </c>
      <c r="AC60" s="179" t="str">
        <f t="shared" si="27"/>
        <v/>
      </c>
      <c r="AD60" s="179" t="str">
        <f t="shared" si="27"/>
        <v/>
      </c>
      <c r="AE60" s="179" t="str">
        <f t="shared" si="27"/>
        <v/>
      </c>
      <c r="AF60" s="179" t="str">
        <f t="shared" si="27"/>
        <v/>
      </c>
      <c r="AG60" s="179" t="str">
        <f t="shared" si="27"/>
        <v/>
      </c>
      <c r="AH60" s="179" t="str">
        <f t="shared" si="27"/>
        <v/>
      </c>
      <c r="AI60" s="179" t="str">
        <f t="shared" si="27"/>
        <v/>
      </c>
      <c r="AJ60" s="179" t="str">
        <f t="shared" si="27"/>
        <v/>
      </c>
      <c r="AK60" s="179" t="str">
        <f t="shared" si="27"/>
        <v/>
      </c>
      <c r="AL60" s="179" t="str">
        <f t="shared" si="27"/>
        <v/>
      </c>
      <c r="AM60" s="179" t="str">
        <f t="shared" si="27"/>
        <v/>
      </c>
      <c r="AN60" s="179" t="str">
        <f t="shared" si="27"/>
        <v/>
      </c>
      <c r="AO60" s="179" t="str">
        <f t="shared" si="27"/>
        <v/>
      </c>
      <c r="AP60" s="179" t="str">
        <f t="shared" si="27"/>
        <v/>
      </c>
      <c r="AQ60" s="179" t="str">
        <f t="shared" si="27"/>
        <v/>
      </c>
      <c r="AR60" s="179" t="str">
        <f t="shared" si="27"/>
        <v/>
      </c>
      <c r="AS60" s="179" t="str">
        <f t="shared" si="27"/>
        <v/>
      </c>
      <c r="AT60" s="179" t="str">
        <f t="shared" si="27"/>
        <v/>
      </c>
      <c r="AU60" s="179" t="str">
        <f t="shared" si="27"/>
        <v/>
      </c>
      <c r="AV60" s="179" t="str">
        <f t="shared" si="27"/>
        <v/>
      </c>
      <c r="AW60" s="179" t="str">
        <f t="shared" si="27"/>
        <v/>
      </c>
      <c r="AX60" s="179" t="str">
        <f t="shared" si="27"/>
        <v/>
      </c>
      <c r="AY60" s="179" t="str">
        <f t="shared" si="27"/>
        <v/>
      </c>
      <c r="AZ60" s="179" t="str">
        <f t="shared" si="27"/>
        <v/>
      </c>
      <c r="BA60" s="179" t="str">
        <f t="shared" si="27"/>
        <v/>
      </c>
      <c r="BB60" s="179" t="str">
        <f t="shared" si="27"/>
        <v/>
      </c>
      <c r="BC60" s="179" t="str">
        <f t="shared" si="27"/>
        <v/>
      </c>
      <c r="BD60" s="179" t="str">
        <f t="shared" si="27"/>
        <v/>
      </c>
      <c r="BE60" s="179" t="str">
        <f t="shared" si="27"/>
        <v/>
      </c>
      <c r="BF60" s="179" t="str">
        <f t="shared" si="27"/>
        <v/>
      </c>
      <c r="BG60" s="179" t="str">
        <f t="shared" si="27"/>
        <v/>
      </c>
      <c r="BH60" s="179" t="str">
        <f t="shared" si="27"/>
        <v/>
      </c>
      <c r="BI60" s="179" t="str">
        <f t="shared" si="27"/>
        <v/>
      </c>
    </row>
    <row r="61" spans="2:61" ht="12.75" hidden="1" customHeight="1" x14ac:dyDescent="0.2">
      <c r="C61" s="370" t="s">
        <v>468</v>
      </c>
      <c r="D61" s="370"/>
      <c r="E61" s="370"/>
      <c r="K61" s="372"/>
      <c r="L61" s="181" t="str">
        <f>IFERROR(RIGHT(L8,LEN(L8)-SEARCH(" ",L8)),"")</f>
        <v/>
      </c>
      <c r="M61" s="179" t="str">
        <f t="shared" ref="M61:BI61" si="28">IFERROR(RIGHT(M8,LEN(M8)-SEARCH(" ",M8)),"")</f>
        <v/>
      </c>
      <c r="N61" s="179" t="str">
        <f t="shared" si="28"/>
        <v/>
      </c>
      <c r="O61" s="179" t="str">
        <f t="shared" si="28"/>
        <v/>
      </c>
      <c r="P61" s="179" t="str">
        <f t="shared" si="28"/>
        <v/>
      </c>
      <c r="Q61" s="179" t="str">
        <f t="shared" si="28"/>
        <v/>
      </c>
      <c r="R61" s="179" t="str">
        <f t="shared" si="28"/>
        <v/>
      </c>
      <c r="S61" s="179" t="str">
        <f t="shared" si="28"/>
        <v/>
      </c>
      <c r="T61" s="179" t="str">
        <f t="shared" si="28"/>
        <v/>
      </c>
      <c r="U61" s="179" t="str">
        <f t="shared" si="28"/>
        <v/>
      </c>
      <c r="V61" s="179" t="str">
        <f t="shared" si="28"/>
        <v/>
      </c>
      <c r="W61" s="179" t="str">
        <f t="shared" si="28"/>
        <v/>
      </c>
      <c r="X61" s="179" t="str">
        <f t="shared" si="28"/>
        <v/>
      </c>
      <c r="Y61" s="179" t="str">
        <f t="shared" si="28"/>
        <v/>
      </c>
      <c r="Z61" s="179" t="str">
        <f t="shared" si="28"/>
        <v/>
      </c>
      <c r="AA61" s="179" t="str">
        <f t="shared" si="28"/>
        <v/>
      </c>
      <c r="AB61" s="179" t="str">
        <f t="shared" si="28"/>
        <v/>
      </c>
      <c r="AC61" s="179" t="str">
        <f t="shared" si="28"/>
        <v/>
      </c>
      <c r="AD61" s="179" t="str">
        <f t="shared" si="28"/>
        <v/>
      </c>
      <c r="AE61" s="179" t="str">
        <f t="shared" si="28"/>
        <v/>
      </c>
      <c r="AF61" s="179" t="str">
        <f t="shared" si="28"/>
        <v/>
      </c>
      <c r="AG61" s="179" t="str">
        <f t="shared" si="28"/>
        <v/>
      </c>
      <c r="AH61" s="179" t="str">
        <f t="shared" si="28"/>
        <v/>
      </c>
      <c r="AI61" s="179" t="str">
        <f t="shared" si="28"/>
        <v/>
      </c>
      <c r="AJ61" s="179" t="str">
        <f t="shared" si="28"/>
        <v/>
      </c>
      <c r="AK61" s="179" t="str">
        <f t="shared" si="28"/>
        <v/>
      </c>
      <c r="AL61" s="179" t="str">
        <f t="shared" si="28"/>
        <v/>
      </c>
      <c r="AM61" s="179" t="str">
        <f t="shared" si="28"/>
        <v/>
      </c>
      <c r="AN61" s="179" t="str">
        <f t="shared" si="28"/>
        <v/>
      </c>
      <c r="AO61" s="179" t="str">
        <f t="shared" si="28"/>
        <v/>
      </c>
      <c r="AP61" s="179" t="str">
        <f t="shared" si="28"/>
        <v/>
      </c>
      <c r="AQ61" s="179" t="str">
        <f t="shared" si="28"/>
        <v/>
      </c>
      <c r="AR61" s="179" t="str">
        <f t="shared" si="28"/>
        <v/>
      </c>
      <c r="AS61" s="179" t="str">
        <f t="shared" si="28"/>
        <v/>
      </c>
      <c r="AT61" s="179" t="str">
        <f t="shared" si="28"/>
        <v/>
      </c>
      <c r="AU61" s="179" t="str">
        <f t="shared" si="28"/>
        <v/>
      </c>
      <c r="AV61" s="179" t="str">
        <f t="shared" si="28"/>
        <v/>
      </c>
      <c r="AW61" s="179" t="str">
        <f t="shared" si="28"/>
        <v/>
      </c>
      <c r="AX61" s="179" t="str">
        <f t="shared" si="28"/>
        <v/>
      </c>
      <c r="AY61" s="179" t="str">
        <f t="shared" si="28"/>
        <v/>
      </c>
      <c r="AZ61" s="179" t="str">
        <f t="shared" si="28"/>
        <v/>
      </c>
      <c r="BA61" s="179" t="str">
        <f t="shared" si="28"/>
        <v/>
      </c>
      <c r="BB61" s="179" t="str">
        <f t="shared" si="28"/>
        <v/>
      </c>
      <c r="BC61" s="179" t="str">
        <f t="shared" si="28"/>
        <v/>
      </c>
      <c r="BD61" s="179" t="str">
        <f t="shared" si="28"/>
        <v/>
      </c>
      <c r="BE61" s="179" t="str">
        <f t="shared" si="28"/>
        <v/>
      </c>
      <c r="BF61" s="179" t="str">
        <f t="shared" si="28"/>
        <v/>
      </c>
      <c r="BG61" s="179" t="str">
        <f t="shared" si="28"/>
        <v/>
      </c>
      <c r="BH61" s="179" t="str">
        <f t="shared" si="28"/>
        <v/>
      </c>
      <c r="BI61" s="179" t="str">
        <f t="shared" si="28"/>
        <v/>
      </c>
    </row>
    <row r="62" spans="2:61" ht="12.75" hidden="1" customHeight="1" x14ac:dyDescent="0.2">
      <c r="C62" s="255" t="s">
        <v>30</v>
      </c>
      <c r="D62" s="255" t="s">
        <v>34</v>
      </c>
      <c r="E62" s="255" t="s">
        <v>35</v>
      </c>
      <c r="K62" s="372"/>
      <c r="L62" s="182">
        <f>SUM(L9:L59)</f>
        <v>0</v>
      </c>
      <c r="M62" s="178">
        <f t="shared" ref="M62:BI62" si="29">SUM(M9:M59)</f>
        <v>0</v>
      </c>
      <c r="N62" s="178">
        <f t="shared" si="29"/>
        <v>0</v>
      </c>
      <c r="O62" s="178">
        <f t="shared" si="29"/>
        <v>0</v>
      </c>
      <c r="P62" s="178">
        <f t="shared" si="29"/>
        <v>0</v>
      </c>
      <c r="Q62" s="178">
        <f t="shared" si="29"/>
        <v>0</v>
      </c>
      <c r="R62" s="178">
        <f t="shared" si="29"/>
        <v>0</v>
      </c>
      <c r="S62" s="178">
        <f t="shared" si="29"/>
        <v>0</v>
      </c>
      <c r="T62" s="178">
        <f t="shared" si="29"/>
        <v>0</v>
      </c>
      <c r="U62" s="178">
        <f t="shared" si="29"/>
        <v>0</v>
      </c>
      <c r="V62" s="178">
        <f t="shared" si="29"/>
        <v>0</v>
      </c>
      <c r="W62" s="178">
        <f t="shared" si="29"/>
        <v>0</v>
      </c>
      <c r="X62" s="178">
        <f t="shared" si="29"/>
        <v>0</v>
      </c>
      <c r="Y62" s="178">
        <f t="shared" si="29"/>
        <v>0</v>
      </c>
      <c r="Z62" s="178">
        <f t="shared" si="29"/>
        <v>0</v>
      </c>
      <c r="AA62" s="178">
        <f t="shared" si="29"/>
        <v>0</v>
      </c>
      <c r="AB62" s="178">
        <f t="shared" si="29"/>
        <v>0</v>
      </c>
      <c r="AC62" s="178">
        <f t="shared" si="29"/>
        <v>0</v>
      </c>
      <c r="AD62" s="178">
        <f t="shared" si="29"/>
        <v>0</v>
      </c>
      <c r="AE62" s="178">
        <f t="shared" si="29"/>
        <v>0</v>
      </c>
      <c r="AF62" s="178">
        <f t="shared" si="29"/>
        <v>0</v>
      </c>
      <c r="AG62" s="178">
        <f t="shared" si="29"/>
        <v>0</v>
      </c>
      <c r="AH62" s="178">
        <f t="shared" si="29"/>
        <v>0</v>
      </c>
      <c r="AI62" s="178">
        <f t="shared" si="29"/>
        <v>0</v>
      </c>
      <c r="AJ62" s="178">
        <f t="shared" si="29"/>
        <v>0</v>
      </c>
      <c r="AK62" s="178">
        <f t="shared" si="29"/>
        <v>0</v>
      </c>
      <c r="AL62" s="178">
        <f t="shared" si="29"/>
        <v>0</v>
      </c>
      <c r="AM62" s="178">
        <f t="shared" si="29"/>
        <v>0</v>
      </c>
      <c r="AN62" s="178">
        <f t="shared" si="29"/>
        <v>0</v>
      </c>
      <c r="AO62" s="178">
        <f t="shared" si="29"/>
        <v>0</v>
      </c>
      <c r="AP62" s="178">
        <f t="shared" si="29"/>
        <v>0</v>
      </c>
      <c r="AQ62" s="178">
        <f t="shared" si="29"/>
        <v>0</v>
      </c>
      <c r="AR62" s="178">
        <f t="shared" si="29"/>
        <v>0</v>
      </c>
      <c r="AS62" s="178">
        <f t="shared" si="29"/>
        <v>0</v>
      </c>
      <c r="AT62" s="178">
        <f t="shared" si="29"/>
        <v>0</v>
      </c>
      <c r="AU62" s="178">
        <f t="shared" si="29"/>
        <v>0</v>
      </c>
      <c r="AV62" s="178">
        <f t="shared" si="29"/>
        <v>0</v>
      </c>
      <c r="AW62" s="178">
        <f t="shared" si="29"/>
        <v>0</v>
      </c>
      <c r="AX62" s="178">
        <f t="shared" si="29"/>
        <v>0</v>
      </c>
      <c r="AY62" s="178">
        <f t="shared" si="29"/>
        <v>0</v>
      </c>
      <c r="AZ62" s="178">
        <f t="shared" si="29"/>
        <v>0</v>
      </c>
      <c r="BA62" s="178">
        <f t="shared" si="29"/>
        <v>0</v>
      </c>
      <c r="BB62" s="178">
        <f t="shared" si="29"/>
        <v>0</v>
      </c>
      <c r="BC62" s="178">
        <f t="shared" si="29"/>
        <v>0</v>
      </c>
      <c r="BD62" s="178">
        <f t="shared" si="29"/>
        <v>0</v>
      </c>
      <c r="BE62" s="178">
        <f t="shared" si="29"/>
        <v>0</v>
      </c>
      <c r="BF62" s="178">
        <f t="shared" si="29"/>
        <v>0</v>
      </c>
      <c r="BG62" s="178">
        <f t="shared" si="29"/>
        <v>0</v>
      </c>
      <c r="BH62" s="178">
        <f t="shared" si="29"/>
        <v>0</v>
      </c>
      <c r="BI62" s="178">
        <f t="shared" si="29"/>
        <v>0</v>
      </c>
    </row>
    <row r="63" spans="2:61" ht="12.75" hidden="1" customHeight="1" x14ac:dyDescent="0.2">
      <c r="C63" s="73" t="s">
        <v>195</v>
      </c>
      <c r="D63" s="116">
        <v>100</v>
      </c>
      <c r="E63" s="116">
        <v>100</v>
      </c>
      <c r="K63" s="372"/>
      <c r="L63" s="178" t="str">
        <f t="array" ref="L63">IFERROR(JUNTARTEXTO(", ",TRUE,IF(L9:L59&gt;0,L9:L59&amp;"x "&amp;$K$9:$K$59,"")),"")</f>
        <v/>
      </c>
      <c r="M63" s="178" t="str">
        <f t="array" ref="M63">IFERROR(JUNTARTEXTO(", ",TRUE,IF(M9:M59&gt;0,M9:M59&amp;"x "&amp;$K$9:$K$59,"")),"")</f>
        <v/>
      </c>
      <c r="N63" s="178" t="str">
        <f t="array" ref="N63">IFERROR(JUNTARTEXTO(", ",TRUE,IF(N9:N59&gt;0,N9:N59&amp;"x "&amp;$K$9:$K$59,"")),"")</f>
        <v/>
      </c>
      <c r="O63" s="178" t="str">
        <f t="array" ref="O63">IFERROR(JUNTARTEXTO(", ",TRUE,IF(O9:O59&gt;0,O9:O59&amp;"x "&amp;$K$9:$K$59,"")),"")</f>
        <v/>
      </c>
      <c r="P63" s="178" t="str">
        <f t="array" ref="P63">IFERROR(JUNTARTEXTO(", ",TRUE,IF(P9:P59&gt;0,P9:P59&amp;"x "&amp;$K$9:$K$59,"")),"")</f>
        <v/>
      </c>
      <c r="Q63" s="178" t="str">
        <f t="array" ref="Q63">IFERROR(JUNTARTEXTO(", ",TRUE,IF(Q9:Q59&gt;0,Q9:Q59&amp;"x "&amp;$K$9:$K$59,"")),"")</f>
        <v/>
      </c>
      <c r="R63" s="178" t="str">
        <f t="array" ref="R63">IFERROR(JUNTARTEXTO(", ",TRUE,IF(R9:R59&gt;0,R9:R59&amp;"x "&amp;$K$9:$K$59,"")),"")</f>
        <v/>
      </c>
      <c r="S63" s="178" t="str">
        <f t="array" ref="S63">IFERROR(JUNTARTEXTO(", ",TRUE,IF(S9:S59&gt;0,S9:S59&amp;"x "&amp;$K$9:$K$59,"")),"")</f>
        <v/>
      </c>
      <c r="T63" s="178" t="str">
        <f t="array" ref="T63">IFERROR(JUNTARTEXTO(", ",TRUE,IF(T9:T59&gt;0,T9:T59&amp;"x "&amp;$K$9:$K$59,"")),"")</f>
        <v/>
      </c>
      <c r="U63" s="178" t="str">
        <f t="array" ref="U63">IFERROR(JUNTARTEXTO(", ",TRUE,IF(U9:U59&gt;0,U9:U59&amp;"x "&amp;$K$9:$K$59,"")),"")</f>
        <v/>
      </c>
      <c r="V63" s="178" t="str">
        <f t="array" ref="V63">IFERROR(JUNTARTEXTO(", ",TRUE,IF(V9:V59&gt;0,V9:V59&amp;"x "&amp;$K$9:$K$59,"")),"")</f>
        <v/>
      </c>
      <c r="W63" s="178" t="str">
        <f t="array" ref="W63">IFERROR(JUNTARTEXTO(", ",TRUE,IF(W9:W59&gt;0,W9:W59&amp;"x "&amp;$K$9:$K$59,"")),"")</f>
        <v/>
      </c>
      <c r="X63" s="178" t="str">
        <f t="array" ref="X63">IFERROR(JUNTARTEXTO(", ",TRUE,IF(X9:X59&gt;0,X9:X59&amp;"x "&amp;$K$9:$K$59,"")),"")</f>
        <v/>
      </c>
      <c r="Y63" s="178" t="str">
        <f t="array" ref="Y63">IFERROR(JUNTARTEXTO(", ",TRUE,IF(Y9:Y59&gt;0,Y9:Y59&amp;"x "&amp;$K$9:$K$59,"")),"")</f>
        <v/>
      </c>
      <c r="Z63" s="178" t="str">
        <f t="array" ref="Z63">IFERROR(JUNTARTEXTO(", ",TRUE,IF(Z9:Z59&gt;0,Z9:Z59&amp;"x "&amp;$K$9:$K$59,"")),"")</f>
        <v/>
      </c>
      <c r="AA63" s="178" t="str">
        <f t="array" ref="AA63">IFERROR(JUNTARTEXTO(", ",TRUE,IF(AA9:AA59&gt;0,AA9:AA59&amp;"x "&amp;$K$9:$K$59,"")),"")</f>
        <v/>
      </c>
      <c r="AB63" s="178" t="str">
        <f t="array" ref="AB63">IFERROR(JUNTARTEXTO(", ",TRUE,IF(AB9:AB59&gt;0,AB9:AB59&amp;"x "&amp;$K$9:$K$59,"")),"")</f>
        <v/>
      </c>
      <c r="AC63" s="178" t="str">
        <f t="array" ref="AC63">IFERROR(JUNTARTEXTO(", ",TRUE,IF(AC9:AC59&gt;0,AC9:AC59&amp;"x "&amp;$K$9:$K$59,"")),"")</f>
        <v/>
      </c>
      <c r="AD63" s="178" t="str">
        <f t="array" ref="AD63">IFERROR(JUNTARTEXTO(", ",TRUE,IF(AD9:AD59&gt;0,AD9:AD59&amp;"x "&amp;$K$9:$K$59,"")),"")</f>
        <v/>
      </c>
      <c r="AE63" s="178" t="str">
        <f t="array" ref="AE63">IFERROR(JUNTARTEXTO(", ",TRUE,IF(AE9:AE59&gt;0,AE9:AE59&amp;"x "&amp;$K$9:$K$59,"")),"")</f>
        <v/>
      </c>
      <c r="AF63" s="178" t="str">
        <f t="array" ref="AF63">IFERROR(JUNTARTEXTO(", ",TRUE,IF(AF9:AF59&gt;0,AF9:AF59&amp;"x "&amp;$K$9:$K$59,"")),"")</f>
        <v/>
      </c>
      <c r="AG63" s="178" t="str">
        <f t="array" ref="AG63">IFERROR(JUNTARTEXTO(", ",TRUE,IF(AG9:AG59&gt;0,AG9:AG59&amp;"x "&amp;$K$9:$K$59,"")),"")</f>
        <v/>
      </c>
      <c r="AH63" s="178" t="str">
        <f t="array" ref="AH63">IFERROR(JUNTARTEXTO(", ",TRUE,IF(AH9:AH59&gt;0,AH9:AH59&amp;"x "&amp;$K$9:$K$59,"")),"")</f>
        <v/>
      </c>
      <c r="AI63" s="178" t="str">
        <f t="array" ref="AI63">IFERROR(JUNTARTEXTO(", ",TRUE,IF(AI9:AI59&gt;0,AI9:AI59&amp;"x "&amp;$K$9:$K$59,"")),"")</f>
        <v/>
      </c>
      <c r="AJ63" s="178" t="str">
        <f t="array" ref="AJ63">IFERROR(JUNTARTEXTO(", ",TRUE,IF(AJ9:AJ59&gt;0,AJ9:AJ59&amp;"x "&amp;$K$9:$K$59,"")),"")</f>
        <v/>
      </c>
      <c r="AK63" s="178" t="str">
        <f t="array" ref="AK63">IFERROR(JUNTARTEXTO(", ",TRUE,IF(AK9:AK59&gt;0,AK9:AK59&amp;"x "&amp;$K$9:$K$59,"")),"")</f>
        <v/>
      </c>
      <c r="AL63" s="178" t="str">
        <f t="array" ref="AL63">IFERROR(JUNTARTEXTO(", ",TRUE,IF(AL9:AL59&gt;0,AL9:AL59&amp;"x "&amp;$K$9:$K$59,"")),"")</f>
        <v/>
      </c>
      <c r="AM63" s="178" t="str">
        <f t="array" ref="AM63">IFERROR(JUNTARTEXTO(", ",TRUE,IF(AM9:AM59&gt;0,AM9:AM59&amp;"x "&amp;$K$9:$K$59,"")),"")</f>
        <v/>
      </c>
      <c r="AN63" s="178" t="str">
        <f t="array" ref="AN63">IFERROR(JUNTARTEXTO(", ",TRUE,IF(AN9:AN59&gt;0,AN9:AN59&amp;"x "&amp;$K$9:$K$59,"")),"")</f>
        <v/>
      </c>
      <c r="AO63" s="178" t="str">
        <f t="array" ref="AO63">IFERROR(JUNTARTEXTO(", ",TRUE,IF(AO9:AO59&gt;0,AO9:AO59&amp;"x "&amp;$K$9:$K$59,"")),"")</f>
        <v/>
      </c>
      <c r="AP63" s="178" t="str">
        <f t="array" ref="AP63">IFERROR(JUNTARTEXTO(", ",TRUE,IF(AP9:AP59&gt;0,AP9:AP59&amp;"x "&amp;$K$9:$K$59,"")),"")</f>
        <v/>
      </c>
      <c r="AQ63" s="178" t="str">
        <f t="array" ref="AQ63">IFERROR(JUNTARTEXTO(", ",TRUE,IF(AQ9:AQ59&gt;0,AQ9:AQ59&amp;"x "&amp;$K$9:$K$59,"")),"")</f>
        <v/>
      </c>
      <c r="AR63" s="178" t="str">
        <f t="array" ref="AR63">IFERROR(JUNTARTEXTO(", ",TRUE,IF(AR9:AR59&gt;0,AR9:AR59&amp;"x "&amp;$K$9:$K$59,"")),"")</f>
        <v/>
      </c>
      <c r="AS63" s="178" t="str">
        <f t="array" ref="AS63">IFERROR(JUNTARTEXTO(", ",TRUE,IF(AS9:AS59&gt;0,AS9:AS59&amp;"x "&amp;$K$9:$K$59,"")),"")</f>
        <v/>
      </c>
      <c r="AT63" s="178" t="str">
        <f t="array" ref="AT63">IFERROR(JUNTARTEXTO(", ",TRUE,IF(AT9:AT59&gt;0,AT9:AT59&amp;"x "&amp;$K$9:$K$59,"")),"")</f>
        <v/>
      </c>
      <c r="AU63" s="178" t="str">
        <f t="array" ref="AU63">IFERROR(JUNTARTEXTO(", ",TRUE,IF(AU9:AU59&gt;0,AU9:AU59&amp;"x "&amp;$K$9:$K$59,"")),"")</f>
        <v/>
      </c>
      <c r="AV63" s="178" t="str">
        <f t="array" ref="AV63">IFERROR(JUNTARTEXTO(", ",TRUE,IF(AV9:AV59&gt;0,AV9:AV59&amp;"x "&amp;$K$9:$K$59,"")),"")</f>
        <v/>
      </c>
      <c r="AW63" s="178" t="str">
        <f t="array" ref="AW63">IFERROR(JUNTARTEXTO(", ",TRUE,IF(AW9:AW59&gt;0,AW9:AW59&amp;"x "&amp;$K$9:$K$59,"")),"")</f>
        <v/>
      </c>
      <c r="AX63" s="178" t="str">
        <f t="array" ref="AX63">IFERROR(JUNTARTEXTO(", ",TRUE,IF(AX9:AX59&gt;0,AX9:AX59&amp;"x "&amp;$K$9:$K$59,"")),"")</f>
        <v/>
      </c>
      <c r="AY63" s="178" t="str">
        <f t="array" ref="AY63">IFERROR(JUNTARTEXTO(", ",TRUE,IF(AY9:AY59&gt;0,AY9:AY59&amp;"x "&amp;$K$9:$K$59,"")),"")</f>
        <v/>
      </c>
      <c r="AZ63" s="178" t="str">
        <f t="array" ref="AZ63">IFERROR(JUNTARTEXTO(", ",TRUE,IF(AZ9:AZ59&gt;0,AZ9:AZ59&amp;"x "&amp;$K$9:$K$59,"")),"")</f>
        <v/>
      </c>
      <c r="BA63" s="178" t="str">
        <f t="array" ref="BA63">IFERROR(JUNTARTEXTO(", ",TRUE,IF(BA9:BA59&gt;0,BA9:BA59&amp;"x "&amp;$K$9:$K$59,"")),"")</f>
        <v/>
      </c>
      <c r="BB63" s="178" t="str">
        <f t="array" ref="BB63">IFERROR(JUNTARTEXTO(", ",TRUE,IF(BB9:BB59&gt;0,BB9:BB59&amp;"x "&amp;$K$9:$K$59,"")),"")</f>
        <v/>
      </c>
      <c r="BC63" s="178" t="str">
        <f t="array" ref="BC63">IFERROR(JUNTARTEXTO(", ",TRUE,IF(BC9:BC59&gt;0,BC9:BC59&amp;"x "&amp;$K$9:$K$59,"")),"")</f>
        <v/>
      </c>
      <c r="BD63" s="178" t="str">
        <f t="array" ref="BD63">IFERROR(JUNTARTEXTO(", ",TRUE,IF(BD9:BD59&gt;0,BD9:BD59&amp;"x "&amp;$K$9:$K$59,"")),"")</f>
        <v/>
      </c>
      <c r="BE63" s="178" t="str">
        <f t="array" ref="BE63">IFERROR(JUNTARTEXTO(", ",TRUE,IF(BE9:BE59&gt;0,BE9:BE59&amp;"x "&amp;$K$9:$K$59,"")),"")</f>
        <v/>
      </c>
      <c r="BF63" s="178" t="str">
        <f t="array" ref="BF63">IFERROR(JUNTARTEXTO(", ",TRUE,IF(BF9:BF59&gt;0,BF9:BF59&amp;"x "&amp;$K$9:$K$59,"")),"")</f>
        <v/>
      </c>
      <c r="BG63" s="178" t="str">
        <f t="array" ref="BG63">IFERROR(JUNTARTEXTO(", ",TRUE,IF(BG9:BG59&gt;0,BG9:BG59&amp;"x "&amp;$K$9:$K$59,"")),"")</f>
        <v/>
      </c>
      <c r="BH63" s="178" t="str">
        <f t="array" ref="BH63">IFERROR(JUNTARTEXTO(", ",TRUE,IF(BH9:BH59&gt;0,BH9:BH59&amp;"x "&amp;$K$9:$K$59,"")),"")</f>
        <v/>
      </c>
      <c r="BI63" s="178" t="str">
        <f t="array" ref="BI63">IFERROR(JUNTARTEXTO(", ",TRUE,IF(BI9:BI59&gt;0,BI9:BI59&amp;"x "&amp;$K$9:$K$59,"")),"")</f>
        <v/>
      </c>
    </row>
    <row r="64" spans="2:61" ht="12.75" hidden="1" customHeight="1" x14ac:dyDescent="0.2">
      <c r="C64" s="73" t="s">
        <v>196</v>
      </c>
      <c r="D64" s="116">
        <v>110</v>
      </c>
      <c r="E64" s="116">
        <v>120</v>
      </c>
    </row>
    <row r="65" spans="3:5" ht="12.75" hidden="1" customHeight="1" x14ac:dyDescent="0.2">
      <c r="C65" s="73" t="s">
        <v>197</v>
      </c>
      <c r="D65" s="116">
        <v>120</v>
      </c>
      <c r="E65" s="256"/>
    </row>
    <row r="66" spans="3:5" ht="12.75" hidden="1" customHeight="1" x14ac:dyDescent="0.2">
      <c r="C66" s="256"/>
      <c r="D66" s="116">
        <v>130</v>
      </c>
      <c r="E66" s="256"/>
    </row>
    <row r="67" spans="3:5" ht="12.75" hidden="1" customHeight="1" x14ac:dyDescent="0.2">
      <c r="C67" s="256"/>
      <c r="D67" s="116">
        <v>140</v>
      </c>
      <c r="E67" s="256"/>
    </row>
    <row r="68" spans="3:5" ht="12.75" hidden="1" customHeight="1" x14ac:dyDescent="0.2">
      <c r="C68" s="256"/>
      <c r="D68" s="116">
        <v>150</v>
      </c>
      <c r="E68" s="256"/>
    </row>
    <row r="69" spans="3:5" ht="12.75" hidden="1" customHeight="1" x14ac:dyDescent="0.2">
      <c r="C69" s="256"/>
      <c r="D69" s="116">
        <v>160</v>
      </c>
      <c r="E69" s="256"/>
    </row>
    <row r="70" spans="3:5" ht="12.75" hidden="1" customHeight="1" x14ac:dyDescent="0.2">
      <c r="C70" s="256"/>
      <c r="D70" s="116">
        <v>170</v>
      </c>
      <c r="E70" s="256"/>
    </row>
    <row r="71" spans="3:5" ht="12.75" hidden="1" customHeight="1" x14ac:dyDescent="0.2">
      <c r="C71" s="256"/>
      <c r="D71" s="116">
        <v>180</v>
      </c>
      <c r="E71" s="256"/>
    </row>
    <row r="72" spans="3:5" ht="12.75" hidden="1" customHeight="1" x14ac:dyDescent="0.2">
      <c r="C72" s="256"/>
      <c r="D72" s="116">
        <v>190</v>
      </c>
      <c r="E72" s="256"/>
    </row>
    <row r="73" spans="3:5" ht="12.75" hidden="1" customHeight="1" x14ac:dyDescent="0.2">
      <c r="C73" s="256"/>
      <c r="D73" s="116">
        <v>200</v>
      </c>
      <c r="E73" s="256"/>
    </row>
  </sheetData>
  <mergeCells count="14">
    <mergeCell ref="C2:F2"/>
    <mergeCell ref="C3:F3"/>
    <mergeCell ref="C4:F4"/>
    <mergeCell ref="B7:B8"/>
    <mergeCell ref="C7:C8"/>
    <mergeCell ref="D7:D8"/>
    <mergeCell ref="E7:F7"/>
    <mergeCell ref="I7:I8"/>
    <mergeCell ref="K7:BI7"/>
    <mergeCell ref="K60:K63"/>
    <mergeCell ref="B6:H6"/>
    <mergeCell ref="H7:H8"/>
    <mergeCell ref="G7:G8"/>
    <mergeCell ref="C61:E61"/>
  </mergeCells>
  <dataValidations count="3">
    <dataValidation type="list" allowBlank="1" showInputMessage="1" showErrorMessage="1" sqref="D9:D58" xr:uid="{00000000-0002-0000-0700-000000000000}">
      <formula1>$C$63:$C$65</formula1>
    </dataValidation>
    <dataValidation type="list" allowBlank="1" showErrorMessage="1" errorTitle="Comprimento Máximo" error="Visores devem ter comprimento máximo de 2,0m." sqref="E9:E58" xr:uid="{00000000-0002-0000-0700-000001000000}">
      <formula1>$D$63:$D$73</formula1>
    </dataValidation>
    <dataValidation type="list" allowBlank="1" showInputMessage="1" showErrorMessage="1" sqref="F9:F58" xr:uid="{00000000-0002-0000-0700-000002000000}">
      <formula1>$E$63:$E$64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B2:R55"/>
  <sheetViews>
    <sheetView showGridLines="0" zoomScale="80" zoomScaleNormal="80" workbookViewId="0">
      <pane ySplit="7" topLeftCell="A8" activePane="bottomLeft" state="frozen"/>
      <selection pane="bottomLeft"/>
    </sheetView>
  </sheetViews>
  <sheetFormatPr defaultColWidth="9.140625" defaultRowHeight="13.5" customHeight="1" x14ac:dyDescent="0.2"/>
  <cols>
    <col min="1" max="1" width="2.42578125" style="14" customWidth="1"/>
    <col min="2" max="2" width="10.7109375" style="14" bestFit="1" customWidth="1"/>
    <col min="3" max="4" width="15.7109375" style="14" customWidth="1"/>
    <col min="5" max="5" width="12.85546875" style="14" customWidth="1"/>
    <col min="6" max="6" width="13.85546875" style="14" customWidth="1"/>
    <col min="7" max="7" width="13.7109375" style="14" customWidth="1"/>
    <col min="8" max="8" width="14.42578125" style="14" customWidth="1"/>
    <col min="9" max="9" width="9.140625" style="14"/>
    <col min="10" max="11" width="20.5703125" style="137" hidden="1" customWidth="1"/>
    <col min="12" max="13" width="20.28515625" style="137" hidden="1" customWidth="1"/>
    <col min="14" max="14" width="18.140625" style="138" customWidth="1"/>
    <col min="15" max="15" width="9.140625" style="138" customWidth="1"/>
    <col min="16" max="16" width="9.140625" style="14" customWidth="1"/>
    <col min="17" max="16384" width="9.140625" style="14"/>
  </cols>
  <sheetData>
    <row r="2" spans="2:18" s="19" customFormat="1" ht="13.5" customHeight="1" x14ac:dyDescent="0.2">
      <c r="B2" s="56" t="s">
        <v>217</v>
      </c>
      <c r="C2" s="384">
        <f>'PAREDE-TETO'!D2</f>
        <v>0</v>
      </c>
      <c r="D2" s="384"/>
      <c r="E2" s="384"/>
      <c r="F2" s="384"/>
      <c r="G2" s="56" t="s">
        <v>198</v>
      </c>
      <c r="H2" s="247">
        <f>'PAREDE-TETO'!I2</f>
        <v>0</v>
      </c>
      <c r="I2" s="14"/>
      <c r="J2" s="14"/>
      <c r="K2" s="14"/>
      <c r="L2" s="14"/>
      <c r="M2" s="14"/>
      <c r="N2" s="14"/>
      <c r="O2" s="14"/>
      <c r="P2" s="14"/>
      <c r="R2" s="102"/>
    </row>
    <row r="3" spans="2:18" s="19" customFormat="1" ht="13.5" customHeight="1" x14ac:dyDescent="0.2">
      <c r="B3" s="56" t="s">
        <v>216</v>
      </c>
      <c r="C3" s="384">
        <f>'PAREDE-TETO'!D3</f>
        <v>0</v>
      </c>
      <c r="D3" s="384"/>
      <c r="E3" s="384"/>
      <c r="F3" s="384"/>
      <c r="G3" s="56" t="s">
        <v>215</v>
      </c>
      <c r="H3" s="20">
        <f>'PAREDE-TETO'!I3</f>
        <v>0</v>
      </c>
      <c r="I3" s="14"/>
      <c r="J3" s="14"/>
      <c r="K3" s="14"/>
      <c r="L3" s="14"/>
      <c r="M3" s="14"/>
      <c r="N3" s="14"/>
      <c r="O3" s="14"/>
      <c r="P3" s="14"/>
      <c r="R3" s="102"/>
    </row>
    <row r="4" spans="2:18" s="19" customFormat="1" ht="13.5" customHeight="1" x14ac:dyDescent="0.2">
      <c r="B4" s="56" t="s">
        <v>214</v>
      </c>
      <c r="C4" s="384">
        <f>'PAREDE-TETO'!D4</f>
        <v>0</v>
      </c>
      <c r="D4" s="384"/>
      <c r="E4" s="384"/>
      <c r="F4" s="384"/>
      <c r="G4" s="67"/>
      <c r="H4" s="55"/>
      <c r="I4" s="55"/>
      <c r="J4" s="14"/>
      <c r="K4" s="14"/>
      <c r="L4" s="14"/>
      <c r="M4" s="55"/>
      <c r="N4" s="55"/>
      <c r="O4" s="14"/>
      <c r="P4" s="14"/>
      <c r="R4" s="102"/>
    </row>
    <row r="5" spans="2:18" s="19" customFormat="1" ht="13.5" customHeight="1" thickBot="1" x14ac:dyDescent="0.25">
      <c r="B5" s="139"/>
      <c r="C5" s="140"/>
      <c r="D5" s="140"/>
      <c r="E5" s="140"/>
      <c r="F5" s="140"/>
      <c r="G5" s="67"/>
      <c r="H5" s="55"/>
      <c r="I5" s="55"/>
      <c r="J5" s="14"/>
      <c r="K5" s="14"/>
      <c r="L5" s="14"/>
      <c r="M5" s="55"/>
      <c r="N5" s="55"/>
      <c r="O5" s="14"/>
      <c r="P5" s="14"/>
      <c r="R5" s="102"/>
    </row>
    <row r="6" spans="2:18" ht="13.5" customHeight="1" thickBot="1" x14ac:dyDescent="0.25">
      <c r="B6" s="328" t="s">
        <v>221</v>
      </c>
      <c r="C6" s="329"/>
      <c r="D6" s="329"/>
      <c r="E6" s="329"/>
      <c r="F6" s="329"/>
      <c r="G6" s="329"/>
      <c r="H6" s="329"/>
      <c r="I6" s="330"/>
      <c r="J6" s="14"/>
      <c r="K6" s="14"/>
      <c r="L6" s="14"/>
      <c r="M6" s="55"/>
      <c r="N6" s="55"/>
    </row>
    <row r="7" spans="2:18" ht="13.5" customHeight="1" thickBot="1" x14ac:dyDescent="0.25">
      <c r="B7" s="399" t="s">
        <v>209</v>
      </c>
      <c r="C7" s="400"/>
      <c r="D7" s="400"/>
      <c r="E7" s="401"/>
      <c r="F7" s="278" t="s">
        <v>205</v>
      </c>
      <c r="G7" s="279" t="s">
        <v>222</v>
      </c>
      <c r="H7" s="279" t="s">
        <v>89</v>
      </c>
      <c r="I7" s="280" t="s">
        <v>206</v>
      </c>
      <c r="J7" s="192" t="s">
        <v>474</v>
      </c>
      <c r="K7" s="193" t="s">
        <v>475</v>
      </c>
      <c r="L7" s="193" t="s">
        <v>476</v>
      </c>
      <c r="M7" s="194" t="s">
        <v>477</v>
      </c>
      <c r="N7" s="55"/>
    </row>
    <row r="8" spans="2:18" ht="13.5" customHeight="1" x14ac:dyDescent="0.2">
      <c r="B8" s="409"/>
      <c r="C8" s="386"/>
      <c r="D8" s="386"/>
      <c r="E8" s="387"/>
      <c r="F8" s="281"/>
      <c r="G8" s="212"/>
      <c r="H8" s="118"/>
      <c r="I8" s="142" t="str">
        <f t="shared" ref="I8:I37" si="0">IF(F8&lt;&gt;"",F8*G8,"")</f>
        <v/>
      </c>
      <c r="J8" s="195">
        <f>IF(I8&lt;&gt;"",IF(AND(H8="Resfriados",I8&lt;200),1,0),0)</f>
        <v>0</v>
      </c>
      <c r="K8" s="185">
        <f t="shared" ref="K8:K9" si="1">IF(I8&lt;&gt;"",IF(AND(H8="Resfriados",I8&gt;=200),IF(H8="RESFRIADOS",ROUNDUP(I8/1999.999,0)*2000)/2000,0),0)</f>
        <v>0</v>
      </c>
      <c r="L8" s="185">
        <f t="shared" ref="L8:L37" si="2">IF(I8&lt;&gt;"",IF(AND(H8="Congelados",I8&lt;200),1,0),0)</f>
        <v>0</v>
      </c>
      <c r="M8" s="196">
        <f>IF(I8&lt;&gt;"",IF(AND(H8="Congelados",I8&gt;=200),IF(H8="CONGELADOS",ROUNDUP(I8/1999.999,0)*2000)/2000,0),0)</f>
        <v>0</v>
      </c>
      <c r="N8" s="55"/>
    </row>
    <row r="9" spans="2:18" ht="13.5" customHeight="1" x14ac:dyDescent="0.2">
      <c r="B9" s="409"/>
      <c r="C9" s="386"/>
      <c r="D9" s="386"/>
      <c r="E9" s="387"/>
      <c r="F9" s="209"/>
      <c r="G9" s="212"/>
      <c r="H9" s="15"/>
      <c r="I9" s="142" t="str">
        <f t="shared" si="0"/>
        <v/>
      </c>
      <c r="J9" s="195">
        <f t="shared" ref="J9:J37" si="3">IF(I9&lt;&gt;"",IF(AND(H9="Resfriados",I9&lt;200),1,0),0)</f>
        <v>0</v>
      </c>
      <c r="K9" s="185">
        <f t="shared" si="1"/>
        <v>0</v>
      </c>
      <c r="L9" s="185">
        <f t="shared" si="2"/>
        <v>0</v>
      </c>
      <c r="M9" s="196">
        <f t="shared" ref="M9:M37" si="4">IF(I9&lt;&gt;"",IF(AND(H9="Congelados",I9&gt;=200),IF(H9="CONGELADOS",ROUNDUP(I9/1999.999,0)*2000)/2000,0),0)</f>
        <v>0</v>
      </c>
      <c r="N9" s="55"/>
    </row>
    <row r="10" spans="2:18" ht="13.5" customHeight="1" x14ac:dyDescent="0.2">
      <c r="B10" s="409"/>
      <c r="C10" s="386"/>
      <c r="D10" s="386"/>
      <c r="E10" s="387"/>
      <c r="F10" s="209"/>
      <c r="G10" s="212"/>
      <c r="H10" s="15"/>
      <c r="I10" s="142" t="str">
        <f t="shared" si="0"/>
        <v/>
      </c>
      <c r="J10" s="195">
        <f t="shared" si="3"/>
        <v>0</v>
      </c>
      <c r="K10" s="185">
        <f>IF(I10&lt;&gt;"",IF(AND(H10="Resfriados",I10&gt;=200),IF(H10="RESFRIADOS",ROUNDUP(I10/1999.999,0)*2000)/2000,0),0)</f>
        <v>0</v>
      </c>
      <c r="L10" s="185">
        <f t="shared" si="2"/>
        <v>0</v>
      </c>
      <c r="M10" s="196">
        <f t="shared" si="4"/>
        <v>0</v>
      </c>
      <c r="N10" s="55"/>
    </row>
    <row r="11" spans="2:18" ht="13.5" customHeight="1" x14ac:dyDescent="0.2">
      <c r="B11" s="409"/>
      <c r="C11" s="386"/>
      <c r="D11" s="386"/>
      <c r="E11" s="387"/>
      <c r="F11" s="209"/>
      <c r="G11" s="212"/>
      <c r="H11" s="15"/>
      <c r="I11" s="142" t="str">
        <f t="shared" si="0"/>
        <v/>
      </c>
      <c r="J11" s="195">
        <f t="shared" si="3"/>
        <v>0</v>
      </c>
      <c r="K11" s="185">
        <f t="shared" ref="K11:K37" si="5">IF(I11&lt;&gt;"",IF(AND(H11="Resfriados",I11&gt;=200),IF(H11="RESFRIADOS",ROUNDUP(I11/1999.999,0)*2000)/2000,0),0)</f>
        <v>0</v>
      </c>
      <c r="L11" s="185">
        <f t="shared" si="2"/>
        <v>0</v>
      </c>
      <c r="M11" s="196">
        <f t="shared" si="4"/>
        <v>0</v>
      </c>
      <c r="N11" s="55"/>
    </row>
    <row r="12" spans="2:18" ht="13.5" customHeight="1" x14ac:dyDescent="0.2">
      <c r="B12" s="409"/>
      <c r="C12" s="386"/>
      <c r="D12" s="386"/>
      <c r="E12" s="387"/>
      <c r="F12" s="209"/>
      <c r="G12" s="211"/>
      <c r="H12" s="15"/>
      <c r="I12" s="142" t="str">
        <f t="shared" si="0"/>
        <v/>
      </c>
      <c r="J12" s="195">
        <f t="shared" si="3"/>
        <v>0</v>
      </c>
      <c r="K12" s="185">
        <f t="shared" si="5"/>
        <v>0</v>
      </c>
      <c r="L12" s="185">
        <f t="shared" si="2"/>
        <v>0</v>
      </c>
      <c r="M12" s="196">
        <f t="shared" si="4"/>
        <v>0</v>
      </c>
      <c r="N12" s="55"/>
    </row>
    <row r="13" spans="2:18" ht="13.5" customHeight="1" x14ac:dyDescent="0.2">
      <c r="B13" s="409"/>
      <c r="C13" s="386"/>
      <c r="D13" s="386"/>
      <c r="E13" s="387"/>
      <c r="F13" s="209"/>
      <c r="G13" s="212"/>
      <c r="H13" s="15"/>
      <c r="I13" s="142" t="str">
        <f t="shared" si="0"/>
        <v/>
      </c>
      <c r="J13" s="195">
        <f t="shared" si="3"/>
        <v>0</v>
      </c>
      <c r="K13" s="185">
        <f t="shared" si="5"/>
        <v>0</v>
      </c>
      <c r="L13" s="185">
        <f t="shared" si="2"/>
        <v>0</v>
      </c>
      <c r="M13" s="196">
        <f t="shared" si="4"/>
        <v>0</v>
      </c>
      <c r="N13" s="55"/>
    </row>
    <row r="14" spans="2:18" ht="13.5" customHeight="1" x14ac:dyDescent="0.2">
      <c r="B14" s="409"/>
      <c r="C14" s="386"/>
      <c r="D14" s="386"/>
      <c r="E14" s="387"/>
      <c r="F14" s="209"/>
      <c r="G14" s="212"/>
      <c r="H14" s="15"/>
      <c r="I14" s="142" t="str">
        <f t="shared" si="0"/>
        <v/>
      </c>
      <c r="J14" s="195">
        <f t="shared" si="3"/>
        <v>0</v>
      </c>
      <c r="K14" s="185">
        <f t="shared" si="5"/>
        <v>0</v>
      </c>
      <c r="L14" s="185">
        <f t="shared" si="2"/>
        <v>0</v>
      </c>
      <c r="M14" s="196">
        <f t="shared" si="4"/>
        <v>0</v>
      </c>
      <c r="N14" s="55"/>
    </row>
    <row r="15" spans="2:18" ht="13.5" customHeight="1" x14ac:dyDescent="0.2">
      <c r="B15" s="409"/>
      <c r="C15" s="386"/>
      <c r="D15" s="386"/>
      <c r="E15" s="387"/>
      <c r="F15" s="209"/>
      <c r="G15" s="212"/>
      <c r="H15" s="15"/>
      <c r="I15" s="142" t="str">
        <f t="shared" si="0"/>
        <v/>
      </c>
      <c r="J15" s="195">
        <f t="shared" si="3"/>
        <v>0</v>
      </c>
      <c r="K15" s="185">
        <f t="shared" si="5"/>
        <v>0</v>
      </c>
      <c r="L15" s="185">
        <f t="shared" si="2"/>
        <v>0</v>
      </c>
      <c r="M15" s="196">
        <f t="shared" si="4"/>
        <v>0</v>
      </c>
      <c r="N15" s="55"/>
    </row>
    <row r="16" spans="2:18" ht="13.5" customHeight="1" x14ac:dyDescent="0.2">
      <c r="B16" s="409"/>
      <c r="C16" s="386"/>
      <c r="D16" s="386"/>
      <c r="E16" s="387"/>
      <c r="F16" s="209"/>
      <c r="G16" s="211"/>
      <c r="H16" s="15"/>
      <c r="I16" s="142" t="str">
        <f t="shared" si="0"/>
        <v/>
      </c>
      <c r="J16" s="195">
        <f t="shared" si="3"/>
        <v>0</v>
      </c>
      <c r="K16" s="185">
        <f t="shared" si="5"/>
        <v>0</v>
      </c>
      <c r="L16" s="185">
        <f t="shared" si="2"/>
        <v>0</v>
      </c>
      <c r="M16" s="196">
        <f t="shared" si="4"/>
        <v>0</v>
      </c>
      <c r="N16" s="55"/>
    </row>
    <row r="17" spans="2:14" ht="13.5" customHeight="1" x14ac:dyDescent="0.2">
      <c r="B17" s="409"/>
      <c r="C17" s="386"/>
      <c r="D17" s="386"/>
      <c r="E17" s="387"/>
      <c r="F17" s="209"/>
      <c r="G17" s="212"/>
      <c r="H17" s="15"/>
      <c r="I17" s="142" t="str">
        <f t="shared" si="0"/>
        <v/>
      </c>
      <c r="J17" s="195">
        <f t="shared" si="3"/>
        <v>0</v>
      </c>
      <c r="K17" s="185">
        <f t="shared" si="5"/>
        <v>0</v>
      </c>
      <c r="L17" s="185">
        <f t="shared" si="2"/>
        <v>0</v>
      </c>
      <c r="M17" s="196">
        <f t="shared" si="4"/>
        <v>0</v>
      </c>
      <c r="N17" s="55"/>
    </row>
    <row r="18" spans="2:14" ht="13.5" customHeight="1" x14ac:dyDescent="0.2">
      <c r="B18" s="409"/>
      <c r="C18" s="386"/>
      <c r="D18" s="386"/>
      <c r="E18" s="387"/>
      <c r="F18" s="209"/>
      <c r="G18" s="212"/>
      <c r="H18" s="15"/>
      <c r="I18" s="142" t="str">
        <f t="shared" si="0"/>
        <v/>
      </c>
      <c r="J18" s="195">
        <f t="shared" si="3"/>
        <v>0</v>
      </c>
      <c r="K18" s="185">
        <f t="shared" si="5"/>
        <v>0</v>
      </c>
      <c r="L18" s="185">
        <f t="shared" si="2"/>
        <v>0</v>
      </c>
      <c r="M18" s="196">
        <f t="shared" si="4"/>
        <v>0</v>
      </c>
      <c r="N18" s="55"/>
    </row>
    <row r="19" spans="2:14" ht="13.5" customHeight="1" x14ac:dyDescent="0.2">
      <c r="B19" s="409"/>
      <c r="C19" s="386"/>
      <c r="D19" s="386"/>
      <c r="E19" s="387"/>
      <c r="F19" s="209"/>
      <c r="G19" s="212"/>
      <c r="H19" s="15"/>
      <c r="I19" s="142" t="str">
        <f t="shared" si="0"/>
        <v/>
      </c>
      <c r="J19" s="195">
        <f t="shared" si="3"/>
        <v>0</v>
      </c>
      <c r="K19" s="185">
        <f t="shared" si="5"/>
        <v>0</v>
      </c>
      <c r="L19" s="185">
        <f t="shared" si="2"/>
        <v>0</v>
      </c>
      <c r="M19" s="196">
        <f t="shared" si="4"/>
        <v>0</v>
      </c>
      <c r="N19" s="55"/>
    </row>
    <row r="20" spans="2:14" ht="13.5" customHeight="1" x14ac:dyDescent="0.2">
      <c r="B20" s="409"/>
      <c r="C20" s="386"/>
      <c r="D20" s="386"/>
      <c r="E20" s="387"/>
      <c r="F20" s="209"/>
      <c r="G20" s="211"/>
      <c r="H20" s="15"/>
      <c r="I20" s="142" t="str">
        <f t="shared" si="0"/>
        <v/>
      </c>
      <c r="J20" s="195">
        <f t="shared" si="3"/>
        <v>0</v>
      </c>
      <c r="K20" s="185">
        <f t="shared" si="5"/>
        <v>0</v>
      </c>
      <c r="L20" s="185">
        <f t="shared" si="2"/>
        <v>0</v>
      </c>
      <c r="M20" s="196">
        <f t="shared" si="4"/>
        <v>0</v>
      </c>
      <c r="N20" s="55"/>
    </row>
    <row r="21" spans="2:14" ht="13.5" customHeight="1" x14ac:dyDescent="0.2">
      <c r="B21" s="409"/>
      <c r="C21" s="386"/>
      <c r="D21" s="386"/>
      <c r="E21" s="387"/>
      <c r="F21" s="209"/>
      <c r="G21" s="212"/>
      <c r="H21" s="15"/>
      <c r="I21" s="142" t="str">
        <f t="shared" si="0"/>
        <v/>
      </c>
      <c r="J21" s="195">
        <f t="shared" si="3"/>
        <v>0</v>
      </c>
      <c r="K21" s="185">
        <f t="shared" si="5"/>
        <v>0</v>
      </c>
      <c r="L21" s="185">
        <f t="shared" si="2"/>
        <v>0</v>
      </c>
      <c r="M21" s="196">
        <f t="shared" si="4"/>
        <v>0</v>
      </c>
      <c r="N21" s="55"/>
    </row>
    <row r="22" spans="2:14" ht="13.5" customHeight="1" x14ac:dyDescent="0.2">
      <c r="B22" s="409"/>
      <c r="C22" s="386"/>
      <c r="D22" s="386"/>
      <c r="E22" s="387"/>
      <c r="F22" s="209"/>
      <c r="G22" s="212"/>
      <c r="H22" s="15"/>
      <c r="I22" s="142" t="str">
        <f t="shared" si="0"/>
        <v/>
      </c>
      <c r="J22" s="195">
        <f t="shared" si="3"/>
        <v>0</v>
      </c>
      <c r="K22" s="185">
        <f t="shared" si="5"/>
        <v>0</v>
      </c>
      <c r="L22" s="185">
        <f t="shared" si="2"/>
        <v>0</v>
      </c>
      <c r="M22" s="196">
        <f t="shared" si="4"/>
        <v>0</v>
      </c>
      <c r="N22" s="55"/>
    </row>
    <row r="23" spans="2:14" ht="13.5" customHeight="1" x14ac:dyDescent="0.2">
      <c r="B23" s="409"/>
      <c r="C23" s="386"/>
      <c r="D23" s="386"/>
      <c r="E23" s="387"/>
      <c r="F23" s="209"/>
      <c r="G23" s="212"/>
      <c r="H23" s="15"/>
      <c r="I23" s="142" t="str">
        <f t="shared" si="0"/>
        <v/>
      </c>
      <c r="J23" s="195">
        <f t="shared" si="3"/>
        <v>0</v>
      </c>
      <c r="K23" s="185">
        <f t="shared" si="5"/>
        <v>0</v>
      </c>
      <c r="L23" s="185">
        <f t="shared" si="2"/>
        <v>0</v>
      </c>
      <c r="M23" s="196">
        <f t="shared" si="4"/>
        <v>0</v>
      </c>
      <c r="N23" s="55"/>
    </row>
    <row r="24" spans="2:14" ht="13.5" customHeight="1" x14ac:dyDescent="0.2">
      <c r="B24" s="409"/>
      <c r="C24" s="386"/>
      <c r="D24" s="386"/>
      <c r="E24" s="387"/>
      <c r="F24" s="209"/>
      <c r="G24" s="211"/>
      <c r="H24" s="15"/>
      <c r="I24" s="142" t="str">
        <f t="shared" si="0"/>
        <v/>
      </c>
      <c r="J24" s="195">
        <f t="shared" si="3"/>
        <v>0</v>
      </c>
      <c r="K24" s="185">
        <f t="shared" si="5"/>
        <v>0</v>
      </c>
      <c r="L24" s="185">
        <f t="shared" si="2"/>
        <v>0</v>
      </c>
      <c r="M24" s="196">
        <f t="shared" si="4"/>
        <v>0</v>
      </c>
      <c r="N24" s="55"/>
    </row>
    <row r="25" spans="2:14" ht="13.5" customHeight="1" x14ac:dyDescent="0.2">
      <c r="B25" s="409"/>
      <c r="C25" s="386"/>
      <c r="D25" s="386"/>
      <c r="E25" s="387"/>
      <c r="F25" s="209"/>
      <c r="G25" s="212"/>
      <c r="H25" s="15"/>
      <c r="I25" s="142" t="str">
        <f t="shared" si="0"/>
        <v/>
      </c>
      <c r="J25" s="195">
        <f t="shared" si="3"/>
        <v>0</v>
      </c>
      <c r="K25" s="185">
        <f t="shared" si="5"/>
        <v>0</v>
      </c>
      <c r="L25" s="185">
        <f t="shared" si="2"/>
        <v>0</v>
      </c>
      <c r="M25" s="196">
        <f t="shared" si="4"/>
        <v>0</v>
      </c>
      <c r="N25" s="55"/>
    </row>
    <row r="26" spans="2:14" ht="13.5" customHeight="1" x14ac:dyDescent="0.2">
      <c r="B26" s="409"/>
      <c r="C26" s="386"/>
      <c r="D26" s="386"/>
      <c r="E26" s="387"/>
      <c r="F26" s="209"/>
      <c r="G26" s="212"/>
      <c r="H26" s="15"/>
      <c r="I26" s="142" t="str">
        <f t="shared" si="0"/>
        <v/>
      </c>
      <c r="J26" s="195">
        <f t="shared" si="3"/>
        <v>0</v>
      </c>
      <c r="K26" s="185">
        <f t="shared" si="5"/>
        <v>0</v>
      </c>
      <c r="L26" s="185">
        <f t="shared" si="2"/>
        <v>0</v>
      </c>
      <c r="M26" s="196">
        <f t="shared" si="4"/>
        <v>0</v>
      </c>
      <c r="N26" s="55"/>
    </row>
    <row r="27" spans="2:14" ht="13.5" customHeight="1" x14ac:dyDescent="0.2">
      <c r="B27" s="409"/>
      <c r="C27" s="386"/>
      <c r="D27" s="386"/>
      <c r="E27" s="387"/>
      <c r="F27" s="209"/>
      <c r="G27" s="212"/>
      <c r="H27" s="15"/>
      <c r="I27" s="142" t="str">
        <f t="shared" si="0"/>
        <v/>
      </c>
      <c r="J27" s="195">
        <f t="shared" si="3"/>
        <v>0</v>
      </c>
      <c r="K27" s="185">
        <f t="shared" si="5"/>
        <v>0</v>
      </c>
      <c r="L27" s="185">
        <f t="shared" si="2"/>
        <v>0</v>
      </c>
      <c r="M27" s="196">
        <f t="shared" si="4"/>
        <v>0</v>
      </c>
      <c r="N27" s="55"/>
    </row>
    <row r="28" spans="2:14" ht="13.5" customHeight="1" x14ac:dyDescent="0.2">
      <c r="B28" s="409"/>
      <c r="C28" s="386"/>
      <c r="D28" s="386"/>
      <c r="E28" s="387"/>
      <c r="F28" s="209"/>
      <c r="G28" s="211"/>
      <c r="H28" s="15"/>
      <c r="I28" s="142" t="str">
        <f t="shared" si="0"/>
        <v/>
      </c>
      <c r="J28" s="195">
        <f t="shared" si="3"/>
        <v>0</v>
      </c>
      <c r="K28" s="185">
        <f t="shared" si="5"/>
        <v>0</v>
      </c>
      <c r="L28" s="185">
        <f t="shared" si="2"/>
        <v>0</v>
      </c>
      <c r="M28" s="196">
        <f t="shared" si="4"/>
        <v>0</v>
      </c>
      <c r="N28" s="55"/>
    </row>
    <row r="29" spans="2:14" ht="13.5" customHeight="1" x14ac:dyDescent="0.2">
      <c r="B29" s="409"/>
      <c r="C29" s="386"/>
      <c r="D29" s="386"/>
      <c r="E29" s="387"/>
      <c r="F29" s="209"/>
      <c r="G29" s="212"/>
      <c r="H29" s="15"/>
      <c r="I29" s="142" t="str">
        <f t="shared" si="0"/>
        <v/>
      </c>
      <c r="J29" s="195">
        <f t="shared" si="3"/>
        <v>0</v>
      </c>
      <c r="K29" s="185">
        <f t="shared" si="5"/>
        <v>0</v>
      </c>
      <c r="L29" s="185">
        <f t="shared" si="2"/>
        <v>0</v>
      </c>
      <c r="M29" s="196">
        <f t="shared" si="4"/>
        <v>0</v>
      </c>
      <c r="N29" s="55"/>
    </row>
    <row r="30" spans="2:14" ht="13.5" customHeight="1" x14ac:dyDescent="0.2">
      <c r="B30" s="409"/>
      <c r="C30" s="386"/>
      <c r="D30" s="386"/>
      <c r="E30" s="387"/>
      <c r="F30" s="209"/>
      <c r="G30" s="212"/>
      <c r="H30" s="15"/>
      <c r="I30" s="142" t="str">
        <f t="shared" si="0"/>
        <v/>
      </c>
      <c r="J30" s="195">
        <f t="shared" si="3"/>
        <v>0</v>
      </c>
      <c r="K30" s="185">
        <f t="shared" si="5"/>
        <v>0</v>
      </c>
      <c r="L30" s="185">
        <f t="shared" si="2"/>
        <v>0</v>
      </c>
      <c r="M30" s="196">
        <f t="shared" si="4"/>
        <v>0</v>
      </c>
      <c r="N30" s="55"/>
    </row>
    <row r="31" spans="2:14" ht="13.5" customHeight="1" x14ac:dyDescent="0.2">
      <c r="B31" s="409"/>
      <c r="C31" s="386"/>
      <c r="D31" s="386"/>
      <c r="E31" s="387"/>
      <c r="F31" s="209"/>
      <c r="G31" s="212"/>
      <c r="H31" s="15"/>
      <c r="I31" s="142" t="str">
        <f t="shared" si="0"/>
        <v/>
      </c>
      <c r="J31" s="195">
        <f t="shared" si="3"/>
        <v>0</v>
      </c>
      <c r="K31" s="185">
        <f t="shared" si="5"/>
        <v>0</v>
      </c>
      <c r="L31" s="185">
        <f t="shared" si="2"/>
        <v>0</v>
      </c>
      <c r="M31" s="196">
        <f t="shared" si="4"/>
        <v>0</v>
      </c>
      <c r="N31" s="55"/>
    </row>
    <row r="32" spans="2:14" ht="13.5" customHeight="1" x14ac:dyDescent="0.2">
      <c r="B32" s="409"/>
      <c r="C32" s="386"/>
      <c r="D32" s="386"/>
      <c r="E32" s="387"/>
      <c r="F32" s="209"/>
      <c r="G32" s="211"/>
      <c r="H32" s="15"/>
      <c r="I32" s="142" t="str">
        <f t="shared" si="0"/>
        <v/>
      </c>
      <c r="J32" s="195">
        <f t="shared" si="3"/>
        <v>0</v>
      </c>
      <c r="K32" s="185">
        <f t="shared" si="5"/>
        <v>0</v>
      </c>
      <c r="L32" s="185">
        <f t="shared" si="2"/>
        <v>0</v>
      </c>
      <c r="M32" s="196">
        <f t="shared" si="4"/>
        <v>0</v>
      </c>
      <c r="N32" s="55"/>
    </row>
    <row r="33" spans="2:14" ht="13.5" customHeight="1" x14ac:dyDescent="0.2">
      <c r="B33" s="409"/>
      <c r="C33" s="386"/>
      <c r="D33" s="386"/>
      <c r="E33" s="387"/>
      <c r="F33" s="209"/>
      <c r="G33" s="212"/>
      <c r="H33" s="15"/>
      <c r="I33" s="142" t="str">
        <f t="shared" si="0"/>
        <v/>
      </c>
      <c r="J33" s="195">
        <f t="shared" si="3"/>
        <v>0</v>
      </c>
      <c r="K33" s="185">
        <f t="shared" si="5"/>
        <v>0</v>
      </c>
      <c r="L33" s="185">
        <f t="shared" si="2"/>
        <v>0</v>
      </c>
      <c r="M33" s="196">
        <f t="shared" si="4"/>
        <v>0</v>
      </c>
      <c r="N33" s="55"/>
    </row>
    <row r="34" spans="2:14" ht="13.5" customHeight="1" x14ac:dyDescent="0.2">
      <c r="B34" s="409"/>
      <c r="C34" s="386"/>
      <c r="D34" s="386"/>
      <c r="E34" s="387"/>
      <c r="F34" s="209"/>
      <c r="G34" s="212"/>
      <c r="H34" s="15"/>
      <c r="I34" s="142" t="str">
        <f t="shared" si="0"/>
        <v/>
      </c>
      <c r="J34" s="195">
        <f t="shared" si="3"/>
        <v>0</v>
      </c>
      <c r="K34" s="185">
        <f t="shared" si="5"/>
        <v>0</v>
      </c>
      <c r="L34" s="185">
        <f t="shared" si="2"/>
        <v>0</v>
      </c>
      <c r="M34" s="196">
        <f t="shared" si="4"/>
        <v>0</v>
      </c>
      <c r="N34" s="55"/>
    </row>
    <row r="35" spans="2:14" ht="13.5" customHeight="1" x14ac:dyDescent="0.2">
      <c r="B35" s="409"/>
      <c r="C35" s="386"/>
      <c r="D35" s="386"/>
      <c r="E35" s="387"/>
      <c r="F35" s="209"/>
      <c r="G35" s="212"/>
      <c r="H35" s="15"/>
      <c r="I35" s="142" t="str">
        <f t="shared" si="0"/>
        <v/>
      </c>
      <c r="J35" s="195">
        <f t="shared" si="3"/>
        <v>0</v>
      </c>
      <c r="K35" s="185">
        <f t="shared" si="5"/>
        <v>0</v>
      </c>
      <c r="L35" s="185">
        <f t="shared" si="2"/>
        <v>0</v>
      </c>
      <c r="M35" s="196">
        <f t="shared" si="4"/>
        <v>0</v>
      </c>
      <c r="N35" s="55"/>
    </row>
    <row r="36" spans="2:14" ht="13.5" customHeight="1" x14ac:dyDescent="0.2">
      <c r="B36" s="409"/>
      <c r="C36" s="386"/>
      <c r="D36" s="386"/>
      <c r="E36" s="387"/>
      <c r="F36" s="209"/>
      <c r="G36" s="211"/>
      <c r="H36" s="15"/>
      <c r="I36" s="142" t="str">
        <f t="shared" si="0"/>
        <v/>
      </c>
      <c r="J36" s="195">
        <f t="shared" si="3"/>
        <v>0</v>
      </c>
      <c r="K36" s="185">
        <f t="shared" si="5"/>
        <v>0</v>
      </c>
      <c r="L36" s="185">
        <f t="shared" si="2"/>
        <v>0</v>
      </c>
      <c r="M36" s="196">
        <f t="shared" si="4"/>
        <v>0</v>
      </c>
      <c r="N36" s="55"/>
    </row>
    <row r="37" spans="2:14" ht="13.5" customHeight="1" thickBot="1" x14ac:dyDescent="0.25">
      <c r="B37" s="410"/>
      <c r="C37" s="411"/>
      <c r="D37" s="411"/>
      <c r="E37" s="412"/>
      <c r="F37" s="210"/>
      <c r="G37" s="213"/>
      <c r="H37" s="16"/>
      <c r="I37" s="143" t="str">
        <f t="shared" si="0"/>
        <v/>
      </c>
      <c r="J37" s="197">
        <f t="shared" si="3"/>
        <v>0</v>
      </c>
      <c r="K37" s="198">
        <f t="shared" si="5"/>
        <v>0</v>
      </c>
      <c r="L37" s="198">
        <f t="shared" si="2"/>
        <v>0</v>
      </c>
      <c r="M37" s="199">
        <f t="shared" si="4"/>
        <v>0</v>
      </c>
      <c r="N37" s="55"/>
    </row>
    <row r="38" spans="2:14" ht="13.5" customHeight="1" thickBot="1" x14ac:dyDescent="0.25">
      <c r="J38" s="200" t="str">
        <f t="array" ref="J38">IFERROR(JUNTARTEXTO(", ",TRUE,IF(J8:J37&gt;0,J8:J37&amp;"x "&amp;B8:B37,"")),"")</f>
        <v/>
      </c>
      <c r="K38" s="201" t="str">
        <f t="array" ref="K38">IFERROR(JUNTARTEXTO(", ",TRUE,IF(L8:L37&gt;0,L8:L37&amp;"x "&amp;B8:B37,"")),"")</f>
        <v/>
      </c>
      <c r="L38" s="201" t="str">
        <f t="array" ref="L38">IFERROR(JUNTARTEXTO(", ",TRUE,IF(K8:K37&gt;0,K8:K37&amp;"x "&amp;B8:B37,"")),"")</f>
        <v/>
      </c>
      <c r="M38" s="202" t="str">
        <f t="array" ref="M38">IFERROR(JUNTARTEXTO(", ",TRUE,IF(M8:M37&gt;0,M8:M37&amp;"x "&amp;B8:B37,"")),"")</f>
        <v/>
      </c>
      <c r="N38" s="55"/>
    </row>
    <row r="40" spans="2:14" s="14" customFormat="1" ht="13.5" customHeight="1" x14ac:dyDescent="0.2">
      <c r="B40" s="403" t="s">
        <v>207</v>
      </c>
      <c r="C40" s="404"/>
      <c r="D40" s="404"/>
      <c r="E40" s="405"/>
      <c r="F40" s="42" t="s">
        <v>208</v>
      </c>
      <c r="J40" s="137"/>
      <c r="K40" s="137"/>
      <c r="L40" s="137"/>
      <c r="M40" s="137"/>
    </row>
    <row r="41" spans="2:14" s="14" customFormat="1" ht="13.5" customHeight="1" x14ac:dyDescent="0.2">
      <c r="B41" s="406" t="s">
        <v>199</v>
      </c>
      <c r="C41" s="407"/>
      <c r="D41" s="407"/>
      <c r="E41" s="408"/>
      <c r="F41" s="20">
        <f>SUM(J8:J37)</f>
        <v>0</v>
      </c>
      <c r="J41" s="137"/>
      <c r="K41" s="137"/>
      <c r="L41" s="137"/>
      <c r="M41" s="137"/>
    </row>
    <row r="42" spans="2:14" s="14" customFormat="1" ht="13.5" customHeight="1" x14ac:dyDescent="0.2">
      <c r="B42" s="402" t="s">
        <v>200</v>
      </c>
      <c r="C42" s="402"/>
      <c r="D42" s="402"/>
      <c r="E42" s="402"/>
      <c r="F42" s="20">
        <f>SUM(L8:L37)</f>
        <v>0</v>
      </c>
      <c r="J42" s="137"/>
      <c r="K42" s="137"/>
      <c r="L42" s="137"/>
      <c r="M42" s="137"/>
    </row>
    <row r="43" spans="2:14" s="14" customFormat="1" ht="13.5" customHeight="1" x14ac:dyDescent="0.2">
      <c r="B43" s="402" t="s">
        <v>201</v>
      </c>
      <c r="C43" s="402"/>
      <c r="D43" s="402"/>
      <c r="E43" s="402"/>
      <c r="F43" s="20">
        <f>SUM(K8:K37)</f>
        <v>0</v>
      </c>
      <c r="J43" s="137"/>
      <c r="K43" s="137"/>
      <c r="L43" s="137"/>
      <c r="M43" s="137"/>
    </row>
    <row r="44" spans="2:14" s="14" customFormat="1" ht="13.5" customHeight="1" x14ac:dyDescent="0.2">
      <c r="B44" s="402" t="s">
        <v>202</v>
      </c>
      <c r="C44" s="402"/>
      <c r="D44" s="402"/>
      <c r="E44" s="402"/>
      <c r="F44" s="20">
        <f>SUM(M8:M37)</f>
        <v>0</v>
      </c>
      <c r="J44" s="137"/>
      <c r="K44" s="137"/>
      <c r="L44" s="137"/>
      <c r="M44" s="137"/>
    </row>
    <row r="46" spans="2:14" s="14" customFormat="1" ht="13.5" hidden="1" customHeight="1" x14ac:dyDescent="0.2">
      <c r="B46" s="370" t="s">
        <v>468</v>
      </c>
      <c r="C46" s="371"/>
      <c r="J46" s="137"/>
      <c r="K46" s="137"/>
      <c r="L46" s="137"/>
      <c r="M46" s="137"/>
    </row>
    <row r="47" spans="2:14" s="14" customFormat="1" ht="13.5" hidden="1" customHeight="1" x14ac:dyDescent="0.2">
      <c r="B47" s="151" t="s">
        <v>479</v>
      </c>
      <c r="C47" s="151" t="s">
        <v>478</v>
      </c>
      <c r="J47" s="137"/>
      <c r="K47" s="137"/>
      <c r="L47" s="137"/>
      <c r="M47" s="137"/>
    </row>
    <row r="48" spans="2:14" s="14" customFormat="1" ht="13.5" hidden="1" customHeight="1" x14ac:dyDescent="0.2">
      <c r="B48" s="176">
        <v>0</v>
      </c>
      <c r="C48" s="176">
        <v>1</v>
      </c>
      <c r="J48" s="137"/>
      <c r="K48" s="137"/>
      <c r="L48" s="137"/>
      <c r="M48" s="137"/>
    </row>
    <row r="49" spans="2:15" ht="13.5" hidden="1" customHeight="1" x14ac:dyDescent="0.2">
      <c r="B49" s="176">
        <v>2000</v>
      </c>
      <c r="C49" s="176">
        <v>2</v>
      </c>
      <c r="J49" s="14"/>
      <c r="K49" s="14"/>
      <c r="L49" s="14"/>
      <c r="M49" s="14"/>
      <c r="N49" s="14"/>
      <c r="O49" s="14"/>
    </row>
    <row r="50" spans="2:15" ht="13.5" hidden="1" customHeight="1" x14ac:dyDescent="0.2">
      <c r="B50" s="176">
        <v>4000</v>
      </c>
      <c r="C50" s="176">
        <v>3</v>
      </c>
      <c r="J50" s="14"/>
      <c r="K50" s="14"/>
      <c r="L50" s="14"/>
      <c r="M50" s="14"/>
      <c r="N50" s="14"/>
      <c r="O50" s="14"/>
    </row>
    <row r="51" spans="2:15" ht="13.5" hidden="1" customHeight="1" x14ac:dyDescent="0.2">
      <c r="B51" s="176">
        <v>6000</v>
      </c>
      <c r="C51" s="176">
        <v>4</v>
      </c>
      <c r="J51" s="14"/>
      <c r="K51" s="14"/>
      <c r="L51" s="14"/>
      <c r="M51" s="14"/>
      <c r="N51" s="14"/>
      <c r="O51" s="14"/>
    </row>
    <row r="52" spans="2:15" ht="13.5" hidden="1" customHeight="1" x14ac:dyDescent="0.2">
      <c r="B52" s="176">
        <v>8000</v>
      </c>
      <c r="C52" s="176">
        <v>5</v>
      </c>
      <c r="J52" s="14"/>
      <c r="K52" s="14"/>
      <c r="L52" s="14"/>
      <c r="M52" s="14"/>
      <c r="N52" s="14"/>
      <c r="O52" s="14"/>
    </row>
    <row r="53" spans="2:15" ht="13.5" hidden="1" customHeight="1" x14ac:dyDescent="0.2">
      <c r="B53" s="176">
        <v>12000</v>
      </c>
      <c r="C53" s="176">
        <v>6</v>
      </c>
      <c r="J53" s="14"/>
      <c r="K53" s="14"/>
      <c r="L53" s="14"/>
      <c r="M53" s="14"/>
      <c r="N53" s="14"/>
      <c r="O53" s="14"/>
    </row>
    <row r="54" spans="2:15" ht="13.5" hidden="1" customHeight="1" x14ac:dyDescent="0.2">
      <c r="B54" s="176">
        <v>16000</v>
      </c>
      <c r="C54" s="176">
        <v>7</v>
      </c>
      <c r="J54" s="14"/>
      <c r="K54" s="14"/>
      <c r="L54" s="14"/>
      <c r="M54" s="14"/>
      <c r="N54" s="14"/>
      <c r="O54" s="14"/>
    </row>
    <row r="55" spans="2:15" ht="13.5" hidden="1" customHeight="1" x14ac:dyDescent="0.2">
      <c r="B55" s="176">
        <v>20000</v>
      </c>
      <c r="C55" s="176">
        <v>8</v>
      </c>
      <c r="J55" s="14"/>
      <c r="K55" s="14"/>
      <c r="L55" s="14"/>
      <c r="M55" s="14"/>
      <c r="N55" s="14"/>
      <c r="O55" s="14"/>
    </row>
  </sheetData>
  <mergeCells count="41">
    <mergeCell ref="B33:E33"/>
    <mergeCell ref="B34:E34"/>
    <mergeCell ref="B35:E35"/>
    <mergeCell ref="B36:E36"/>
    <mergeCell ref="B37:E37"/>
    <mergeCell ref="B28:E28"/>
    <mergeCell ref="B29:E29"/>
    <mergeCell ref="B30:E30"/>
    <mergeCell ref="B31:E31"/>
    <mergeCell ref="B32:E32"/>
    <mergeCell ref="B23:E23"/>
    <mergeCell ref="B24:E24"/>
    <mergeCell ref="B25:E25"/>
    <mergeCell ref="B26:E26"/>
    <mergeCell ref="B27:E27"/>
    <mergeCell ref="B18:E18"/>
    <mergeCell ref="B19:E19"/>
    <mergeCell ref="B20:E20"/>
    <mergeCell ref="B21:E21"/>
    <mergeCell ref="B22:E22"/>
    <mergeCell ref="B13:E13"/>
    <mergeCell ref="B14:E14"/>
    <mergeCell ref="B15:E15"/>
    <mergeCell ref="B16:E16"/>
    <mergeCell ref="B17:E17"/>
    <mergeCell ref="B46:C46"/>
    <mergeCell ref="C2:F2"/>
    <mergeCell ref="C3:F3"/>
    <mergeCell ref="B7:E7"/>
    <mergeCell ref="C4:F4"/>
    <mergeCell ref="B6:I6"/>
    <mergeCell ref="B43:E43"/>
    <mergeCell ref="B44:E44"/>
    <mergeCell ref="B40:E40"/>
    <mergeCell ref="B41:E41"/>
    <mergeCell ref="B42:E42"/>
    <mergeCell ref="B8:E8"/>
    <mergeCell ref="B9:E9"/>
    <mergeCell ref="B10:E10"/>
    <mergeCell ref="B11:E11"/>
    <mergeCell ref="B12:E12"/>
  </mergeCells>
  <phoneticPr fontId="0" type="noConversion"/>
  <dataValidations count="1">
    <dataValidation type="list" allowBlank="1" showInputMessage="1" showErrorMessage="1" sqref="H8:H37" xr:uid="{00000000-0002-0000-0800-000000000000}">
      <formula1>"Resfriados,Congelados"</formula1>
    </dataValidation>
  </dataValidations>
  <pageMargins left="0.78740157499999996" right="0.78740157499999996" top="0.984251969" bottom="0.984251969" header="0.49212598499999999" footer="0.49212598499999999"/>
  <pageSetup paperSize="9"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9"/>
  <dimension ref="A2:D568"/>
  <sheetViews>
    <sheetView showGridLines="0" topLeftCell="B1" zoomScale="85" zoomScaleNormal="85" workbookViewId="0">
      <pane ySplit="3" topLeftCell="A4" activePane="bottomLeft" state="frozen"/>
      <selection pane="bottomLeft" activeCell="B9" sqref="B9"/>
    </sheetView>
  </sheetViews>
  <sheetFormatPr defaultRowHeight="12.75" x14ac:dyDescent="0.2"/>
  <cols>
    <col min="1" max="1" width="11.28515625" hidden="1" customWidth="1"/>
    <col min="2" max="2" width="91.85546875" bestFit="1" customWidth="1"/>
    <col min="3" max="3" width="10.85546875" style="3" bestFit="1" customWidth="1"/>
    <col min="4" max="4" width="35.28515625" bestFit="1" customWidth="1"/>
    <col min="5" max="5" width="2.42578125" customWidth="1"/>
    <col min="6" max="7" width="8" customWidth="1"/>
    <col min="8" max="8" width="2.42578125" customWidth="1"/>
    <col min="9" max="11" width="8" customWidth="1"/>
  </cols>
  <sheetData>
    <row r="2" spans="1:4" x14ac:dyDescent="0.2">
      <c r="B2" s="208" t="str">
        <f>"Obra: "&amp;'PAREDE-TETO'!D2</f>
        <v xml:space="preserve">Obra: </v>
      </c>
      <c r="C2" s="205"/>
      <c r="D2" s="207" t="str">
        <f>"Data: "&amp; TEXT('PAREDE-TETO'!I2,"dd/mm/aaaa")</f>
        <v>Data: 00/01/1900</v>
      </c>
    </row>
    <row r="3" spans="1:4" x14ac:dyDescent="0.2">
      <c r="A3" s="152" t="s">
        <v>470</v>
      </c>
      <c r="B3" s="152" t="s">
        <v>319</v>
      </c>
      <c r="C3" s="152" t="s">
        <v>318</v>
      </c>
      <c r="D3" s="152" t="s">
        <v>320</v>
      </c>
    </row>
    <row r="4" spans="1:4" x14ac:dyDescent="0.2">
      <c r="A4" s="203">
        <v>1</v>
      </c>
      <c r="B4" s="153"/>
      <c r="C4" s="162"/>
      <c r="D4" s="153"/>
    </row>
    <row r="5" spans="1:4" x14ac:dyDescent="0.2">
      <c r="A5" s="203">
        <v>1</v>
      </c>
      <c r="B5" s="154" t="s">
        <v>291</v>
      </c>
      <c r="C5" s="154"/>
      <c r="D5" s="154"/>
    </row>
    <row r="6" spans="1:4" x14ac:dyDescent="0.2">
      <c r="A6" s="203">
        <v>1</v>
      </c>
      <c r="B6" s="153"/>
      <c r="C6" s="162"/>
      <c r="D6" s="153"/>
    </row>
    <row r="7" spans="1:4" x14ac:dyDescent="0.2">
      <c r="A7" s="203">
        <f>IF(C7=0,0,1)</f>
        <v>0</v>
      </c>
      <c r="B7" s="153" t="s">
        <v>295</v>
      </c>
      <c r="C7" s="163">
        <f>ROUNDUP('PAREDE-TETO'!F332,0)</f>
        <v>0</v>
      </c>
      <c r="D7" s="153"/>
    </row>
    <row r="8" spans="1:4" x14ac:dyDescent="0.2">
      <c r="A8" s="203">
        <f t="shared" ref="A8:A69" si="0">IF(C8=0,0,1)</f>
        <v>0</v>
      </c>
      <c r="B8" s="153" t="s">
        <v>296</v>
      </c>
      <c r="C8" s="163">
        <f>ROUNDUP('PAREDE-TETO'!F333,0)</f>
        <v>0</v>
      </c>
      <c r="D8" s="153"/>
    </row>
    <row r="9" spans="1:4" x14ac:dyDescent="0.2">
      <c r="A9" s="203">
        <f t="shared" si="0"/>
        <v>0</v>
      </c>
      <c r="B9" s="153" t="s">
        <v>297</v>
      </c>
      <c r="C9" s="163">
        <f>ROUNDUP('PAREDE-TETO'!F334,0)</f>
        <v>0</v>
      </c>
      <c r="D9" s="153"/>
    </row>
    <row r="10" spans="1:4" x14ac:dyDescent="0.2">
      <c r="A10" s="203">
        <f t="shared" si="0"/>
        <v>0</v>
      </c>
      <c r="B10" s="155" t="s">
        <v>416</v>
      </c>
      <c r="C10" s="163">
        <f>ROUNDUP('PAREDE-TETO'!F335,0)</f>
        <v>0</v>
      </c>
      <c r="D10" s="153"/>
    </row>
    <row r="11" spans="1:4" x14ac:dyDescent="0.2">
      <c r="A11" s="203">
        <f t="shared" si="0"/>
        <v>0</v>
      </c>
      <c r="B11" s="155" t="s">
        <v>417</v>
      </c>
      <c r="C11" s="163">
        <f>ROUNDUP('PAREDE-TETO'!F336,0)</f>
        <v>0</v>
      </c>
      <c r="D11" s="153"/>
    </row>
    <row r="12" spans="1:4" x14ac:dyDescent="0.2">
      <c r="A12" s="203">
        <f t="shared" si="0"/>
        <v>0</v>
      </c>
      <c r="B12" s="155" t="s">
        <v>418</v>
      </c>
      <c r="C12" s="163">
        <f>ROUNDUP('PAREDE-TETO'!F337,0)</f>
        <v>0</v>
      </c>
      <c r="D12" s="153"/>
    </row>
    <row r="13" spans="1:4" x14ac:dyDescent="0.2">
      <c r="A13" s="203">
        <f t="shared" si="0"/>
        <v>0</v>
      </c>
      <c r="B13" s="153" t="s">
        <v>292</v>
      </c>
      <c r="C13" s="163">
        <f>ROUNDUP('PAREDE-TETO'!F350,0)</f>
        <v>0</v>
      </c>
      <c r="D13" s="153"/>
    </row>
    <row r="14" spans="1:4" x14ac:dyDescent="0.2">
      <c r="A14" s="203">
        <f t="shared" si="0"/>
        <v>0</v>
      </c>
      <c r="B14" s="153" t="s">
        <v>293</v>
      </c>
      <c r="C14" s="163">
        <f>ROUNDUP('PAREDE-TETO'!F351,0)</f>
        <v>0</v>
      </c>
      <c r="D14" s="153"/>
    </row>
    <row r="15" spans="1:4" x14ac:dyDescent="0.2">
      <c r="A15" s="203">
        <f t="shared" si="0"/>
        <v>0</v>
      </c>
      <c r="B15" s="155" t="s">
        <v>419</v>
      </c>
      <c r="C15" s="163">
        <f>ROUNDUP('PAREDE-TETO'!F352,0)</f>
        <v>0</v>
      </c>
      <c r="D15" s="153"/>
    </row>
    <row r="16" spans="1:4" x14ac:dyDescent="0.2">
      <c r="A16" s="203">
        <f t="shared" si="0"/>
        <v>0</v>
      </c>
      <c r="B16" s="153" t="s">
        <v>294</v>
      </c>
      <c r="C16" s="163">
        <f>ROUNDUP('PAREDE-TETO'!F353,0)</f>
        <v>0</v>
      </c>
      <c r="D16" s="153"/>
    </row>
    <row r="17" spans="1:4" x14ac:dyDescent="0.2">
      <c r="A17" s="203">
        <f t="shared" si="0"/>
        <v>0</v>
      </c>
      <c r="B17" s="155" t="s">
        <v>420</v>
      </c>
      <c r="C17" s="163">
        <f>ROUNDUP('PAREDE-TETO'!F354,0)</f>
        <v>0</v>
      </c>
      <c r="D17" s="153"/>
    </row>
    <row r="18" spans="1:4" x14ac:dyDescent="0.2">
      <c r="A18" s="203">
        <f t="shared" si="0"/>
        <v>0</v>
      </c>
      <c r="B18" s="155" t="s">
        <v>421</v>
      </c>
      <c r="C18" s="163">
        <f>ROUNDUP('PAREDE-TETO'!F355,0)</f>
        <v>0</v>
      </c>
      <c r="D18" s="153"/>
    </row>
    <row r="19" spans="1:4" x14ac:dyDescent="0.2">
      <c r="A19" s="203">
        <f t="shared" si="0"/>
        <v>0</v>
      </c>
      <c r="B19" s="156" t="s">
        <v>422</v>
      </c>
      <c r="C19" s="163">
        <f>ROUNDUP('PAREDE-TETO'!F356,0)</f>
        <v>0</v>
      </c>
      <c r="D19" s="153"/>
    </row>
    <row r="20" spans="1:4" x14ac:dyDescent="0.2">
      <c r="A20" s="203">
        <f t="shared" si="0"/>
        <v>0</v>
      </c>
      <c r="B20" s="153" t="s">
        <v>423</v>
      </c>
      <c r="C20" s="163">
        <f>ROUNDUP('PAREDE-TETO'!F357,0)</f>
        <v>0</v>
      </c>
      <c r="D20" s="153"/>
    </row>
    <row r="21" spans="1:4" x14ac:dyDescent="0.2">
      <c r="A21" s="203">
        <f t="shared" si="0"/>
        <v>0</v>
      </c>
      <c r="B21" s="155" t="s">
        <v>424</v>
      </c>
      <c r="C21" s="163">
        <f>ROUNDUP('PAREDE-TETO'!F358,0)</f>
        <v>0</v>
      </c>
      <c r="D21" s="153"/>
    </row>
    <row r="22" spans="1:4" x14ac:dyDescent="0.2">
      <c r="A22" s="203">
        <f t="shared" si="0"/>
        <v>0</v>
      </c>
      <c r="B22" s="156" t="s">
        <v>425</v>
      </c>
      <c r="C22" s="163">
        <f>ROUNDUP('PAREDE-TETO'!F359,0)</f>
        <v>0</v>
      </c>
      <c r="D22" s="153"/>
    </row>
    <row r="23" spans="1:4" x14ac:dyDescent="0.2">
      <c r="A23" s="203">
        <f t="shared" si="0"/>
        <v>0</v>
      </c>
      <c r="B23" s="155" t="s">
        <v>426</v>
      </c>
      <c r="C23" s="163">
        <f>ROUNDUP('PAREDE-TETO'!F360,0)</f>
        <v>0</v>
      </c>
      <c r="D23" s="153"/>
    </row>
    <row r="24" spans="1:4" x14ac:dyDescent="0.2">
      <c r="A24" s="203">
        <f t="shared" si="0"/>
        <v>0</v>
      </c>
      <c r="B24" s="155" t="s">
        <v>427</v>
      </c>
      <c r="C24" s="163">
        <f>ROUNDUP('PAREDE-TETO'!F361,0)</f>
        <v>0</v>
      </c>
      <c r="D24" s="153"/>
    </row>
    <row r="25" spans="1:4" x14ac:dyDescent="0.2">
      <c r="A25" s="203">
        <f t="shared" si="0"/>
        <v>0</v>
      </c>
      <c r="B25" s="155" t="s">
        <v>440</v>
      </c>
      <c r="C25" s="163">
        <f>ROUNDUP('PAREDE-TETO'!F362,0)</f>
        <v>0</v>
      </c>
      <c r="D25" s="153"/>
    </row>
    <row r="26" spans="1:4" x14ac:dyDescent="0.2">
      <c r="A26" s="203">
        <f t="shared" si="0"/>
        <v>0</v>
      </c>
      <c r="B26" s="153" t="s">
        <v>441</v>
      </c>
      <c r="C26" s="163">
        <f>ROUNDUP('PAREDE-TETO'!F363,0)</f>
        <v>0</v>
      </c>
      <c r="D26" s="153"/>
    </row>
    <row r="27" spans="1:4" x14ac:dyDescent="0.2">
      <c r="A27" s="203">
        <f t="shared" si="0"/>
        <v>0</v>
      </c>
      <c r="B27" s="155" t="s">
        <v>442</v>
      </c>
      <c r="C27" s="163">
        <f>ROUNDUP('PAREDE-TETO'!F364,0)</f>
        <v>0</v>
      </c>
      <c r="D27" s="153"/>
    </row>
    <row r="28" spans="1:4" x14ac:dyDescent="0.2">
      <c r="A28" s="203">
        <f t="shared" si="0"/>
        <v>0</v>
      </c>
      <c r="B28" s="156" t="s">
        <v>443</v>
      </c>
      <c r="C28" s="163">
        <f>ROUNDUP('PAREDE-TETO'!F365,0)</f>
        <v>0</v>
      </c>
      <c r="D28" s="153"/>
    </row>
    <row r="29" spans="1:4" x14ac:dyDescent="0.2">
      <c r="A29" s="203">
        <f t="shared" si="0"/>
        <v>0</v>
      </c>
      <c r="B29" s="155" t="s">
        <v>444</v>
      </c>
      <c r="C29" s="163">
        <f>ROUNDUP('PAREDE-TETO'!F366,0)</f>
        <v>0</v>
      </c>
      <c r="D29" s="153"/>
    </row>
    <row r="30" spans="1:4" x14ac:dyDescent="0.2">
      <c r="A30" s="203">
        <f t="shared" si="0"/>
        <v>0</v>
      </c>
      <c r="B30" s="155" t="s">
        <v>445</v>
      </c>
      <c r="C30" s="163">
        <f>ROUNDUP('PAREDE-TETO'!F367,0)</f>
        <v>0</v>
      </c>
      <c r="D30" s="153"/>
    </row>
    <row r="31" spans="1:4" x14ac:dyDescent="0.2">
      <c r="A31" s="203">
        <f t="shared" si="0"/>
        <v>0</v>
      </c>
      <c r="B31" s="153" t="s">
        <v>428</v>
      </c>
      <c r="C31" s="163">
        <f>ROUNDUP('PAREDE-TETO'!F380,0)</f>
        <v>0</v>
      </c>
      <c r="D31" s="153"/>
    </row>
    <row r="32" spans="1:4" x14ac:dyDescent="0.2">
      <c r="A32" s="203">
        <f t="shared" si="0"/>
        <v>0</v>
      </c>
      <c r="B32" s="153" t="s">
        <v>429</v>
      </c>
      <c r="C32" s="163">
        <f>ROUNDUP('PAREDE-TETO'!F381,0)</f>
        <v>0</v>
      </c>
      <c r="D32" s="153"/>
    </row>
    <row r="33" spans="1:4" x14ac:dyDescent="0.2">
      <c r="A33" s="203">
        <f t="shared" si="0"/>
        <v>0</v>
      </c>
      <c r="B33" s="155" t="s">
        <v>430</v>
      </c>
      <c r="C33" s="163">
        <f>ROUNDUP('PAREDE-TETO'!F382,0)</f>
        <v>0</v>
      </c>
      <c r="D33" s="153"/>
    </row>
    <row r="34" spans="1:4" x14ac:dyDescent="0.2">
      <c r="A34" s="203">
        <f t="shared" si="0"/>
        <v>0</v>
      </c>
      <c r="B34" s="153" t="s">
        <v>431</v>
      </c>
      <c r="C34" s="163">
        <f>ROUNDUP('PAREDE-TETO'!F383,0)</f>
        <v>0</v>
      </c>
      <c r="D34" s="153"/>
    </row>
    <row r="35" spans="1:4" x14ac:dyDescent="0.2">
      <c r="A35" s="203">
        <f t="shared" si="0"/>
        <v>0</v>
      </c>
      <c r="B35" s="155" t="s">
        <v>432</v>
      </c>
      <c r="C35" s="163">
        <f>ROUNDUP('PAREDE-TETO'!F384,0)</f>
        <v>0</v>
      </c>
      <c r="D35" s="153"/>
    </row>
    <row r="36" spans="1:4" x14ac:dyDescent="0.2">
      <c r="A36" s="203">
        <f t="shared" si="0"/>
        <v>0</v>
      </c>
      <c r="B36" s="155" t="s">
        <v>433</v>
      </c>
      <c r="C36" s="163">
        <f>ROUNDUP('PAREDE-TETO'!F385,0)</f>
        <v>0</v>
      </c>
      <c r="D36" s="153"/>
    </row>
    <row r="37" spans="1:4" x14ac:dyDescent="0.2">
      <c r="A37" s="203">
        <f t="shared" si="0"/>
        <v>0</v>
      </c>
      <c r="B37" s="156" t="s">
        <v>434</v>
      </c>
      <c r="C37" s="163">
        <f>ROUNDUP('PAREDE-TETO'!F386,0)</f>
        <v>0</v>
      </c>
      <c r="D37" s="153"/>
    </row>
    <row r="38" spans="1:4" x14ac:dyDescent="0.2">
      <c r="A38" s="203">
        <f t="shared" si="0"/>
        <v>0</v>
      </c>
      <c r="B38" s="153" t="s">
        <v>435</v>
      </c>
      <c r="C38" s="163">
        <f>ROUNDUP('PAREDE-TETO'!F387,0)</f>
        <v>0</v>
      </c>
      <c r="D38" s="153"/>
    </row>
    <row r="39" spans="1:4" x14ac:dyDescent="0.2">
      <c r="A39" s="203">
        <f t="shared" si="0"/>
        <v>0</v>
      </c>
      <c r="B39" s="155" t="s">
        <v>436</v>
      </c>
      <c r="C39" s="163">
        <f>ROUNDUP('PAREDE-TETO'!F388,0)</f>
        <v>0</v>
      </c>
      <c r="D39" s="153"/>
    </row>
    <row r="40" spans="1:4" x14ac:dyDescent="0.2">
      <c r="A40" s="203">
        <f t="shared" si="0"/>
        <v>0</v>
      </c>
      <c r="B40" s="156" t="s">
        <v>437</v>
      </c>
      <c r="C40" s="163">
        <f>ROUNDUP('PAREDE-TETO'!F389,0)</f>
        <v>0</v>
      </c>
      <c r="D40" s="153"/>
    </row>
    <row r="41" spans="1:4" x14ac:dyDescent="0.2">
      <c r="A41" s="203">
        <f t="shared" si="0"/>
        <v>0</v>
      </c>
      <c r="B41" s="155" t="s">
        <v>438</v>
      </c>
      <c r="C41" s="163">
        <f>ROUNDUP('PAREDE-TETO'!F390,0)</f>
        <v>0</v>
      </c>
      <c r="D41" s="153"/>
    </row>
    <row r="42" spans="1:4" x14ac:dyDescent="0.2">
      <c r="A42" s="203">
        <f t="shared" si="0"/>
        <v>0</v>
      </c>
      <c r="B42" s="155" t="s">
        <v>439</v>
      </c>
      <c r="C42" s="163">
        <f>ROUNDUP('PAREDE-TETO'!F391,0)</f>
        <v>0</v>
      </c>
      <c r="D42" s="153"/>
    </row>
    <row r="43" spans="1:4" x14ac:dyDescent="0.2">
      <c r="A43" s="203">
        <f t="shared" si="0"/>
        <v>0</v>
      </c>
      <c r="B43" s="156" t="s">
        <v>446</v>
      </c>
      <c r="C43" s="163">
        <f>ROUNDUP('PAREDE-TETO'!F392,0)</f>
        <v>0</v>
      </c>
      <c r="D43" s="153"/>
    </row>
    <row r="44" spans="1:4" x14ac:dyDescent="0.2">
      <c r="A44" s="203">
        <f t="shared" si="0"/>
        <v>0</v>
      </c>
      <c r="B44" s="153" t="s">
        <v>447</v>
      </c>
      <c r="C44" s="163">
        <f>ROUNDUP('PAREDE-TETO'!F393,0)</f>
        <v>0</v>
      </c>
      <c r="D44" s="153"/>
    </row>
    <row r="45" spans="1:4" x14ac:dyDescent="0.2">
      <c r="A45" s="203">
        <f t="shared" si="0"/>
        <v>0</v>
      </c>
      <c r="B45" s="155" t="s">
        <v>448</v>
      </c>
      <c r="C45" s="163">
        <f>ROUNDUP('PAREDE-TETO'!F394,0)</f>
        <v>0</v>
      </c>
      <c r="D45" s="153"/>
    </row>
    <row r="46" spans="1:4" x14ac:dyDescent="0.2">
      <c r="A46" s="203">
        <f t="shared" si="0"/>
        <v>0</v>
      </c>
      <c r="B46" s="156" t="s">
        <v>449</v>
      </c>
      <c r="C46" s="163">
        <f>ROUNDUP('PAREDE-TETO'!F395,0)</f>
        <v>0</v>
      </c>
      <c r="D46" s="153"/>
    </row>
    <row r="47" spans="1:4" x14ac:dyDescent="0.2">
      <c r="A47" s="203">
        <f t="shared" si="0"/>
        <v>0</v>
      </c>
      <c r="B47" s="155" t="s">
        <v>450</v>
      </c>
      <c r="C47" s="163">
        <f>ROUNDUP('PAREDE-TETO'!F396,0)</f>
        <v>0</v>
      </c>
      <c r="D47" s="153"/>
    </row>
    <row r="48" spans="1:4" x14ac:dyDescent="0.2">
      <c r="A48" s="203">
        <f t="shared" si="0"/>
        <v>0</v>
      </c>
      <c r="B48" s="155" t="s">
        <v>451</v>
      </c>
      <c r="C48" s="163">
        <f>ROUNDUP('PAREDE-TETO'!F397,0)</f>
        <v>0</v>
      </c>
      <c r="D48" s="153"/>
    </row>
    <row r="49" spans="1:4" x14ac:dyDescent="0.2">
      <c r="A49" s="203">
        <v>1</v>
      </c>
      <c r="B49" s="153"/>
      <c r="C49" s="162"/>
      <c r="D49" s="153"/>
    </row>
    <row r="50" spans="1:4" x14ac:dyDescent="0.2">
      <c r="A50" s="203">
        <v>1</v>
      </c>
      <c r="B50" s="154" t="s">
        <v>298</v>
      </c>
      <c r="C50" s="154"/>
      <c r="D50" s="154"/>
    </row>
    <row r="51" spans="1:4" x14ac:dyDescent="0.2">
      <c r="A51" s="203">
        <v>1</v>
      </c>
      <c r="B51" s="153"/>
      <c r="C51" s="162"/>
      <c r="D51" s="153"/>
    </row>
    <row r="52" spans="1:4" x14ac:dyDescent="0.2">
      <c r="A52" s="203">
        <f t="shared" si="0"/>
        <v>0</v>
      </c>
      <c r="B52" s="153" t="s">
        <v>299</v>
      </c>
      <c r="C52" s="162">
        <f>ROUNDUP(SUM(PISO!F116:G116),0)</f>
        <v>0</v>
      </c>
      <c r="D52" s="153"/>
    </row>
    <row r="53" spans="1:4" x14ac:dyDescent="0.2">
      <c r="A53" s="203">
        <f t="shared" si="0"/>
        <v>0</v>
      </c>
      <c r="B53" s="153" t="s">
        <v>300</v>
      </c>
      <c r="C53" s="162">
        <f>ROUNDUP(SUM(PISO!F117:G117),0)</f>
        <v>0</v>
      </c>
      <c r="D53" s="153"/>
    </row>
    <row r="54" spans="1:4" x14ac:dyDescent="0.2">
      <c r="A54" s="203">
        <f t="shared" si="0"/>
        <v>0</v>
      </c>
      <c r="B54" s="153" t="s">
        <v>301</v>
      </c>
      <c r="C54" s="162">
        <f>ROUNDUP(SUM(PISO!F118:G118),0)</f>
        <v>0</v>
      </c>
      <c r="D54" s="153"/>
    </row>
    <row r="55" spans="1:4" x14ac:dyDescent="0.2">
      <c r="A55" s="203">
        <f t="shared" si="0"/>
        <v>0</v>
      </c>
      <c r="B55" s="153" t="s">
        <v>302</v>
      </c>
      <c r="C55" s="162">
        <f>ROUNDUP(SUM(PISO!F119:G119),0)</f>
        <v>0</v>
      </c>
      <c r="D55" s="153"/>
    </row>
    <row r="56" spans="1:4" x14ac:dyDescent="0.2">
      <c r="A56" s="203">
        <f t="shared" si="0"/>
        <v>0</v>
      </c>
      <c r="B56" s="153" t="s">
        <v>452</v>
      </c>
      <c r="C56" s="162">
        <f>ROUNDUP(SUM(PISO!F120:G120),0)</f>
        <v>0</v>
      </c>
      <c r="D56" s="153"/>
    </row>
    <row r="57" spans="1:4" x14ac:dyDescent="0.2">
      <c r="A57" s="203">
        <f t="shared" si="0"/>
        <v>0</v>
      </c>
      <c r="B57" s="153" t="s">
        <v>303</v>
      </c>
      <c r="C57" s="162">
        <f>ROUNDUP(SUM(PISO!F121:G121),0)</f>
        <v>0</v>
      </c>
      <c r="D57" s="153"/>
    </row>
    <row r="58" spans="1:4" x14ac:dyDescent="0.2">
      <c r="A58" s="203">
        <f t="shared" si="0"/>
        <v>0</v>
      </c>
      <c r="B58" s="153" t="s">
        <v>453</v>
      </c>
      <c r="C58" s="162">
        <f>ROUNDUP(SUM(PISO!F122:G122),0)</f>
        <v>0</v>
      </c>
      <c r="D58" s="153"/>
    </row>
    <row r="59" spans="1:4" x14ac:dyDescent="0.2">
      <c r="A59" s="203">
        <f t="shared" si="0"/>
        <v>0</v>
      </c>
      <c r="B59" s="153" t="s">
        <v>460</v>
      </c>
      <c r="C59" s="162">
        <f>ROUNDUP(SUM(PISO!F123:G123),0)</f>
        <v>0</v>
      </c>
      <c r="D59" s="153"/>
    </row>
    <row r="60" spans="1:4" x14ac:dyDescent="0.2">
      <c r="A60" s="203">
        <f t="shared" si="0"/>
        <v>0</v>
      </c>
      <c r="B60" s="153" t="s">
        <v>461</v>
      </c>
      <c r="C60" s="162">
        <f>ROUNDUP(SUM(PISO!F124:G124),0)</f>
        <v>0</v>
      </c>
      <c r="D60" s="153"/>
    </row>
    <row r="61" spans="1:4" x14ac:dyDescent="0.2">
      <c r="A61" s="203">
        <f t="shared" si="0"/>
        <v>0</v>
      </c>
      <c r="B61" s="153" t="s">
        <v>462</v>
      </c>
      <c r="C61" s="162">
        <f>ROUNDUP(SUM(PISO!F125:G125),0)</f>
        <v>0</v>
      </c>
      <c r="D61" s="153"/>
    </row>
    <row r="62" spans="1:4" x14ac:dyDescent="0.2">
      <c r="A62" s="203">
        <f t="shared" si="0"/>
        <v>0</v>
      </c>
      <c r="B62" s="153" t="s">
        <v>463</v>
      </c>
      <c r="C62" s="162">
        <f>ROUNDUP(SUM(PISO!F126:G126),0)</f>
        <v>0</v>
      </c>
      <c r="D62" s="153"/>
    </row>
    <row r="63" spans="1:4" x14ac:dyDescent="0.2">
      <c r="A63" s="203">
        <f t="shared" si="0"/>
        <v>0</v>
      </c>
      <c r="B63" s="153" t="s">
        <v>464</v>
      </c>
      <c r="C63" s="162">
        <f>ROUNDUP(SUM(PISO!F127:G127),0)</f>
        <v>0</v>
      </c>
      <c r="D63" s="153"/>
    </row>
    <row r="64" spans="1:4" x14ac:dyDescent="0.2">
      <c r="A64" s="203">
        <f t="shared" si="0"/>
        <v>0</v>
      </c>
      <c r="B64" s="153" t="s">
        <v>465</v>
      </c>
      <c r="C64" s="162">
        <f>ROUNDUP(SUM(PISO!F128:G128),0)</f>
        <v>0</v>
      </c>
      <c r="D64" s="153"/>
    </row>
    <row r="65" spans="1:4" x14ac:dyDescent="0.2">
      <c r="A65" s="203">
        <f t="shared" si="0"/>
        <v>0</v>
      </c>
      <c r="B65" s="153" t="s">
        <v>466</v>
      </c>
      <c r="C65" s="162">
        <f>ROUNDUP(SUM(PISO!F129:G129),0)</f>
        <v>0</v>
      </c>
      <c r="D65" s="153"/>
    </row>
    <row r="66" spans="1:4" x14ac:dyDescent="0.2">
      <c r="A66" s="203">
        <f t="shared" si="0"/>
        <v>0</v>
      </c>
      <c r="B66" s="153" t="s">
        <v>304</v>
      </c>
      <c r="C66" s="162">
        <f>ROUNDUP(SUM(PISO!F112:G112),0)</f>
        <v>0</v>
      </c>
      <c r="D66" s="153"/>
    </row>
    <row r="67" spans="1:4" x14ac:dyDescent="0.2">
      <c r="A67" s="203">
        <f t="shared" si="0"/>
        <v>0</v>
      </c>
      <c r="B67" s="153" t="s">
        <v>305</v>
      </c>
      <c r="C67" s="162">
        <f>ROUNDUP(SUM(PISO!F113:G113),0)</f>
        <v>0</v>
      </c>
      <c r="D67" s="153"/>
    </row>
    <row r="68" spans="1:4" x14ac:dyDescent="0.2">
      <c r="A68" s="203">
        <f t="shared" si="0"/>
        <v>0</v>
      </c>
      <c r="B68" s="153" t="s">
        <v>306</v>
      </c>
      <c r="C68" s="162">
        <f>ROUNDUP(SUM(PISO!F114:G114),0)</f>
        <v>0</v>
      </c>
      <c r="D68" s="153"/>
    </row>
    <row r="69" spans="1:4" x14ac:dyDescent="0.2">
      <c r="A69" s="203">
        <f t="shared" si="0"/>
        <v>0</v>
      </c>
      <c r="B69" s="153" t="s">
        <v>307</v>
      </c>
      <c r="C69" s="162">
        <f>ROUNDUP(SUM(PISO!F115:G115),0)</f>
        <v>0</v>
      </c>
      <c r="D69" s="153"/>
    </row>
    <row r="70" spans="1:4" x14ac:dyDescent="0.2">
      <c r="A70" s="203">
        <v>1</v>
      </c>
      <c r="B70" s="153"/>
      <c r="C70" s="162"/>
      <c r="D70" s="153"/>
    </row>
    <row r="71" spans="1:4" x14ac:dyDescent="0.2">
      <c r="A71" s="203">
        <v>1</v>
      </c>
      <c r="B71" s="154" t="s">
        <v>308</v>
      </c>
      <c r="C71" s="154"/>
      <c r="D71" s="154"/>
    </row>
    <row r="72" spans="1:4" x14ac:dyDescent="0.2">
      <c r="A72" s="203">
        <v>1</v>
      </c>
      <c r="B72" s="157"/>
      <c r="C72" s="162"/>
      <c r="D72" s="153"/>
    </row>
    <row r="73" spans="1:4" x14ac:dyDescent="0.2">
      <c r="A73" s="203">
        <f t="shared" ref="A73:A512" si="1">IF(C73=0,0,1)</f>
        <v>0</v>
      </c>
      <c r="B73" s="153" t="s">
        <v>309</v>
      </c>
      <c r="C73" s="162">
        <f>'VÁLVULAS DE ALÍVIO'!F41</f>
        <v>0</v>
      </c>
      <c r="D73" s="153" t="str">
        <f>'VÁLVULAS DE ALÍVIO'!J38</f>
        <v/>
      </c>
    </row>
    <row r="74" spans="1:4" x14ac:dyDescent="0.2">
      <c r="A74" s="203">
        <f t="shared" si="1"/>
        <v>0</v>
      </c>
      <c r="B74" s="153" t="s">
        <v>310</v>
      </c>
      <c r="C74" s="162">
        <f>'VÁLVULAS DE ALÍVIO'!F42</f>
        <v>0</v>
      </c>
      <c r="D74" s="153" t="str">
        <f>'VÁLVULAS DE ALÍVIO'!K38</f>
        <v/>
      </c>
    </row>
    <row r="75" spans="1:4" x14ac:dyDescent="0.2">
      <c r="A75" s="203">
        <f t="shared" si="1"/>
        <v>0</v>
      </c>
      <c r="B75" s="158" t="s">
        <v>311</v>
      </c>
      <c r="C75" s="162">
        <f>'VÁLVULAS DE ALÍVIO'!F43</f>
        <v>0</v>
      </c>
      <c r="D75" s="153" t="str">
        <f>'VÁLVULAS DE ALÍVIO'!L38</f>
        <v/>
      </c>
    </row>
    <row r="76" spans="1:4" x14ac:dyDescent="0.2">
      <c r="A76" s="203">
        <f t="shared" si="1"/>
        <v>0</v>
      </c>
      <c r="B76" s="158" t="s">
        <v>312</v>
      </c>
      <c r="C76" s="162">
        <f>'VÁLVULAS DE ALÍVIO'!F44</f>
        <v>0</v>
      </c>
      <c r="D76" s="153" t="str">
        <f>'VÁLVULAS DE ALÍVIO'!M38</f>
        <v/>
      </c>
    </row>
    <row r="77" spans="1:4" x14ac:dyDescent="0.2">
      <c r="A77" s="203">
        <v>1</v>
      </c>
      <c r="B77" s="153"/>
      <c r="C77" s="162"/>
      <c r="D77" s="153"/>
    </row>
    <row r="78" spans="1:4" x14ac:dyDescent="0.2">
      <c r="A78" s="203">
        <v>1</v>
      </c>
      <c r="B78" s="154" t="s">
        <v>313</v>
      </c>
      <c r="C78" s="154"/>
      <c r="D78" s="154"/>
    </row>
    <row r="79" spans="1:4" x14ac:dyDescent="0.2">
      <c r="A79" s="203">
        <v>1</v>
      </c>
      <c r="B79" s="156"/>
      <c r="C79" s="162"/>
      <c r="D79" s="153"/>
    </row>
    <row r="80" spans="1:4" x14ac:dyDescent="0.2">
      <c r="A80" s="203">
        <f t="shared" si="1"/>
        <v>0</v>
      </c>
      <c r="B80" s="159" t="s">
        <v>481</v>
      </c>
      <c r="C80" s="162">
        <f>ROUNDUP('CHAPA DE PROTEÇÃO'!E212,0)</f>
        <v>0</v>
      </c>
      <c r="D80" s="153"/>
    </row>
    <row r="81" spans="1:4" x14ac:dyDescent="0.2">
      <c r="A81" s="203">
        <f>IF(C80=0,0,1)</f>
        <v>0</v>
      </c>
      <c r="B81" s="159"/>
      <c r="C81" s="162"/>
      <c r="D81" s="153"/>
    </row>
    <row r="82" spans="1:4" x14ac:dyDescent="0.2">
      <c r="A82" s="203">
        <f t="shared" si="1"/>
        <v>0</v>
      </c>
      <c r="B82" s="159" t="s">
        <v>495</v>
      </c>
      <c r="C82" s="162">
        <f>ROUNDUP('CHAPA DE PROTEÇÃO'!E213,0)</f>
        <v>0</v>
      </c>
      <c r="D82" s="153"/>
    </row>
    <row r="83" spans="1:4" x14ac:dyDescent="0.2">
      <c r="A83" s="203">
        <f>IF(C82=0,0,1)</f>
        <v>0</v>
      </c>
      <c r="B83" s="153"/>
      <c r="C83" s="162"/>
      <c r="D83" s="153"/>
    </row>
    <row r="84" spans="1:4" x14ac:dyDescent="0.2">
      <c r="A84" s="203">
        <v>1</v>
      </c>
      <c r="B84" s="154" t="s">
        <v>484</v>
      </c>
      <c r="C84" s="154"/>
      <c r="D84" s="154"/>
    </row>
    <row r="85" spans="1:4" x14ac:dyDescent="0.2">
      <c r="A85" s="203">
        <v>1</v>
      </c>
      <c r="B85" s="157"/>
      <c r="C85" s="162"/>
      <c r="D85" s="153"/>
    </row>
    <row r="86" spans="1:4" x14ac:dyDescent="0.2">
      <c r="A86" s="203">
        <f t="shared" si="1"/>
        <v>0</v>
      </c>
      <c r="B86" s="153" t="str">
        <f t="array" ref="B86:B135">IF(TRANSPOSE(VISOR!$L$60:$BI$60)="Simples",TRANSPOSE(VISOR!$L$61:$BI$61),"")</f>
        <v/>
      </c>
      <c r="C86" s="162">
        <f t="array" ref="C86:C135">IF(TRANSPOSE(VISOR!$L$60:$BI$60)="Simples",TRANSPOSE(VISOR!$L$62:$BI$62),0)</f>
        <v>0</v>
      </c>
      <c r="D86" s="153" t="str">
        <f t="array" ref="D86:D135">IF(TRANSPOSE(VISOR!$L$60:$BI$60)="Simples",TRANSPOSE(VISOR!$L$63:$BI$63),"")</f>
        <v/>
      </c>
    </row>
    <row r="87" spans="1:4" x14ac:dyDescent="0.2">
      <c r="A87" s="203">
        <f t="shared" si="1"/>
        <v>0</v>
      </c>
      <c r="B87" s="153" t="str">
        <v/>
      </c>
      <c r="C87" s="162">
        <v>0</v>
      </c>
      <c r="D87" s="153" t="str">
        <v/>
      </c>
    </row>
    <row r="88" spans="1:4" x14ac:dyDescent="0.2">
      <c r="A88" s="203">
        <f t="shared" si="1"/>
        <v>0</v>
      </c>
      <c r="B88" s="153" t="str">
        <v/>
      </c>
      <c r="C88" s="162">
        <v>0</v>
      </c>
      <c r="D88" s="153" t="str">
        <v/>
      </c>
    </row>
    <row r="89" spans="1:4" x14ac:dyDescent="0.2">
      <c r="A89" s="203">
        <f t="shared" si="1"/>
        <v>0</v>
      </c>
      <c r="B89" s="153" t="str">
        <v/>
      </c>
      <c r="C89" s="162">
        <v>0</v>
      </c>
      <c r="D89" s="153" t="str">
        <v/>
      </c>
    </row>
    <row r="90" spans="1:4" x14ac:dyDescent="0.2">
      <c r="A90" s="203">
        <f t="shared" si="1"/>
        <v>0</v>
      </c>
      <c r="B90" s="153" t="str">
        <v/>
      </c>
      <c r="C90" s="162">
        <v>0</v>
      </c>
      <c r="D90" s="153" t="str">
        <v/>
      </c>
    </row>
    <row r="91" spans="1:4" x14ac:dyDescent="0.2">
      <c r="A91" s="203">
        <f t="shared" si="1"/>
        <v>0</v>
      </c>
      <c r="B91" s="153" t="str">
        <v/>
      </c>
      <c r="C91" s="162">
        <v>0</v>
      </c>
      <c r="D91" s="153" t="str">
        <v/>
      </c>
    </row>
    <row r="92" spans="1:4" x14ac:dyDescent="0.2">
      <c r="A92" s="203">
        <f t="shared" si="1"/>
        <v>0</v>
      </c>
      <c r="B92" s="153" t="str">
        <v/>
      </c>
      <c r="C92" s="162">
        <v>0</v>
      </c>
      <c r="D92" s="153" t="str">
        <v/>
      </c>
    </row>
    <row r="93" spans="1:4" x14ac:dyDescent="0.2">
      <c r="A93" s="203">
        <f t="shared" si="1"/>
        <v>0</v>
      </c>
      <c r="B93" s="153" t="str">
        <v/>
      </c>
      <c r="C93" s="162">
        <v>0</v>
      </c>
      <c r="D93" s="153" t="str">
        <v/>
      </c>
    </row>
    <row r="94" spans="1:4" x14ac:dyDescent="0.2">
      <c r="A94" s="203">
        <f t="shared" si="1"/>
        <v>0</v>
      </c>
      <c r="B94" s="153" t="str">
        <v/>
      </c>
      <c r="C94" s="162">
        <v>0</v>
      </c>
      <c r="D94" s="153" t="str">
        <v/>
      </c>
    </row>
    <row r="95" spans="1:4" x14ac:dyDescent="0.2">
      <c r="A95" s="203">
        <f t="shared" si="1"/>
        <v>0</v>
      </c>
      <c r="B95" s="153" t="str">
        <v/>
      </c>
      <c r="C95" s="162">
        <v>0</v>
      </c>
      <c r="D95" s="153" t="str">
        <v/>
      </c>
    </row>
    <row r="96" spans="1:4" x14ac:dyDescent="0.2">
      <c r="A96" s="203">
        <f t="shared" si="1"/>
        <v>0</v>
      </c>
      <c r="B96" s="153" t="str">
        <v/>
      </c>
      <c r="C96" s="162">
        <v>0</v>
      </c>
      <c r="D96" s="153" t="str">
        <v/>
      </c>
    </row>
    <row r="97" spans="1:4" x14ac:dyDescent="0.2">
      <c r="A97" s="203">
        <f t="shared" si="1"/>
        <v>0</v>
      </c>
      <c r="B97" s="153" t="str">
        <v/>
      </c>
      <c r="C97" s="162">
        <v>0</v>
      </c>
      <c r="D97" s="153" t="str">
        <v/>
      </c>
    </row>
    <row r="98" spans="1:4" x14ac:dyDescent="0.2">
      <c r="A98" s="203">
        <f t="shared" si="1"/>
        <v>0</v>
      </c>
      <c r="B98" s="153" t="str">
        <v/>
      </c>
      <c r="C98" s="162">
        <v>0</v>
      </c>
      <c r="D98" s="153" t="str">
        <v/>
      </c>
    </row>
    <row r="99" spans="1:4" x14ac:dyDescent="0.2">
      <c r="A99" s="203">
        <f t="shared" si="1"/>
        <v>0</v>
      </c>
      <c r="B99" s="153" t="str">
        <v/>
      </c>
      <c r="C99" s="162">
        <v>0</v>
      </c>
      <c r="D99" s="153" t="str">
        <v/>
      </c>
    </row>
    <row r="100" spans="1:4" x14ac:dyDescent="0.2">
      <c r="A100" s="203">
        <f t="shared" si="1"/>
        <v>0</v>
      </c>
      <c r="B100" s="153" t="str">
        <v/>
      </c>
      <c r="C100" s="162">
        <v>0</v>
      </c>
      <c r="D100" s="153" t="str">
        <v/>
      </c>
    </row>
    <row r="101" spans="1:4" x14ac:dyDescent="0.2">
      <c r="A101" s="203">
        <f t="shared" si="1"/>
        <v>0</v>
      </c>
      <c r="B101" s="153" t="str">
        <v/>
      </c>
      <c r="C101" s="162">
        <v>0</v>
      </c>
      <c r="D101" s="153" t="str">
        <v/>
      </c>
    </row>
    <row r="102" spans="1:4" x14ac:dyDescent="0.2">
      <c r="A102" s="203">
        <f t="shared" si="1"/>
        <v>0</v>
      </c>
      <c r="B102" s="153" t="str">
        <v/>
      </c>
      <c r="C102" s="162">
        <v>0</v>
      </c>
      <c r="D102" s="153" t="str">
        <v/>
      </c>
    </row>
    <row r="103" spans="1:4" x14ac:dyDescent="0.2">
      <c r="A103" s="203">
        <f t="shared" si="1"/>
        <v>0</v>
      </c>
      <c r="B103" s="153" t="str">
        <v/>
      </c>
      <c r="C103" s="162">
        <v>0</v>
      </c>
      <c r="D103" s="153" t="str">
        <v/>
      </c>
    </row>
    <row r="104" spans="1:4" x14ac:dyDescent="0.2">
      <c r="A104" s="203">
        <f t="shared" si="1"/>
        <v>0</v>
      </c>
      <c r="B104" s="153" t="str">
        <v/>
      </c>
      <c r="C104" s="162">
        <v>0</v>
      </c>
      <c r="D104" s="153" t="str">
        <v/>
      </c>
    </row>
    <row r="105" spans="1:4" x14ac:dyDescent="0.2">
      <c r="A105" s="203">
        <f t="shared" si="1"/>
        <v>0</v>
      </c>
      <c r="B105" s="153" t="str">
        <v/>
      </c>
      <c r="C105" s="162">
        <v>0</v>
      </c>
      <c r="D105" s="153" t="str">
        <v/>
      </c>
    </row>
    <row r="106" spans="1:4" x14ac:dyDescent="0.2">
      <c r="A106" s="203">
        <f t="shared" si="1"/>
        <v>0</v>
      </c>
      <c r="B106" s="153" t="str">
        <v/>
      </c>
      <c r="C106" s="162">
        <v>0</v>
      </c>
      <c r="D106" s="153" t="str">
        <v/>
      </c>
    </row>
    <row r="107" spans="1:4" x14ac:dyDescent="0.2">
      <c r="A107" s="203">
        <f t="shared" si="1"/>
        <v>0</v>
      </c>
      <c r="B107" s="153" t="str">
        <v/>
      </c>
      <c r="C107" s="162">
        <v>0</v>
      </c>
      <c r="D107" s="153" t="str">
        <v/>
      </c>
    </row>
    <row r="108" spans="1:4" x14ac:dyDescent="0.2">
      <c r="A108" s="203">
        <f t="shared" si="1"/>
        <v>0</v>
      </c>
      <c r="B108" s="153" t="str">
        <v/>
      </c>
      <c r="C108" s="162">
        <v>0</v>
      </c>
      <c r="D108" s="153" t="str">
        <v/>
      </c>
    </row>
    <row r="109" spans="1:4" x14ac:dyDescent="0.2">
      <c r="A109" s="203">
        <f t="shared" si="1"/>
        <v>0</v>
      </c>
      <c r="B109" s="153" t="str">
        <v/>
      </c>
      <c r="C109" s="162">
        <v>0</v>
      </c>
      <c r="D109" s="153" t="str">
        <v/>
      </c>
    </row>
    <row r="110" spans="1:4" x14ac:dyDescent="0.2">
      <c r="A110" s="203">
        <f t="shared" si="1"/>
        <v>0</v>
      </c>
      <c r="B110" s="153" t="str">
        <v/>
      </c>
      <c r="C110" s="162">
        <v>0</v>
      </c>
      <c r="D110" s="153" t="str">
        <v/>
      </c>
    </row>
    <row r="111" spans="1:4" x14ac:dyDescent="0.2">
      <c r="A111" s="203">
        <f t="shared" si="1"/>
        <v>0</v>
      </c>
      <c r="B111" s="153" t="str">
        <v/>
      </c>
      <c r="C111" s="162">
        <v>0</v>
      </c>
      <c r="D111" s="153" t="str">
        <v/>
      </c>
    </row>
    <row r="112" spans="1:4" x14ac:dyDescent="0.2">
      <c r="A112" s="203">
        <f t="shared" si="1"/>
        <v>0</v>
      </c>
      <c r="B112" s="153" t="str">
        <v/>
      </c>
      <c r="C112" s="162">
        <v>0</v>
      </c>
      <c r="D112" s="153" t="str">
        <v/>
      </c>
    </row>
    <row r="113" spans="1:4" x14ac:dyDescent="0.2">
      <c r="A113" s="203">
        <f t="shared" si="1"/>
        <v>0</v>
      </c>
      <c r="B113" s="153" t="str">
        <v/>
      </c>
      <c r="C113" s="162">
        <v>0</v>
      </c>
      <c r="D113" s="153" t="str">
        <v/>
      </c>
    </row>
    <row r="114" spans="1:4" x14ac:dyDescent="0.2">
      <c r="A114" s="203">
        <f t="shared" si="1"/>
        <v>0</v>
      </c>
      <c r="B114" s="153" t="str">
        <v/>
      </c>
      <c r="C114" s="162">
        <v>0</v>
      </c>
      <c r="D114" s="153" t="str">
        <v/>
      </c>
    </row>
    <row r="115" spans="1:4" x14ac:dyDescent="0.2">
      <c r="A115" s="203">
        <f t="shared" si="1"/>
        <v>0</v>
      </c>
      <c r="B115" s="153" t="str">
        <v/>
      </c>
      <c r="C115" s="162">
        <v>0</v>
      </c>
      <c r="D115" s="153" t="str">
        <v/>
      </c>
    </row>
    <row r="116" spans="1:4" x14ac:dyDescent="0.2">
      <c r="A116" s="203">
        <f t="shared" si="1"/>
        <v>0</v>
      </c>
      <c r="B116" s="153" t="str">
        <v/>
      </c>
      <c r="C116" s="162">
        <v>0</v>
      </c>
      <c r="D116" s="153" t="str">
        <v/>
      </c>
    </row>
    <row r="117" spans="1:4" x14ac:dyDescent="0.2">
      <c r="A117" s="203">
        <f t="shared" si="1"/>
        <v>0</v>
      </c>
      <c r="B117" s="153" t="str">
        <v/>
      </c>
      <c r="C117" s="162">
        <v>0</v>
      </c>
      <c r="D117" s="153" t="str">
        <v/>
      </c>
    </row>
    <row r="118" spans="1:4" x14ac:dyDescent="0.2">
      <c r="A118" s="203">
        <f t="shared" si="1"/>
        <v>0</v>
      </c>
      <c r="B118" s="153" t="str">
        <v/>
      </c>
      <c r="C118" s="162">
        <v>0</v>
      </c>
      <c r="D118" s="153" t="str">
        <v/>
      </c>
    </row>
    <row r="119" spans="1:4" x14ac:dyDescent="0.2">
      <c r="A119" s="203">
        <f t="shared" si="1"/>
        <v>0</v>
      </c>
      <c r="B119" s="153" t="str">
        <v/>
      </c>
      <c r="C119" s="162">
        <v>0</v>
      </c>
      <c r="D119" s="153" t="str">
        <v/>
      </c>
    </row>
    <row r="120" spans="1:4" x14ac:dyDescent="0.2">
      <c r="A120" s="203">
        <f t="shared" si="1"/>
        <v>0</v>
      </c>
      <c r="B120" s="153" t="str">
        <v/>
      </c>
      <c r="C120" s="162">
        <v>0</v>
      </c>
      <c r="D120" s="153" t="str">
        <v/>
      </c>
    </row>
    <row r="121" spans="1:4" x14ac:dyDescent="0.2">
      <c r="A121" s="203">
        <f t="shared" si="1"/>
        <v>0</v>
      </c>
      <c r="B121" s="153" t="str">
        <v/>
      </c>
      <c r="C121" s="162">
        <v>0</v>
      </c>
      <c r="D121" s="153" t="str">
        <v/>
      </c>
    </row>
    <row r="122" spans="1:4" x14ac:dyDescent="0.2">
      <c r="A122" s="203">
        <f t="shared" si="1"/>
        <v>0</v>
      </c>
      <c r="B122" s="153" t="str">
        <v/>
      </c>
      <c r="C122" s="162">
        <v>0</v>
      </c>
      <c r="D122" s="153" t="str">
        <v/>
      </c>
    </row>
    <row r="123" spans="1:4" x14ac:dyDescent="0.2">
      <c r="A123" s="203">
        <f t="shared" si="1"/>
        <v>0</v>
      </c>
      <c r="B123" s="153" t="str">
        <v/>
      </c>
      <c r="C123" s="162">
        <v>0</v>
      </c>
      <c r="D123" s="153" t="str">
        <v/>
      </c>
    </row>
    <row r="124" spans="1:4" x14ac:dyDescent="0.2">
      <c r="A124" s="203">
        <f t="shared" si="1"/>
        <v>0</v>
      </c>
      <c r="B124" s="153" t="str">
        <v/>
      </c>
      <c r="C124" s="162">
        <v>0</v>
      </c>
      <c r="D124" s="153" t="str">
        <v/>
      </c>
    </row>
    <row r="125" spans="1:4" x14ac:dyDescent="0.2">
      <c r="A125" s="203">
        <f t="shared" si="1"/>
        <v>0</v>
      </c>
      <c r="B125" s="153" t="str">
        <v/>
      </c>
      <c r="C125" s="162">
        <v>0</v>
      </c>
      <c r="D125" s="153" t="str">
        <v/>
      </c>
    </row>
    <row r="126" spans="1:4" x14ac:dyDescent="0.2">
      <c r="A126" s="203">
        <f t="shared" si="1"/>
        <v>0</v>
      </c>
      <c r="B126" s="153" t="str">
        <v/>
      </c>
      <c r="C126" s="162">
        <v>0</v>
      </c>
      <c r="D126" s="153" t="str">
        <v/>
      </c>
    </row>
    <row r="127" spans="1:4" x14ac:dyDescent="0.2">
      <c r="A127" s="203">
        <f t="shared" si="1"/>
        <v>0</v>
      </c>
      <c r="B127" s="153" t="str">
        <v/>
      </c>
      <c r="C127" s="162">
        <v>0</v>
      </c>
      <c r="D127" s="153" t="str">
        <v/>
      </c>
    </row>
    <row r="128" spans="1:4" x14ac:dyDescent="0.2">
      <c r="A128" s="203">
        <f t="shared" si="1"/>
        <v>0</v>
      </c>
      <c r="B128" s="153" t="str">
        <v/>
      </c>
      <c r="C128" s="162">
        <v>0</v>
      </c>
      <c r="D128" s="153" t="str">
        <v/>
      </c>
    </row>
    <row r="129" spans="1:4" x14ac:dyDescent="0.2">
      <c r="A129" s="203">
        <f t="shared" si="1"/>
        <v>0</v>
      </c>
      <c r="B129" s="153" t="str">
        <v/>
      </c>
      <c r="C129" s="162">
        <v>0</v>
      </c>
      <c r="D129" s="153" t="str">
        <v/>
      </c>
    </row>
    <row r="130" spans="1:4" x14ac:dyDescent="0.2">
      <c r="A130" s="203">
        <f t="shared" si="1"/>
        <v>0</v>
      </c>
      <c r="B130" s="153" t="str">
        <v/>
      </c>
      <c r="C130" s="162">
        <v>0</v>
      </c>
      <c r="D130" s="153" t="str">
        <v/>
      </c>
    </row>
    <row r="131" spans="1:4" x14ac:dyDescent="0.2">
      <c r="A131" s="203">
        <f t="shared" si="1"/>
        <v>0</v>
      </c>
      <c r="B131" s="153" t="str">
        <v/>
      </c>
      <c r="C131" s="162">
        <v>0</v>
      </c>
      <c r="D131" s="153" t="str">
        <v/>
      </c>
    </row>
    <row r="132" spans="1:4" x14ac:dyDescent="0.2">
      <c r="A132" s="203">
        <f t="shared" si="1"/>
        <v>0</v>
      </c>
      <c r="B132" s="153" t="str">
        <v/>
      </c>
      <c r="C132" s="162">
        <v>0</v>
      </c>
      <c r="D132" s="153" t="str">
        <v/>
      </c>
    </row>
    <row r="133" spans="1:4" x14ac:dyDescent="0.2">
      <c r="A133" s="203">
        <f t="shared" si="1"/>
        <v>0</v>
      </c>
      <c r="B133" s="153" t="str">
        <v/>
      </c>
      <c r="C133" s="162">
        <v>0</v>
      </c>
      <c r="D133" s="153" t="str">
        <v/>
      </c>
    </row>
    <row r="134" spans="1:4" x14ac:dyDescent="0.2">
      <c r="A134" s="203">
        <f t="shared" si="1"/>
        <v>0</v>
      </c>
      <c r="B134" s="153" t="str">
        <v/>
      </c>
      <c r="C134" s="162">
        <v>0</v>
      </c>
      <c r="D134" s="153" t="str">
        <v/>
      </c>
    </row>
    <row r="135" spans="1:4" x14ac:dyDescent="0.2">
      <c r="A135" s="203">
        <f t="shared" si="1"/>
        <v>0</v>
      </c>
      <c r="B135" s="153" t="str">
        <v/>
      </c>
      <c r="C135" s="162">
        <v>0</v>
      </c>
      <c r="D135" s="153" t="str">
        <v/>
      </c>
    </row>
    <row r="136" spans="1:4" x14ac:dyDescent="0.2">
      <c r="A136" s="203">
        <f t="shared" si="1"/>
        <v>0</v>
      </c>
      <c r="B136" s="160" t="s">
        <v>314</v>
      </c>
      <c r="C136" s="162">
        <f>SUMIF(VISOR!$D$9:$D$58,"Simples",VISOR!$G$9:$G$58)</f>
        <v>0</v>
      </c>
      <c r="D136" s="153"/>
    </row>
    <row r="137" spans="1:4" x14ac:dyDescent="0.2">
      <c r="A137" s="203">
        <v>1</v>
      </c>
      <c r="B137" s="153"/>
      <c r="C137" s="162"/>
      <c r="D137" s="153"/>
    </row>
    <row r="138" spans="1:4" x14ac:dyDescent="0.2">
      <c r="A138" s="203">
        <v>1</v>
      </c>
      <c r="B138" s="154" t="s">
        <v>485</v>
      </c>
      <c r="C138" s="154"/>
      <c r="D138" s="154"/>
    </row>
    <row r="139" spans="1:4" x14ac:dyDescent="0.2">
      <c r="A139" s="203">
        <v>1</v>
      </c>
      <c r="B139" s="153"/>
      <c r="C139" s="162"/>
      <c r="D139" s="153"/>
    </row>
    <row r="140" spans="1:4" x14ac:dyDescent="0.2">
      <c r="A140" s="203">
        <f t="shared" si="1"/>
        <v>0</v>
      </c>
      <c r="B140" s="153" t="str">
        <f t="array" ref="B140:B189">IF(TRANSPOSE(VISOR!$L$60:$BI$60)="Duplo",TRANSPOSE(VISOR!$L$61:$BI$61),"")</f>
        <v/>
      </c>
      <c r="C140" s="162">
        <f t="array" ref="C140:C189">IF(TRANSPOSE(VISOR!$L$60:$BI$60)="Duplo",TRANSPOSE(VISOR!$L$62:$BI$62),0)</f>
        <v>0</v>
      </c>
      <c r="D140" s="153" t="str">
        <f t="array" ref="D140:D189">IF(TRANSPOSE(VISOR!$L$60:$BI$60)="Duplo",TRANSPOSE(VISOR!$L$63:$BI$63),"")</f>
        <v/>
      </c>
    </row>
    <row r="141" spans="1:4" x14ac:dyDescent="0.2">
      <c r="A141" s="203">
        <f t="shared" ref="A141:A189" si="2">IF(C141=0,0,1)</f>
        <v>0</v>
      </c>
      <c r="B141" s="153" t="str">
        <v/>
      </c>
      <c r="C141" s="162">
        <v>0</v>
      </c>
      <c r="D141" s="153" t="str">
        <v/>
      </c>
    </row>
    <row r="142" spans="1:4" x14ac:dyDescent="0.2">
      <c r="A142" s="203">
        <f t="shared" si="2"/>
        <v>0</v>
      </c>
      <c r="B142" s="153" t="str">
        <v/>
      </c>
      <c r="C142" s="162">
        <v>0</v>
      </c>
      <c r="D142" s="153" t="str">
        <v/>
      </c>
    </row>
    <row r="143" spans="1:4" x14ac:dyDescent="0.2">
      <c r="A143" s="203">
        <f t="shared" si="2"/>
        <v>0</v>
      </c>
      <c r="B143" s="153" t="str">
        <v/>
      </c>
      <c r="C143" s="162">
        <v>0</v>
      </c>
      <c r="D143" s="153" t="str">
        <v/>
      </c>
    </row>
    <row r="144" spans="1:4" x14ac:dyDescent="0.2">
      <c r="A144" s="203">
        <f t="shared" si="2"/>
        <v>0</v>
      </c>
      <c r="B144" s="153" t="str">
        <v/>
      </c>
      <c r="C144" s="162">
        <v>0</v>
      </c>
      <c r="D144" s="153" t="str">
        <v/>
      </c>
    </row>
    <row r="145" spans="1:4" x14ac:dyDescent="0.2">
      <c r="A145" s="203">
        <f t="shared" si="2"/>
        <v>0</v>
      </c>
      <c r="B145" s="153" t="str">
        <v/>
      </c>
      <c r="C145" s="162">
        <v>0</v>
      </c>
      <c r="D145" s="153" t="str">
        <v/>
      </c>
    </row>
    <row r="146" spans="1:4" x14ac:dyDescent="0.2">
      <c r="A146" s="203">
        <f t="shared" si="2"/>
        <v>0</v>
      </c>
      <c r="B146" s="153" t="str">
        <v/>
      </c>
      <c r="C146" s="162">
        <v>0</v>
      </c>
      <c r="D146" s="153" t="str">
        <v/>
      </c>
    </row>
    <row r="147" spans="1:4" x14ac:dyDescent="0.2">
      <c r="A147" s="203">
        <f t="shared" si="2"/>
        <v>0</v>
      </c>
      <c r="B147" s="153" t="str">
        <v/>
      </c>
      <c r="C147" s="162">
        <v>0</v>
      </c>
      <c r="D147" s="153" t="str">
        <v/>
      </c>
    </row>
    <row r="148" spans="1:4" x14ac:dyDescent="0.2">
      <c r="A148" s="203">
        <f t="shared" si="2"/>
        <v>0</v>
      </c>
      <c r="B148" s="153" t="str">
        <v/>
      </c>
      <c r="C148" s="162">
        <v>0</v>
      </c>
      <c r="D148" s="153" t="str">
        <v/>
      </c>
    </row>
    <row r="149" spans="1:4" x14ac:dyDescent="0.2">
      <c r="A149" s="203">
        <f t="shared" si="2"/>
        <v>0</v>
      </c>
      <c r="B149" s="153" t="str">
        <v/>
      </c>
      <c r="C149" s="162">
        <v>0</v>
      </c>
      <c r="D149" s="153" t="str">
        <v/>
      </c>
    </row>
    <row r="150" spans="1:4" x14ac:dyDescent="0.2">
      <c r="A150" s="203">
        <f t="shared" si="2"/>
        <v>0</v>
      </c>
      <c r="B150" s="153" t="str">
        <v/>
      </c>
      <c r="C150" s="162">
        <v>0</v>
      </c>
      <c r="D150" s="153" t="str">
        <v/>
      </c>
    </row>
    <row r="151" spans="1:4" x14ac:dyDescent="0.2">
      <c r="A151" s="203">
        <f t="shared" si="2"/>
        <v>0</v>
      </c>
      <c r="B151" s="153" t="str">
        <v/>
      </c>
      <c r="C151" s="162">
        <v>0</v>
      </c>
      <c r="D151" s="153" t="str">
        <v/>
      </c>
    </row>
    <row r="152" spans="1:4" x14ac:dyDescent="0.2">
      <c r="A152" s="203">
        <f t="shared" si="2"/>
        <v>0</v>
      </c>
      <c r="B152" s="153" t="str">
        <v/>
      </c>
      <c r="C152" s="162">
        <v>0</v>
      </c>
      <c r="D152" s="153" t="str">
        <v/>
      </c>
    </row>
    <row r="153" spans="1:4" x14ac:dyDescent="0.2">
      <c r="A153" s="203">
        <f t="shared" si="2"/>
        <v>0</v>
      </c>
      <c r="B153" s="153" t="str">
        <v/>
      </c>
      <c r="C153" s="162">
        <v>0</v>
      </c>
      <c r="D153" s="153" t="str">
        <v/>
      </c>
    </row>
    <row r="154" spans="1:4" x14ac:dyDescent="0.2">
      <c r="A154" s="203">
        <f t="shared" si="2"/>
        <v>0</v>
      </c>
      <c r="B154" s="153" t="str">
        <v/>
      </c>
      <c r="C154" s="162">
        <v>0</v>
      </c>
      <c r="D154" s="153" t="str">
        <v/>
      </c>
    </row>
    <row r="155" spans="1:4" x14ac:dyDescent="0.2">
      <c r="A155" s="203">
        <f t="shared" si="2"/>
        <v>0</v>
      </c>
      <c r="B155" s="153" t="str">
        <v/>
      </c>
      <c r="C155" s="162">
        <v>0</v>
      </c>
      <c r="D155" s="153" t="str">
        <v/>
      </c>
    </row>
    <row r="156" spans="1:4" x14ac:dyDescent="0.2">
      <c r="A156" s="203">
        <f t="shared" si="2"/>
        <v>0</v>
      </c>
      <c r="B156" s="153" t="str">
        <v/>
      </c>
      <c r="C156" s="162">
        <v>0</v>
      </c>
      <c r="D156" s="153" t="str">
        <v/>
      </c>
    </row>
    <row r="157" spans="1:4" x14ac:dyDescent="0.2">
      <c r="A157" s="203">
        <f t="shared" si="2"/>
        <v>0</v>
      </c>
      <c r="B157" s="153" t="str">
        <v/>
      </c>
      <c r="C157" s="162">
        <v>0</v>
      </c>
      <c r="D157" s="153" t="str">
        <v/>
      </c>
    </row>
    <row r="158" spans="1:4" x14ac:dyDescent="0.2">
      <c r="A158" s="203">
        <f t="shared" si="2"/>
        <v>0</v>
      </c>
      <c r="B158" s="153" t="str">
        <v/>
      </c>
      <c r="C158" s="162">
        <v>0</v>
      </c>
      <c r="D158" s="153" t="str">
        <v/>
      </c>
    </row>
    <row r="159" spans="1:4" x14ac:dyDescent="0.2">
      <c r="A159" s="203">
        <f t="shared" si="2"/>
        <v>0</v>
      </c>
      <c r="B159" s="153" t="str">
        <v/>
      </c>
      <c r="C159" s="162">
        <v>0</v>
      </c>
      <c r="D159" s="153" t="str">
        <v/>
      </c>
    </row>
    <row r="160" spans="1:4" x14ac:dyDescent="0.2">
      <c r="A160" s="203">
        <f t="shared" si="2"/>
        <v>0</v>
      </c>
      <c r="B160" s="153" t="str">
        <v/>
      </c>
      <c r="C160" s="162">
        <v>0</v>
      </c>
      <c r="D160" s="153" t="str">
        <v/>
      </c>
    </row>
    <row r="161" spans="1:4" x14ac:dyDescent="0.2">
      <c r="A161" s="203">
        <f t="shared" si="2"/>
        <v>0</v>
      </c>
      <c r="B161" s="153" t="str">
        <v/>
      </c>
      <c r="C161" s="162">
        <v>0</v>
      </c>
      <c r="D161" s="153" t="str">
        <v/>
      </c>
    </row>
    <row r="162" spans="1:4" x14ac:dyDescent="0.2">
      <c r="A162" s="203">
        <f t="shared" si="2"/>
        <v>0</v>
      </c>
      <c r="B162" s="153" t="str">
        <v/>
      </c>
      <c r="C162" s="162">
        <v>0</v>
      </c>
      <c r="D162" s="153" t="str">
        <v/>
      </c>
    </row>
    <row r="163" spans="1:4" x14ac:dyDescent="0.2">
      <c r="A163" s="203">
        <f t="shared" si="2"/>
        <v>0</v>
      </c>
      <c r="B163" s="153" t="str">
        <v/>
      </c>
      <c r="C163" s="162">
        <v>0</v>
      </c>
      <c r="D163" s="153" t="str">
        <v/>
      </c>
    </row>
    <row r="164" spans="1:4" x14ac:dyDescent="0.2">
      <c r="A164" s="203">
        <f t="shared" si="2"/>
        <v>0</v>
      </c>
      <c r="B164" s="153" t="str">
        <v/>
      </c>
      <c r="C164" s="162">
        <v>0</v>
      </c>
      <c r="D164" s="153" t="str">
        <v/>
      </c>
    </row>
    <row r="165" spans="1:4" x14ac:dyDescent="0.2">
      <c r="A165" s="203">
        <f t="shared" si="2"/>
        <v>0</v>
      </c>
      <c r="B165" s="153" t="str">
        <v/>
      </c>
      <c r="C165" s="162">
        <v>0</v>
      </c>
      <c r="D165" s="153" t="str">
        <v/>
      </c>
    </row>
    <row r="166" spans="1:4" x14ac:dyDescent="0.2">
      <c r="A166" s="203">
        <f t="shared" si="2"/>
        <v>0</v>
      </c>
      <c r="B166" s="153" t="str">
        <v/>
      </c>
      <c r="C166" s="162">
        <v>0</v>
      </c>
      <c r="D166" s="153" t="str">
        <v/>
      </c>
    </row>
    <row r="167" spans="1:4" x14ac:dyDescent="0.2">
      <c r="A167" s="203">
        <f t="shared" si="2"/>
        <v>0</v>
      </c>
      <c r="B167" s="153" t="str">
        <v/>
      </c>
      <c r="C167" s="162">
        <v>0</v>
      </c>
      <c r="D167" s="153" t="str">
        <v/>
      </c>
    </row>
    <row r="168" spans="1:4" x14ac:dyDescent="0.2">
      <c r="A168" s="203">
        <f t="shared" si="2"/>
        <v>0</v>
      </c>
      <c r="B168" s="153" t="str">
        <v/>
      </c>
      <c r="C168" s="162">
        <v>0</v>
      </c>
      <c r="D168" s="153" t="str">
        <v/>
      </c>
    </row>
    <row r="169" spans="1:4" x14ac:dyDescent="0.2">
      <c r="A169" s="203">
        <f t="shared" si="2"/>
        <v>0</v>
      </c>
      <c r="B169" s="153" t="str">
        <v/>
      </c>
      <c r="C169" s="162">
        <v>0</v>
      </c>
      <c r="D169" s="153" t="str">
        <v/>
      </c>
    </row>
    <row r="170" spans="1:4" x14ac:dyDescent="0.2">
      <c r="A170" s="203">
        <f t="shared" si="2"/>
        <v>0</v>
      </c>
      <c r="B170" s="153" t="str">
        <v/>
      </c>
      <c r="C170" s="162">
        <v>0</v>
      </c>
      <c r="D170" s="153" t="str">
        <v/>
      </c>
    </row>
    <row r="171" spans="1:4" x14ac:dyDescent="0.2">
      <c r="A171" s="203">
        <f t="shared" si="2"/>
        <v>0</v>
      </c>
      <c r="B171" s="153" t="str">
        <v/>
      </c>
      <c r="C171" s="162">
        <v>0</v>
      </c>
      <c r="D171" s="153" t="str">
        <v/>
      </c>
    </row>
    <row r="172" spans="1:4" x14ac:dyDescent="0.2">
      <c r="A172" s="203">
        <f t="shared" si="2"/>
        <v>0</v>
      </c>
      <c r="B172" s="153" t="str">
        <v/>
      </c>
      <c r="C172" s="162">
        <v>0</v>
      </c>
      <c r="D172" s="153" t="str">
        <v/>
      </c>
    </row>
    <row r="173" spans="1:4" x14ac:dyDescent="0.2">
      <c r="A173" s="203">
        <f t="shared" si="2"/>
        <v>0</v>
      </c>
      <c r="B173" s="153" t="str">
        <v/>
      </c>
      <c r="C173" s="162">
        <v>0</v>
      </c>
      <c r="D173" s="153" t="str">
        <v/>
      </c>
    </row>
    <row r="174" spans="1:4" x14ac:dyDescent="0.2">
      <c r="A174" s="203">
        <f t="shared" si="2"/>
        <v>0</v>
      </c>
      <c r="B174" s="153" t="str">
        <v/>
      </c>
      <c r="C174" s="162">
        <v>0</v>
      </c>
      <c r="D174" s="153" t="str">
        <v/>
      </c>
    </row>
    <row r="175" spans="1:4" x14ac:dyDescent="0.2">
      <c r="A175" s="203">
        <f t="shared" si="2"/>
        <v>0</v>
      </c>
      <c r="B175" s="153" t="str">
        <v/>
      </c>
      <c r="C175" s="162">
        <v>0</v>
      </c>
      <c r="D175" s="153" t="str">
        <v/>
      </c>
    </row>
    <row r="176" spans="1:4" x14ac:dyDescent="0.2">
      <c r="A176" s="203">
        <f t="shared" si="2"/>
        <v>0</v>
      </c>
      <c r="B176" s="153" t="str">
        <v/>
      </c>
      <c r="C176" s="162">
        <v>0</v>
      </c>
      <c r="D176" s="153" t="str">
        <v/>
      </c>
    </row>
    <row r="177" spans="1:4" x14ac:dyDescent="0.2">
      <c r="A177" s="203">
        <f t="shared" si="2"/>
        <v>0</v>
      </c>
      <c r="B177" s="153" t="str">
        <v/>
      </c>
      <c r="C177" s="162">
        <v>0</v>
      </c>
      <c r="D177" s="153" t="str">
        <v/>
      </c>
    </row>
    <row r="178" spans="1:4" x14ac:dyDescent="0.2">
      <c r="A178" s="203">
        <f t="shared" si="2"/>
        <v>0</v>
      </c>
      <c r="B178" s="153" t="str">
        <v/>
      </c>
      <c r="C178" s="162">
        <v>0</v>
      </c>
      <c r="D178" s="153" t="str">
        <v/>
      </c>
    </row>
    <row r="179" spans="1:4" x14ac:dyDescent="0.2">
      <c r="A179" s="203">
        <f t="shared" si="2"/>
        <v>0</v>
      </c>
      <c r="B179" s="153" t="str">
        <v/>
      </c>
      <c r="C179" s="162">
        <v>0</v>
      </c>
      <c r="D179" s="153" t="str">
        <v/>
      </c>
    </row>
    <row r="180" spans="1:4" x14ac:dyDescent="0.2">
      <c r="A180" s="203">
        <f t="shared" si="2"/>
        <v>0</v>
      </c>
      <c r="B180" s="153" t="str">
        <v/>
      </c>
      <c r="C180" s="162">
        <v>0</v>
      </c>
      <c r="D180" s="153" t="str">
        <v/>
      </c>
    </row>
    <row r="181" spans="1:4" x14ac:dyDescent="0.2">
      <c r="A181" s="203">
        <f t="shared" si="2"/>
        <v>0</v>
      </c>
      <c r="B181" s="153" t="str">
        <v/>
      </c>
      <c r="C181" s="162">
        <v>0</v>
      </c>
      <c r="D181" s="153" t="str">
        <v/>
      </c>
    </row>
    <row r="182" spans="1:4" x14ac:dyDescent="0.2">
      <c r="A182" s="203">
        <f t="shared" si="2"/>
        <v>0</v>
      </c>
      <c r="B182" s="153" t="str">
        <v/>
      </c>
      <c r="C182" s="162">
        <v>0</v>
      </c>
      <c r="D182" s="153" t="str">
        <v/>
      </c>
    </row>
    <row r="183" spans="1:4" x14ac:dyDescent="0.2">
      <c r="A183" s="203">
        <f t="shared" si="2"/>
        <v>0</v>
      </c>
      <c r="B183" s="153" t="str">
        <v/>
      </c>
      <c r="C183" s="162">
        <v>0</v>
      </c>
      <c r="D183" s="153" t="str">
        <v/>
      </c>
    </row>
    <row r="184" spans="1:4" x14ac:dyDescent="0.2">
      <c r="A184" s="203">
        <f t="shared" si="2"/>
        <v>0</v>
      </c>
      <c r="B184" s="153" t="str">
        <v/>
      </c>
      <c r="C184" s="162">
        <v>0</v>
      </c>
      <c r="D184" s="153" t="str">
        <v/>
      </c>
    </row>
    <row r="185" spans="1:4" x14ac:dyDescent="0.2">
      <c r="A185" s="203">
        <f t="shared" si="2"/>
        <v>0</v>
      </c>
      <c r="B185" s="153" t="str">
        <v/>
      </c>
      <c r="C185" s="162">
        <v>0</v>
      </c>
      <c r="D185" s="153" t="str">
        <v/>
      </c>
    </row>
    <row r="186" spans="1:4" x14ac:dyDescent="0.2">
      <c r="A186" s="203">
        <f t="shared" si="2"/>
        <v>0</v>
      </c>
      <c r="B186" s="153" t="str">
        <v/>
      </c>
      <c r="C186" s="162">
        <v>0</v>
      </c>
      <c r="D186" s="153" t="str">
        <v/>
      </c>
    </row>
    <row r="187" spans="1:4" x14ac:dyDescent="0.2">
      <c r="A187" s="203">
        <f t="shared" si="2"/>
        <v>0</v>
      </c>
      <c r="B187" s="153" t="str">
        <v/>
      </c>
      <c r="C187" s="162">
        <v>0</v>
      </c>
      <c r="D187" s="153" t="str">
        <v/>
      </c>
    </row>
    <row r="188" spans="1:4" x14ac:dyDescent="0.2">
      <c r="A188" s="203">
        <f t="shared" si="2"/>
        <v>0</v>
      </c>
      <c r="B188" s="153" t="str">
        <v/>
      </c>
      <c r="C188" s="162">
        <v>0</v>
      </c>
      <c r="D188" s="153" t="str">
        <v/>
      </c>
    </row>
    <row r="189" spans="1:4" x14ac:dyDescent="0.2">
      <c r="A189" s="203">
        <f t="shared" si="2"/>
        <v>0</v>
      </c>
      <c r="B189" s="153" t="str">
        <v/>
      </c>
      <c r="C189" s="162">
        <v>0</v>
      </c>
      <c r="D189" s="153" t="str">
        <v/>
      </c>
    </row>
    <row r="190" spans="1:4" x14ac:dyDescent="0.2">
      <c r="A190" s="203">
        <f t="shared" si="1"/>
        <v>0</v>
      </c>
      <c r="B190" s="160" t="s">
        <v>314</v>
      </c>
      <c r="C190" s="162">
        <f>SUMIF(VISOR!$D$9:$D$58,"Duplo",VISOR!$G$9:$G$58)</f>
        <v>0</v>
      </c>
      <c r="D190" s="153"/>
    </row>
    <row r="191" spans="1:4" x14ac:dyDescent="0.2">
      <c r="A191" s="203">
        <v>1</v>
      </c>
      <c r="B191" s="153"/>
      <c r="C191" s="162"/>
      <c r="D191" s="153"/>
    </row>
    <row r="192" spans="1:4" x14ac:dyDescent="0.2">
      <c r="A192" s="203">
        <v>1</v>
      </c>
      <c r="B192" s="154" t="s">
        <v>486</v>
      </c>
      <c r="C192" s="154"/>
      <c r="D192" s="154"/>
    </row>
    <row r="193" spans="1:4" x14ac:dyDescent="0.2">
      <c r="A193" s="203">
        <v>1</v>
      </c>
      <c r="B193" s="153"/>
      <c r="C193" s="162"/>
      <c r="D193" s="153"/>
    </row>
    <row r="194" spans="1:4" x14ac:dyDescent="0.2">
      <c r="A194" s="203">
        <f t="shared" ref="A194:A244" si="3">IF(C194=0,0,1)</f>
        <v>0</v>
      </c>
      <c r="B194" s="153" t="str">
        <f t="array" ref="B194:B243">IF(TRANSPOSE(VISOR!$L$60:$BI$60)="Térmico",TRANSPOSE(VISOR!$L$61:$BI$61),"")</f>
        <v/>
      </c>
      <c r="C194" s="162">
        <f t="array" ref="C194:C243">IF(TRANSPOSE(VISOR!$L$60:$BI$60)="Térmico",TRANSPOSE(VISOR!$L$62:$BI$62),0)</f>
        <v>0</v>
      </c>
      <c r="D194" s="153" t="str">
        <f t="array" ref="D194:D243">IF(TRANSPOSE(VISOR!$L$60:$BI$60)="Térmico",TRANSPOSE(VISOR!$L$63:$BI$63),"")</f>
        <v/>
      </c>
    </row>
    <row r="195" spans="1:4" x14ac:dyDescent="0.2">
      <c r="A195" s="203">
        <f t="shared" si="3"/>
        <v>0</v>
      </c>
      <c r="B195" s="153" t="str">
        <v/>
      </c>
      <c r="C195" s="162">
        <v>0</v>
      </c>
      <c r="D195" s="153" t="str">
        <v/>
      </c>
    </row>
    <row r="196" spans="1:4" x14ac:dyDescent="0.2">
      <c r="A196" s="203">
        <f t="shared" si="3"/>
        <v>0</v>
      </c>
      <c r="B196" s="153" t="str">
        <v/>
      </c>
      <c r="C196" s="162">
        <v>0</v>
      </c>
      <c r="D196" s="153" t="str">
        <v/>
      </c>
    </row>
    <row r="197" spans="1:4" x14ac:dyDescent="0.2">
      <c r="A197" s="203">
        <f t="shared" si="3"/>
        <v>0</v>
      </c>
      <c r="B197" s="153" t="str">
        <v/>
      </c>
      <c r="C197" s="162">
        <v>0</v>
      </c>
      <c r="D197" s="153" t="str">
        <v/>
      </c>
    </row>
    <row r="198" spans="1:4" x14ac:dyDescent="0.2">
      <c r="A198" s="203">
        <f t="shared" si="3"/>
        <v>0</v>
      </c>
      <c r="B198" s="153" t="str">
        <v/>
      </c>
      <c r="C198" s="162">
        <v>0</v>
      </c>
      <c r="D198" s="153" t="str">
        <v/>
      </c>
    </row>
    <row r="199" spans="1:4" x14ac:dyDescent="0.2">
      <c r="A199" s="203">
        <f t="shared" si="3"/>
        <v>0</v>
      </c>
      <c r="B199" s="153" t="str">
        <v/>
      </c>
      <c r="C199" s="162">
        <v>0</v>
      </c>
      <c r="D199" s="153" t="str">
        <v/>
      </c>
    </row>
    <row r="200" spans="1:4" x14ac:dyDescent="0.2">
      <c r="A200" s="203">
        <f t="shared" si="3"/>
        <v>0</v>
      </c>
      <c r="B200" s="153" t="str">
        <v/>
      </c>
      <c r="C200" s="162">
        <v>0</v>
      </c>
      <c r="D200" s="153" t="str">
        <v/>
      </c>
    </row>
    <row r="201" spans="1:4" x14ac:dyDescent="0.2">
      <c r="A201" s="203">
        <f t="shared" si="3"/>
        <v>0</v>
      </c>
      <c r="B201" s="153" t="str">
        <v/>
      </c>
      <c r="C201" s="162">
        <v>0</v>
      </c>
      <c r="D201" s="153" t="str">
        <v/>
      </c>
    </row>
    <row r="202" spans="1:4" x14ac:dyDescent="0.2">
      <c r="A202" s="203">
        <f t="shared" si="3"/>
        <v>0</v>
      </c>
      <c r="B202" s="153" t="str">
        <v/>
      </c>
      <c r="C202" s="162">
        <v>0</v>
      </c>
      <c r="D202" s="153" t="str">
        <v/>
      </c>
    </row>
    <row r="203" spans="1:4" x14ac:dyDescent="0.2">
      <c r="A203" s="203">
        <f t="shared" si="3"/>
        <v>0</v>
      </c>
      <c r="B203" s="153" t="str">
        <v/>
      </c>
      <c r="C203" s="162">
        <v>0</v>
      </c>
      <c r="D203" s="153" t="str">
        <v/>
      </c>
    </row>
    <row r="204" spans="1:4" x14ac:dyDescent="0.2">
      <c r="A204" s="203">
        <f t="shared" si="3"/>
        <v>0</v>
      </c>
      <c r="B204" s="153" t="str">
        <v/>
      </c>
      <c r="C204" s="162">
        <v>0</v>
      </c>
      <c r="D204" s="153" t="str">
        <v/>
      </c>
    </row>
    <row r="205" spans="1:4" x14ac:dyDescent="0.2">
      <c r="A205" s="203">
        <f t="shared" si="3"/>
        <v>0</v>
      </c>
      <c r="B205" s="153" t="str">
        <v/>
      </c>
      <c r="C205" s="162">
        <v>0</v>
      </c>
      <c r="D205" s="153" t="str">
        <v/>
      </c>
    </row>
    <row r="206" spans="1:4" x14ac:dyDescent="0.2">
      <c r="A206" s="203">
        <f t="shared" si="3"/>
        <v>0</v>
      </c>
      <c r="B206" s="153" t="str">
        <v/>
      </c>
      <c r="C206" s="162">
        <v>0</v>
      </c>
      <c r="D206" s="153" t="str">
        <v/>
      </c>
    </row>
    <row r="207" spans="1:4" x14ac:dyDescent="0.2">
      <c r="A207" s="203">
        <f t="shared" si="3"/>
        <v>0</v>
      </c>
      <c r="B207" s="153" t="str">
        <v/>
      </c>
      <c r="C207" s="162">
        <v>0</v>
      </c>
      <c r="D207" s="153" t="str">
        <v/>
      </c>
    </row>
    <row r="208" spans="1:4" x14ac:dyDescent="0.2">
      <c r="A208" s="203">
        <f t="shared" si="3"/>
        <v>0</v>
      </c>
      <c r="B208" s="153" t="str">
        <v/>
      </c>
      <c r="C208" s="162">
        <v>0</v>
      </c>
      <c r="D208" s="153" t="str">
        <v/>
      </c>
    </row>
    <row r="209" spans="1:4" x14ac:dyDescent="0.2">
      <c r="A209" s="203">
        <f t="shared" si="3"/>
        <v>0</v>
      </c>
      <c r="B209" s="153" t="str">
        <v/>
      </c>
      <c r="C209" s="162">
        <v>0</v>
      </c>
      <c r="D209" s="153" t="str">
        <v/>
      </c>
    </row>
    <row r="210" spans="1:4" x14ac:dyDescent="0.2">
      <c r="A210" s="203">
        <f t="shared" si="3"/>
        <v>0</v>
      </c>
      <c r="B210" s="153" t="str">
        <v/>
      </c>
      <c r="C210" s="162">
        <v>0</v>
      </c>
      <c r="D210" s="153" t="str">
        <v/>
      </c>
    </row>
    <row r="211" spans="1:4" x14ac:dyDescent="0.2">
      <c r="A211" s="203">
        <f t="shared" si="3"/>
        <v>0</v>
      </c>
      <c r="B211" s="153" t="str">
        <v/>
      </c>
      <c r="C211" s="162">
        <v>0</v>
      </c>
      <c r="D211" s="153" t="str">
        <v/>
      </c>
    </row>
    <row r="212" spans="1:4" x14ac:dyDescent="0.2">
      <c r="A212" s="203">
        <f t="shared" si="3"/>
        <v>0</v>
      </c>
      <c r="B212" s="153" t="str">
        <v/>
      </c>
      <c r="C212" s="162">
        <v>0</v>
      </c>
      <c r="D212" s="153" t="str">
        <v/>
      </c>
    </row>
    <row r="213" spans="1:4" x14ac:dyDescent="0.2">
      <c r="A213" s="203">
        <f t="shared" si="3"/>
        <v>0</v>
      </c>
      <c r="B213" s="153" t="str">
        <v/>
      </c>
      <c r="C213" s="162">
        <v>0</v>
      </c>
      <c r="D213" s="153" t="str">
        <v/>
      </c>
    </row>
    <row r="214" spans="1:4" x14ac:dyDescent="0.2">
      <c r="A214" s="203">
        <f t="shared" si="3"/>
        <v>0</v>
      </c>
      <c r="B214" s="153" t="str">
        <v/>
      </c>
      <c r="C214" s="162">
        <v>0</v>
      </c>
      <c r="D214" s="153" t="str">
        <v/>
      </c>
    </row>
    <row r="215" spans="1:4" x14ac:dyDescent="0.2">
      <c r="A215" s="203">
        <f t="shared" si="3"/>
        <v>0</v>
      </c>
      <c r="B215" s="153" t="str">
        <v/>
      </c>
      <c r="C215" s="162">
        <v>0</v>
      </c>
      <c r="D215" s="153" t="str">
        <v/>
      </c>
    </row>
    <row r="216" spans="1:4" x14ac:dyDescent="0.2">
      <c r="A216" s="203">
        <f t="shared" si="3"/>
        <v>0</v>
      </c>
      <c r="B216" s="153" t="str">
        <v/>
      </c>
      <c r="C216" s="162">
        <v>0</v>
      </c>
      <c r="D216" s="153" t="str">
        <v/>
      </c>
    </row>
    <row r="217" spans="1:4" x14ac:dyDescent="0.2">
      <c r="A217" s="203">
        <f t="shared" si="3"/>
        <v>0</v>
      </c>
      <c r="B217" s="153" t="str">
        <v/>
      </c>
      <c r="C217" s="162">
        <v>0</v>
      </c>
      <c r="D217" s="153" t="str">
        <v/>
      </c>
    </row>
    <row r="218" spans="1:4" x14ac:dyDescent="0.2">
      <c r="A218" s="203">
        <f t="shared" si="3"/>
        <v>0</v>
      </c>
      <c r="B218" s="153" t="str">
        <v/>
      </c>
      <c r="C218" s="162">
        <v>0</v>
      </c>
      <c r="D218" s="153" t="str">
        <v/>
      </c>
    </row>
    <row r="219" spans="1:4" x14ac:dyDescent="0.2">
      <c r="A219" s="203">
        <f t="shared" si="3"/>
        <v>0</v>
      </c>
      <c r="B219" s="153" t="str">
        <v/>
      </c>
      <c r="C219" s="162">
        <v>0</v>
      </c>
      <c r="D219" s="153" t="str">
        <v/>
      </c>
    </row>
    <row r="220" spans="1:4" x14ac:dyDescent="0.2">
      <c r="A220" s="203">
        <f t="shared" si="3"/>
        <v>0</v>
      </c>
      <c r="B220" s="153" t="str">
        <v/>
      </c>
      <c r="C220" s="162">
        <v>0</v>
      </c>
      <c r="D220" s="153" t="str">
        <v/>
      </c>
    </row>
    <row r="221" spans="1:4" x14ac:dyDescent="0.2">
      <c r="A221" s="203">
        <f t="shared" si="3"/>
        <v>0</v>
      </c>
      <c r="B221" s="153" t="str">
        <v/>
      </c>
      <c r="C221" s="162">
        <v>0</v>
      </c>
      <c r="D221" s="153" t="str">
        <v/>
      </c>
    </row>
    <row r="222" spans="1:4" x14ac:dyDescent="0.2">
      <c r="A222" s="203">
        <f t="shared" si="3"/>
        <v>0</v>
      </c>
      <c r="B222" s="153" t="str">
        <v/>
      </c>
      <c r="C222" s="162">
        <v>0</v>
      </c>
      <c r="D222" s="153" t="str">
        <v/>
      </c>
    </row>
    <row r="223" spans="1:4" x14ac:dyDescent="0.2">
      <c r="A223" s="203">
        <f t="shared" si="3"/>
        <v>0</v>
      </c>
      <c r="B223" s="153" t="str">
        <v/>
      </c>
      <c r="C223" s="162">
        <v>0</v>
      </c>
      <c r="D223" s="153" t="str">
        <v/>
      </c>
    </row>
    <row r="224" spans="1:4" x14ac:dyDescent="0.2">
      <c r="A224" s="203">
        <f t="shared" si="3"/>
        <v>0</v>
      </c>
      <c r="B224" s="153" t="str">
        <v/>
      </c>
      <c r="C224" s="162">
        <v>0</v>
      </c>
      <c r="D224" s="153" t="str">
        <v/>
      </c>
    </row>
    <row r="225" spans="1:4" x14ac:dyDescent="0.2">
      <c r="A225" s="203">
        <f t="shared" si="3"/>
        <v>0</v>
      </c>
      <c r="B225" s="153" t="str">
        <v/>
      </c>
      <c r="C225" s="162">
        <v>0</v>
      </c>
      <c r="D225" s="153" t="str">
        <v/>
      </c>
    </row>
    <row r="226" spans="1:4" x14ac:dyDescent="0.2">
      <c r="A226" s="203">
        <f t="shared" si="3"/>
        <v>0</v>
      </c>
      <c r="B226" s="153" t="str">
        <v/>
      </c>
      <c r="C226" s="162">
        <v>0</v>
      </c>
      <c r="D226" s="153" t="str">
        <v/>
      </c>
    </row>
    <row r="227" spans="1:4" x14ac:dyDescent="0.2">
      <c r="A227" s="203">
        <f t="shared" si="3"/>
        <v>0</v>
      </c>
      <c r="B227" s="153" t="str">
        <v/>
      </c>
      <c r="C227" s="162">
        <v>0</v>
      </c>
      <c r="D227" s="153" t="str">
        <v/>
      </c>
    </row>
    <row r="228" spans="1:4" x14ac:dyDescent="0.2">
      <c r="A228" s="203">
        <f t="shared" si="3"/>
        <v>0</v>
      </c>
      <c r="B228" s="153" t="str">
        <v/>
      </c>
      <c r="C228" s="162">
        <v>0</v>
      </c>
      <c r="D228" s="153" t="str">
        <v/>
      </c>
    </row>
    <row r="229" spans="1:4" x14ac:dyDescent="0.2">
      <c r="A229" s="203">
        <f t="shared" si="3"/>
        <v>0</v>
      </c>
      <c r="B229" s="153" t="str">
        <v/>
      </c>
      <c r="C229" s="162">
        <v>0</v>
      </c>
      <c r="D229" s="153" t="str">
        <v/>
      </c>
    </row>
    <row r="230" spans="1:4" x14ac:dyDescent="0.2">
      <c r="A230" s="203">
        <f t="shared" si="3"/>
        <v>0</v>
      </c>
      <c r="B230" s="153" t="str">
        <v/>
      </c>
      <c r="C230" s="162">
        <v>0</v>
      </c>
      <c r="D230" s="153" t="str">
        <v/>
      </c>
    </row>
    <row r="231" spans="1:4" x14ac:dyDescent="0.2">
      <c r="A231" s="203">
        <f t="shared" si="3"/>
        <v>0</v>
      </c>
      <c r="B231" s="153" t="str">
        <v/>
      </c>
      <c r="C231" s="162">
        <v>0</v>
      </c>
      <c r="D231" s="153" t="str">
        <v/>
      </c>
    </row>
    <row r="232" spans="1:4" x14ac:dyDescent="0.2">
      <c r="A232" s="203">
        <f t="shared" si="3"/>
        <v>0</v>
      </c>
      <c r="B232" s="153" t="str">
        <v/>
      </c>
      <c r="C232" s="162">
        <v>0</v>
      </c>
      <c r="D232" s="153" t="str">
        <v/>
      </c>
    </row>
    <row r="233" spans="1:4" x14ac:dyDescent="0.2">
      <c r="A233" s="203">
        <f t="shared" si="3"/>
        <v>0</v>
      </c>
      <c r="B233" s="153" t="str">
        <v/>
      </c>
      <c r="C233" s="162">
        <v>0</v>
      </c>
      <c r="D233" s="153" t="str">
        <v/>
      </c>
    </row>
    <row r="234" spans="1:4" x14ac:dyDescent="0.2">
      <c r="A234" s="203">
        <f t="shared" si="3"/>
        <v>0</v>
      </c>
      <c r="B234" s="153" t="str">
        <v/>
      </c>
      <c r="C234" s="162">
        <v>0</v>
      </c>
      <c r="D234" s="153" t="str">
        <v/>
      </c>
    </row>
    <row r="235" spans="1:4" x14ac:dyDescent="0.2">
      <c r="A235" s="203">
        <f t="shared" si="3"/>
        <v>0</v>
      </c>
      <c r="B235" s="153" t="str">
        <v/>
      </c>
      <c r="C235" s="162">
        <v>0</v>
      </c>
      <c r="D235" s="153" t="str">
        <v/>
      </c>
    </row>
    <row r="236" spans="1:4" x14ac:dyDescent="0.2">
      <c r="A236" s="203">
        <f t="shared" si="3"/>
        <v>0</v>
      </c>
      <c r="B236" s="153" t="str">
        <v/>
      </c>
      <c r="C236" s="162">
        <v>0</v>
      </c>
      <c r="D236" s="153" t="str">
        <v/>
      </c>
    </row>
    <row r="237" spans="1:4" x14ac:dyDescent="0.2">
      <c r="A237" s="203">
        <f t="shared" si="3"/>
        <v>0</v>
      </c>
      <c r="B237" s="153" t="str">
        <v/>
      </c>
      <c r="C237" s="162">
        <v>0</v>
      </c>
      <c r="D237" s="153" t="str">
        <v/>
      </c>
    </row>
    <row r="238" spans="1:4" x14ac:dyDescent="0.2">
      <c r="A238" s="203">
        <f t="shared" si="3"/>
        <v>0</v>
      </c>
      <c r="B238" s="153" t="str">
        <v/>
      </c>
      <c r="C238" s="162">
        <v>0</v>
      </c>
      <c r="D238" s="153" t="str">
        <v/>
      </c>
    </row>
    <row r="239" spans="1:4" x14ac:dyDescent="0.2">
      <c r="A239" s="203">
        <f t="shared" si="3"/>
        <v>0</v>
      </c>
      <c r="B239" s="153" t="str">
        <v/>
      </c>
      <c r="C239" s="162">
        <v>0</v>
      </c>
      <c r="D239" s="153" t="str">
        <v/>
      </c>
    </row>
    <row r="240" spans="1:4" x14ac:dyDescent="0.2">
      <c r="A240" s="203">
        <f t="shared" si="3"/>
        <v>0</v>
      </c>
      <c r="B240" s="153" t="str">
        <v/>
      </c>
      <c r="C240" s="162">
        <v>0</v>
      </c>
      <c r="D240" s="153" t="str">
        <v/>
      </c>
    </row>
    <row r="241" spans="1:4" x14ac:dyDescent="0.2">
      <c r="A241" s="203">
        <f t="shared" si="3"/>
        <v>0</v>
      </c>
      <c r="B241" s="153" t="str">
        <v/>
      </c>
      <c r="C241" s="162">
        <v>0</v>
      </c>
      <c r="D241" s="153" t="str">
        <v/>
      </c>
    </row>
    <row r="242" spans="1:4" x14ac:dyDescent="0.2">
      <c r="A242" s="203">
        <f t="shared" si="3"/>
        <v>0</v>
      </c>
      <c r="B242" s="153" t="str">
        <v/>
      </c>
      <c r="C242" s="162">
        <v>0</v>
      </c>
      <c r="D242" s="153" t="str">
        <v/>
      </c>
    </row>
    <row r="243" spans="1:4" x14ac:dyDescent="0.2">
      <c r="A243" s="203">
        <f t="shared" si="3"/>
        <v>0</v>
      </c>
      <c r="B243" s="153" t="str">
        <v/>
      </c>
      <c r="C243" s="162">
        <v>0</v>
      </c>
      <c r="D243" s="153" t="str">
        <v/>
      </c>
    </row>
    <row r="244" spans="1:4" x14ac:dyDescent="0.2">
      <c r="A244" s="203">
        <f t="shared" si="3"/>
        <v>0</v>
      </c>
      <c r="B244" s="160" t="s">
        <v>314</v>
      </c>
      <c r="C244" s="162">
        <f>SUMIF(VISOR!$D$9:$D$58,"Térmico",VISOR!$G$9:$G$58)</f>
        <v>0</v>
      </c>
      <c r="D244" s="153"/>
    </row>
    <row r="245" spans="1:4" x14ac:dyDescent="0.2">
      <c r="A245" s="203">
        <v>1</v>
      </c>
      <c r="B245" s="153"/>
      <c r="C245" s="162"/>
      <c r="D245" s="153"/>
    </row>
    <row r="246" spans="1:4" x14ac:dyDescent="0.2">
      <c r="A246" s="203">
        <v>1</v>
      </c>
      <c r="B246" s="154" t="s">
        <v>487</v>
      </c>
      <c r="C246" s="154"/>
      <c r="D246" s="154"/>
    </row>
    <row r="247" spans="1:4" x14ac:dyDescent="0.2">
      <c r="A247" s="203">
        <v>1</v>
      </c>
      <c r="B247" s="153"/>
      <c r="C247" s="162"/>
      <c r="D247" s="153"/>
    </row>
    <row r="248" spans="1:4" x14ac:dyDescent="0.2">
      <c r="A248" s="203">
        <f t="shared" si="1"/>
        <v>0</v>
      </c>
      <c r="B248" s="184" t="str">
        <f t="array" ref="B248:B297">IF(TRANSPOSE('PORTA FRIGORÍFICA'!$M$60:$BJ$60)&lt;&gt;"SILO",TRANSPOSE('PORTA FRIGORÍFICA'!$M$63:$BJ$63),"")</f>
        <v/>
      </c>
      <c r="C248" s="162">
        <f t="array" ref="C248:C297">IF(TRANSPOSE('PORTA FRIGORÍFICA'!$M$60:$BJ$60)&lt;&gt;"SILO",TRANSPOSE('PORTA FRIGORÍFICA'!$M$64:$BJ$64),0)</f>
        <v>0</v>
      </c>
      <c r="D248" s="156" t="str">
        <f t="array" ref="D248:D297">IF(TRANSPOSE('PORTA FRIGORÍFICA'!$M$60:$BJ$60)&lt;&gt;"SILO",TRANSPOSE('PORTA FRIGORÍFICA'!$M$65:$BJ$65),"")</f>
        <v/>
      </c>
    </row>
    <row r="249" spans="1:4" x14ac:dyDescent="0.2">
      <c r="A249" s="203">
        <f t="shared" si="1"/>
        <v>0</v>
      </c>
      <c r="B249" s="184" t="str">
        <v/>
      </c>
      <c r="C249" s="162">
        <v>0</v>
      </c>
      <c r="D249" s="156" t="str">
        <v/>
      </c>
    </row>
    <row r="250" spans="1:4" x14ac:dyDescent="0.2">
      <c r="A250" s="203">
        <f t="shared" si="1"/>
        <v>0</v>
      </c>
      <c r="B250" s="156" t="str">
        <v/>
      </c>
      <c r="C250" s="162">
        <v>0</v>
      </c>
      <c r="D250" s="153" t="str">
        <v/>
      </c>
    </row>
    <row r="251" spans="1:4" x14ac:dyDescent="0.2">
      <c r="A251" s="203">
        <f t="shared" si="1"/>
        <v>0</v>
      </c>
      <c r="B251" s="156" t="str">
        <v/>
      </c>
      <c r="C251" s="162">
        <v>0</v>
      </c>
      <c r="D251" s="153" t="str">
        <v/>
      </c>
    </row>
    <row r="252" spans="1:4" x14ac:dyDescent="0.2">
      <c r="A252" s="203">
        <f t="shared" si="1"/>
        <v>0</v>
      </c>
      <c r="B252" s="156" t="str">
        <v/>
      </c>
      <c r="C252" s="162">
        <v>0</v>
      </c>
      <c r="D252" s="153" t="str">
        <v/>
      </c>
    </row>
    <row r="253" spans="1:4" x14ac:dyDescent="0.2">
      <c r="A253" s="203">
        <f t="shared" si="1"/>
        <v>0</v>
      </c>
      <c r="B253" s="156" t="str">
        <v/>
      </c>
      <c r="C253" s="162">
        <v>0</v>
      </c>
      <c r="D253" s="153" t="str">
        <v/>
      </c>
    </row>
    <row r="254" spans="1:4" x14ac:dyDescent="0.2">
      <c r="A254" s="203">
        <f t="shared" si="1"/>
        <v>0</v>
      </c>
      <c r="B254" s="156" t="str">
        <v/>
      </c>
      <c r="C254" s="162">
        <v>0</v>
      </c>
      <c r="D254" s="153" t="str">
        <v/>
      </c>
    </row>
    <row r="255" spans="1:4" x14ac:dyDescent="0.2">
      <c r="A255" s="203">
        <f t="shared" si="1"/>
        <v>0</v>
      </c>
      <c r="B255" s="156" t="str">
        <v/>
      </c>
      <c r="C255" s="162">
        <v>0</v>
      </c>
      <c r="D255" s="153" t="str">
        <v/>
      </c>
    </row>
    <row r="256" spans="1:4" x14ac:dyDescent="0.2">
      <c r="A256" s="203">
        <f t="shared" si="1"/>
        <v>0</v>
      </c>
      <c r="B256" s="156" t="str">
        <v/>
      </c>
      <c r="C256" s="162">
        <v>0</v>
      </c>
      <c r="D256" s="153" t="str">
        <v/>
      </c>
    </row>
    <row r="257" spans="1:4" x14ac:dyDescent="0.2">
      <c r="A257" s="203">
        <f t="shared" si="1"/>
        <v>0</v>
      </c>
      <c r="B257" s="156" t="str">
        <v/>
      </c>
      <c r="C257" s="162">
        <v>0</v>
      </c>
      <c r="D257" s="153" t="str">
        <v/>
      </c>
    </row>
    <row r="258" spans="1:4" x14ac:dyDescent="0.2">
      <c r="A258" s="203">
        <f t="shared" si="1"/>
        <v>0</v>
      </c>
      <c r="B258" s="184" t="str">
        <v/>
      </c>
      <c r="C258" s="162">
        <v>0</v>
      </c>
      <c r="D258" s="156" t="str">
        <v/>
      </c>
    </row>
    <row r="259" spans="1:4" x14ac:dyDescent="0.2">
      <c r="A259" s="203">
        <f t="shared" si="1"/>
        <v>0</v>
      </c>
      <c r="B259" s="184" t="str">
        <v/>
      </c>
      <c r="C259" s="162">
        <v>0</v>
      </c>
      <c r="D259" s="156" t="str">
        <v/>
      </c>
    </row>
    <row r="260" spans="1:4" x14ac:dyDescent="0.2">
      <c r="A260" s="203">
        <f t="shared" si="1"/>
        <v>0</v>
      </c>
      <c r="B260" s="156" t="str">
        <v/>
      </c>
      <c r="C260" s="162">
        <v>0</v>
      </c>
      <c r="D260" s="153" t="str">
        <v/>
      </c>
    </row>
    <row r="261" spans="1:4" x14ac:dyDescent="0.2">
      <c r="A261" s="203">
        <f t="shared" si="1"/>
        <v>0</v>
      </c>
      <c r="B261" s="156" t="str">
        <v/>
      </c>
      <c r="C261" s="162">
        <v>0</v>
      </c>
      <c r="D261" s="153" t="str">
        <v/>
      </c>
    </row>
    <row r="262" spans="1:4" x14ac:dyDescent="0.2">
      <c r="A262" s="203">
        <f t="shared" si="1"/>
        <v>0</v>
      </c>
      <c r="B262" s="156" t="str">
        <v/>
      </c>
      <c r="C262" s="162">
        <v>0</v>
      </c>
      <c r="D262" s="153" t="str">
        <v/>
      </c>
    </row>
    <row r="263" spans="1:4" x14ac:dyDescent="0.2">
      <c r="A263" s="203">
        <f t="shared" si="1"/>
        <v>0</v>
      </c>
      <c r="B263" s="156" t="str">
        <v/>
      </c>
      <c r="C263" s="162">
        <v>0</v>
      </c>
      <c r="D263" s="153" t="str">
        <v/>
      </c>
    </row>
    <row r="264" spans="1:4" x14ac:dyDescent="0.2">
      <c r="A264" s="203">
        <f t="shared" si="1"/>
        <v>0</v>
      </c>
      <c r="B264" s="156" t="str">
        <v/>
      </c>
      <c r="C264" s="162">
        <v>0</v>
      </c>
      <c r="D264" s="153" t="str">
        <v/>
      </c>
    </row>
    <row r="265" spans="1:4" x14ac:dyDescent="0.2">
      <c r="A265" s="203">
        <f t="shared" si="1"/>
        <v>0</v>
      </c>
      <c r="B265" s="156" t="str">
        <v/>
      </c>
      <c r="C265" s="162">
        <v>0</v>
      </c>
      <c r="D265" s="153" t="str">
        <v/>
      </c>
    </row>
    <row r="266" spans="1:4" x14ac:dyDescent="0.2">
      <c r="A266" s="203">
        <f t="shared" si="1"/>
        <v>0</v>
      </c>
      <c r="B266" s="156" t="str">
        <v/>
      </c>
      <c r="C266" s="162">
        <v>0</v>
      </c>
      <c r="D266" s="153" t="str">
        <v/>
      </c>
    </row>
    <row r="267" spans="1:4" x14ac:dyDescent="0.2">
      <c r="A267" s="203">
        <f t="shared" si="1"/>
        <v>0</v>
      </c>
      <c r="B267" s="156" t="str">
        <v/>
      </c>
      <c r="C267" s="162">
        <v>0</v>
      </c>
      <c r="D267" s="153" t="str">
        <v/>
      </c>
    </row>
    <row r="268" spans="1:4" x14ac:dyDescent="0.2">
      <c r="A268" s="203">
        <f t="shared" ref="A268:A277" si="4">IF(C268=0,0,1)</f>
        <v>0</v>
      </c>
      <c r="B268" s="184" t="str">
        <v/>
      </c>
      <c r="C268" s="162">
        <v>0</v>
      </c>
      <c r="D268" s="156" t="str">
        <v/>
      </c>
    </row>
    <row r="269" spans="1:4" x14ac:dyDescent="0.2">
      <c r="A269" s="203">
        <f t="shared" si="4"/>
        <v>0</v>
      </c>
      <c r="B269" s="184" t="str">
        <v/>
      </c>
      <c r="C269" s="162">
        <v>0</v>
      </c>
      <c r="D269" s="156" t="str">
        <v/>
      </c>
    </row>
    <row r="270" spans="1:4" x14ac:dyDescent="0.2">
      <c r="A270" s="203">
        <f t="shared" si="4"/>
        <v>0</v>
      </c>
      <c r="B270" s="156" t="str">
        <v/>
      </c>
      <c r="C270" s="162">
        <v>0</v>
      </c>
      <c r="D270" s="153" t="str">
        <v/>
      </c>
    </row>
    <row r="271" spans="1:4" x14ac:dyDescent="0.2">
      <c r="A271" s="203">
        <f t="shared" si="4"/>
        <v>0</v>
      </c>
      <c r="B271" s="156" t="str">
        <v/>
      </c>
      <c r="C271" s="162">
        <v>0</v>
      </c>
      <c r="D271" s="153" t="str">
        <v/>
      </c>
    </row>
    <row r="272" spans="1:4" x14ac:dyDescent="0.2">
      <c r="A272" s="203">
        <f t="shared" si="4"/>
        <v>0</v>
      </c>
      <c r="B272" s="156" t="str">
        <v/>
      </c>
      <c r="C272" s="162">
        <v>0</v>
      </c>
      <c r="D272" s="153" t="str">
        <v/>
      </c>
    </row>
    <row r="273" spans="1:4" x14ac:dyDescent="0.2">
      <c r="A273" s="203">
        <f t="shared" si="4"/>
        <v>0</v>
      </c>
      <c r="B273" s="156" t="str">
        <v/>
      </c>
      <c r="C273" s="162">
        <v>0</v>
      </c>
      <c r="D273" s="153" t="str">
        <v/>
      </c>
    </row>
    <row r="274" spans="1:4" x14ac:dyDescent="0.2">
      <c r="A274" s="203">
        <f t="shared" si="4"/>
        <v>0</v>
      </c>
      <c r="B274" s="156" t="str">
        <v/>
      </c>
      <c r="C274" s="162">
        <v>0</v>
      </c>
      <c r="D274" s="153" t="str">
        <v/>
      </c>
    </row>
    <row r="275" spans="1:4" x14ac:dyDescent="0.2">
      <c r="A275" s="203">
        <f t="shared" si="4"/>
        <v>0</v>
      </c>
      <c r="B275" s="156" t="str">
        <v/>
      </c>
      <c r="C275" s="162">
        <v>0</v>
      </c>
      <c r="D275" s="153" t="str">
        <v/>
      </c>
    </row>
    <row r="276" spans="1:4" x14ac:dyDescent="0.2">
      <c r="A276" s="203">
        <f t="shared" si="4"/>
        <v>0</v>
      </c>
      <c r="B276" s="156" t="str">
        <v/>
      </c>
      <c r="C276" s="162">
        <v>0</v>
      </c>
      <c r="D276" s="153" t="str">
        <v/>
      </c>
    </row>
    <row r="277" spans="1:4" x14ac:dyDescent="0.2">
      <c r="A277" s="203">
        <f t="shared" si="4"/>
        <v>0</v>
      </c>
      <c r="B277" s="156" t="str">
        <v/>
      </c>
      <c r="C277" s="162">
        <v>0</v>
      </c>
      <c r="D277" s="153" t="str">
        <v/>
      </c>
    </row>
    <row r="278" spans="1:4" x14ac:dyDescent="0.2">
      <c r="A278" s="203">
        <f t="shared" si="1"/>
        <v>0</v>
      </c>
      <c r="B278" s="184" t="str">
        <v/>
      </c>
      <c r="C278" s="162">
        <v>0</v>
      </c>
      <c r="D278" s="156" t="str">
        <v/>
      </c>
    </row>
    <row r="279" spans="1:4" x14ac:dyDescent="0.2">
      <c r="A279" s="203">
        <f t="shared" si="1"/>
        <v>0</v>
      </c>
      <c r="B279" s="184" t="str">
        <v/>
      </c>
      <c r="C279" s="162">
        <v>0</v>
      </c>
      <c r="D279" s="156" t="str">
        <v/>
      </c>
    </row>
    <row r="280" spans="1:4" x14ac:dyDescent="0.2">
      <c r="A280" s="203">
        <f t="shared" si="1"/>
        <v>0</v>
      </c>
      <c r="B280" s="156" t="str">
        <v/>
      </c>
      <c r="C280" s="162">
        <v>0</v>
      </c>
      <c r="D280" s="153" t="str">
        <v/>
      </c>
    </row>
    <row r="281" spans="1:4" x14ac:dyDescent="0.2">
      <c r="A281" s="203">
        <f t="shared" si="1"/>
        <v>0</v>
      </c>
      <c r="B281" s="156" t="str">
        <v/>
      </c>
      <c r="C281" s="162">
        <v>0</v>
      </c>
      <c r="D281" s="153" t="str">
        <v/>
      </c>
    </row>
    <row r="282" spans="1:4" x14ac:dyDescent="0.2">
      <c r="A282" s="203">
        <f t="shared" si="1"/>
        <v>0</v>
      </c>
      <c r="B282" s="156" t="str">
        <v/>
      </c>
      <c r="C282" s="162">
        <v>0</v>
      </c>
      <c r="D282" s="153" t="str">
        <v/>
      </c>
    </row>
    <row r="283" spans="1:4" x14ac:dyDescent="0.2">
      <c r="A283" s="203">
        <f t="shared" si="1"/>
        <v>0</v>
      </c>
      <c r="B283" s="156" t="str">
        <v/>
      </c>
      <c r="C283" s="162">
        <v>0</v>
      </c>
      <c r="D283" s="153" t="str">
        <v/>
      </c>
    </row>
    <row r="284" spans="1:4" x14ac:dyDescent="0.2">
      <c r="A284" s="203">
        <f t="shared" si="1"/>
        <v>0</v>
      </c>
      <c r="B284" s="156" t="str">
        <v/>
      </c>
      <c r="C284" s="162">
        <v>0</v>
      </c>
      <c r="D284" s="153" t="str">
        <v/>
      </c>
    </row>
    <row r="285" spans="1:4" x14ac:dyDescent="0.2">
      <c r="A285" s="203">
        <f t="shared" si="1"/>
        <v>0</v>
      </c>
      <c r="B285" s="156" t="str">
        <v/>
      </c>
      <c r="C285" s="162">
        <v>0</v>
      </c>
      <c r="D285" s="153" t="str">
        <v/>
      </c>
    </row>
    <row r="286" spans="1:4" x14ac:dyDescent="0.2">
      <c r="A286" s="203">
        <f t="shared" si="1"/>
        <v>0</v>
      </c>
      <c r="B286" s="156" t="str">
        <v/>
      </c>
      <c r="C286" s="162">
        <v>0</v>
      </c>
      <c r="D286" s="153" t="str">
        <v/>
      </c>
    </row>
    <row r="287" spans="1:4" x14ac:dyDescent="0.2">
      <c r="A287" s="203">
        <f t="shared" si="1"/>
        <v>0</v>
      </c>
      <c r="B287" s="156" t="str">
        <v/>
      </c>
      <c r="C287" s="162">
        <v>0</v>
      </c>
      <c r="D287" s="153" t="str">
        <v/>
      </c>
    </row>
    <row r="288" spans="1:4" x14ac:dyDescent="0.2">
      <c r="A288" s="203">
        <f t="shared" ref="A288:A297" si="5">IF(C288=0,0,1)</f>
        <v>0</v>
      </c>
      <c r="B288" s="184" t="str">
        <v/>
      </c>
      <c r="C288" s="162">
        <v>0</v>
      </c>
      <c r="D288" s="156" t="str">
        <v/>
      </c>
    </row>
    <row r="289" spans="1:4" x14ac:dyDescent="0.2">
      <c r="A289" s="203">
        <f t="shared" si="5"/>
        <v>0</v>
      </c>
      <c r="B289" s="184" t="str">
        <v/>
      </c>
      <c r="C289" s="162">
        <v>0</v>
      </c>
      <c r="D289" s="156" t="str">
        <v/>
      </c>
    </row>
    <row r="290" spans="1:4" x14ac:dyDescent="0.2">
      <c r="A290" s="203">
        <f t="shared" si="5"/>
        <v>0</v>
      </c>
      <c r="B290" s="156" t="str">
        <v/>
      </c>
      <c r="C290" s="162">
        <v>0</v>
      </c>
      <c r="D290" s="153" t="str">
        <v/>
      </c>
    </row>
    <row r="291" spans="1:4" x14ac:dyDescent="0.2">
      <c r="A291" s="203">
        <f t="shared" si="5"/>
        <v>0</v>
      </c>
      <c r="B291" s="156" t="str">
        <v/>
      </c>
      <c r="C291" s="162">
        <v>0</v>
      </c>
      <c r="D291" s="153" t="str">
        <v/>
      </c>
    </row>
    <row r="292" spans="1:4" x14ac:dyDescent="0.2">
      <c r="A292" s="203">
        <f t="shared" si="5"/>
        <v>0</v>
      </c>
      <c r="B292" s="156" t="str">
        <v/>
      </c>
      <c r="C292" s="162">
        <v>0</v>
      </c>
      <c r="D292" s="153" t="str">
        <v/>
      </c>
    </row>
    <row r="293" spans="1:4" x14ac:dyDescent="0.2">
      <c r="A293" s="203">
        <f t="shared" si="5"/>
        <v>0</v>
      </c>
      <c r="B293" s="156" t="str">
        <v/>
      </c>
      <c r="C293" s="162">
        <v>0</v>
      </c>
      <c r="D293" s="153" t="str">
        <v/>
      </c>
    </row>
    <row r="294" spans="1:4" x14ac:dyDescent="0.2">
      <c r="A294" s="203">
        <f t="shared" si="5"/>
        <v>0</v>
      </c>
      <c r="B294" s="156" t="str">
        <v/>
      </c>
      <c r="C294" s="162">
        <v>0</v>
      </c>
      <c r="D294" s="153" t="str">
        <v/>
      </c>
    </row>
    <row r="295" spans="1:4" x14ac:dyDescent="0.2">
      <c r="A295" s="203">
        <f t="shared" si="5"/>
        <v>0</v>
      </c>
      <c r="B295" s="156" t="str">
        <v/>
      </c>
      <c r="C295" s="162">
        <v>0</v>
      </c>
      <c r="D295" s="153" t="str">
        <v/>
      </c>
    </row>
    <row r="296" spans="1:4" x14ac:dyDescent="0.2">
      <c r="A296" s="203">
        <f t="shared" si="5"/>
        <v>0</v>
      </c>
      <c r="B296" s="156" t="str">
        <v/>
      </c>
      <c r="C296" s="162">
        <v>0</v>
      </c>
      <c r="D296" s="153" t="str">
        <v/>
      </c>
    </row>
    <row r="297" spans="1:4" x14ac:dyDescent="0.2">
      <c r="A297" s="203">
        <f t="shared" si="5"/>
        <v>0</v>
      </c>
      <c r="B297" s="156" t="str">
        <v/>
      </c>
      <c r="C297" s="162">
        <v>0</v>
      </c>
      <c r="D297" s="153" t="str">
        <v/>
      </c>
    </row>
    <row r="298" spans="1:4" x14ac:dyDescent="0.2">
      <c r="A298" s="203">
        <v>1</v>
      </c>
      <c r="B298" s="153"/>
      <c r="C298" s="162"/>
      <c r="D298" s="153"/>
    </row>
    <row r="299" spans="1:4" x14ac:dyDescent="0.2">
      <c r="A299" s="203">
        <v>1</v>
      </c>
      <c r="B299" s="154" t="s">
        <v>315</v>
      </c>
      <c r="C299" s="154"/>
      <c r="D299" s="154"/>
    </row>
    <row r="300" spans="1:4" x14ac:dyDescent="0.2">
      <c r="A300" s="203">
        <v>1</v>
      </c>
      <c r="B300" s="153"/>
      <c r="C300" s="162"/>
      <c r="D300" s="153"/>
    </row>
    <row r="301" spans="1:4" x14ac:dyDescent="0.2">
      <c r="A301" s="203">
        <f t="shared" ref="A301:A349" si="6">IF(C301=0,0,1)</f>
        <v>0</v>
      </c>
      <c r="B301" s="153" t="str">
        <f t="array" ref="B301:B350">IF(TRANSPOSE(PVV!$O$60:$BL$60)="Rígida",TRANSPOSE(PVV!$O$61:$BL$61),"")</f>
        <v/>
      </c>
      <c r="C301" s="162">
        <f t="array" ref="C301:C350">IF(TRANSPOSE(PVV!$O$60:$BL$60)="Rígida",TRANSPOSE(PVV!$O$62:$BL$62),0)</f>
        <v>0</v>
      </c>
      <c r="D301" s="156" t="str">
        <f t="array" ref="D301:D350">IF(TRANSPOSE(PVV!$O$60:$BL$60)="Rígida",TRANSPOSE(PVV!$O$63:$BL$63),"")</f>
        <v/>
      </c>
    </row>
    <row r="302" spans="1:4" x14ac:dyDescent="0.2">
      <c r="A302" s="203">
        <f t="shared" si="6"/>
        <v>0</v>
      </c>
      <c r="B302" s="153" t="str">
        <v/>
      </c>
      <c r="C302" s="162">
        <v>0</v>
      </c>
      <c r="D302" s="156" t="str">
        <v/>
      </c>
    </row>
    <row r="303" spans="1:4" x14ac:dyDescent="0.2">
      <c r="A303" s="203">
        <f t="shared" si="6"/>
        <v>0</v>
      </c>
      <c r="B303" s="153" t="str">
        <v/>
      </c>
      <c r="C303" s="162">
        <v>0</v>
      </c>
      <c r="D303" s="156" t="str">
        <v/>
      </c>
    </row>
    <row r="304" spans="1:4" x14ac:dyDescent="0.2">
      <c r="A304" s="203">
        <f t="shared" si="6"/>
        <v>0</v>
      </c>
      <c r="B304" s="153" t="str">
        <v/>
      </c>
      <c r="C304" s="162">
        <v>0</v>
      </c>
      <c r="D304" s="156" t="str">
        <v/>
      </c>
    </row>
    <row r="305" spans="1:4" x14ac:dyDescent="0.2">
      <c r="A305" s="203">
        <f t="shared" si="6"/>
        <v>0</v>
      </c>
      <c r="B305" s="153" t="str">
        <v/>
      </c>
      <c r="C305" s="162">
        <v>0</v>
      </c>
      <c r="D305" s="156" t="str">
        <v/>
      </c>
    </row>
    <row r="306" spans="1:4" x14ac:dyDescent="0.2">
      <c r="A306" s="203">
        <f t="shared" si="6"/>
        <v>0</v>
      </c>
      <c r="B306" s="153" t="str">
        <v/>
      </c>
      <c r="C306" s="162">
        <v>0</v>
      </c>
      <c r="D306" s="156" t="str">
        <v/>
      </c>
    </row>
    <row r="307" spans="1:4" x14ac:dyDescent="0.2">
      <c r="A307" s="203">
        <f t="shared" si="6"/>
        <v>0</v>
      </c>
      <c r="B307" s="153" t="str">
        <v/>
      </c>
      <c r="C307" s="162">
        <v>0</v>
      </c>
      <c r="D307" s="156" t="str">
        <v/>
      </c>
    </row>
    <row r="308" spans="1:4" x14ac:dyDescent="0.2">
      <c r="A308" s="203">
        <f t="shared" si="6"/>
        <v>0</v>
      </c>
      <c r="B308" s="153" t="str">
        <v/>
      </c>
      <c r="C308" s="162">
        <v>0</v>
      </c>
      <c r="D308" s="156" t="str">
        <v/>
      </c>
    </row>
    <row r="309" spans="1:4" x14ac:dyDescent="0.2">
      <c r="A309" s="203">
        <f t="shared" si="6"/>
        <v>0</v>
      </c>
      <c r="B309" s="153" t="str">
        <v/>
      </c>
      <c r="C309" s="162">
        <v>0</v>
      </c>
      <c r="D309" s="156" t="str">
        <v/>
      </c>
    </row>
    <row r="310" spans="1:4" x14ac:dyDescent="0.2">
      <c r="A310" s="203">
        <f t="shared" si="6"/>
        <v>0</v>
      </c>
      <c r="B310" s="153" t="str">
        <v/>
      </c>
      <c r="C310" s="162">
        <v>0</v>
      </c>
      <c r="D310" s="156" t="str">
        <v/>
      </c>
    </row>
    <row r="311" spans="1:4" x14ac:dyDescent="0.2">
      <c r="A311" s="203">
        <f t="shared" si="6"/>
        <v>0</v>
      </c>
      <c r="B311" s="153" t="str">
        <v/>
      </c>
      <c r="C311" s="162">
        <v>0</v>
      </c>
      <c r="D311" s="156" t="str">
        <v/>
      </c>
    </row>
    <row r="312" spans="1:4" x14ac:dyDescent="0.2">
      <c r="A312" s="203">
        <f t="shared" si="6"/>
        <v>0</v>
      </c>
      <c r="B312" s="153" t="str">
        <v/>
      </c>
      <c r="C312" s="162">
        <v>0</v>
      </c>
      <c r="D312" s="156" t="str">
        <v/>
      </c>
    </row>
    <row r="313" spans="1:4" x14ac:dyDescent="0.2">
      <c r="A313" s="203">
        <f t="shared" si="6"/>
        <v>0</v>
      </c>
      <c r="B313" s="153" t="str">
        <v/>
      </c>
      <c r="C313" s="162">
        <v>0</v>
      </c>
      <c r="D313" s="156" t="str">
        <v/>
      </c>
    </row>
    <row r="314" spans="1:4" x14ac:dyDescent="0.2">
      <c r="A314" s="203">
        <f t="shared" si="6"/>
        <v>0</v>
      </c>
      <c r="B314" s="153" t="str">
        <v/>
      </c>
      <c r="C314" s="162">
        <v>0</v>
      </c>
      <c r="D314" s="156" t="str">
        <v/>
      </c>
    </row>
    <row r="315" spans="1:4" x14ac:dyDescent="0.2">
      <c r="A315" s="203">
        <f t="shared" si="6"/>
        <v>0</v>
      </c>
      <c r="B315" s="153" t="str">
        <v/>
      </c>
      <c r="C315" s="162">
        <v>0</v>
      </c>
      <c r="D315" s="156" t="str">
        <v/>
      </c>
    </row>
    <row r="316" spans="1:4" x14ac:dyDescent="0.2">
      <c r="A316" s="203">
        <f t="shared" si="6"/>
        <v>0</v>
      </c>
      <c r="B316" s="153" t="str">
        <v/>
      </c>
      <c r="C316" s="162">
        <v>0</v>
      </c>
      <c r="D316" s="156" t="str">
        <v/>
      </c>
    </row>
    <row r="317" spans="1:4" x14ac:dyDescent="0.2">
      <c r="A317" s="203">
        <f t="shared" si="6"/>
        <v>0</v>
      </c>
      <c r="B317" s="153" t="str">
        <v/>
      </c>
      <c r="C317" s="162">
        <v>0</v>
      </c>
      <c r="D317" s="156" t="str">
        <v/>
      </c>
    </row>
    <row r="318" spans="1:4" x14ac:dyDescent="0.2">
      <c r="A318" s="203">
        <f t="shared" si="6"/>
        <v>0</v>
      </c>
      <c r="B318" s="153" t="str">
        <v/>
      </c>
      <c r="C318" s="162">
        <v>0</v>
      </c>
      <c r="D318" s="156" t="str">
        <v/>
      </c>
    </row>
    <row r="319" spans="1:4" x14ac:dyDescent="0.2">
      <c r="A319" s="203">
        <f t="shared" si="6"/>
        <v>0</v>
      </c>
      <c r="B319" s="153" t="str">
        <v/>
      </c>
      <c r="C319" s="162">
        <v>0</v>
      </c>
      <c r="D319" s="156" t="str">
        <v/>
      </c>
    </row>
    <row r="320" spans="1:4" x14ac:dyDescent="0.2">
      <c r="A320" s="203">
        <f t="shared" si="6"/>
        <v>0</v>
      </c>
      <c r="B320" s="153" t="str">
        <v/>
      </c>
      <c r="C320" s="162">
        <v>0</v>
      </c>
      <c r="D320" s="156" t="str">
        <v/>
      </c>
    </row>
    <row r="321" spans="1:4" x14ac:dyDescent="0.2">
      <c r="A321" s="203">
        <f t="shared" si="6"/>
        <v>0</v>
      </c>
      <c r="B321" s="153" t="str">
        <v/>
      </c>
      <c r="C321" s="162">
        <v>0</v>
      </c>
      <c r="D321" s="156" t="str">
        <v/>
      </c>
    </row>
    <row r="322" spans="1:4" x14ac:dyDescent="0.2">
      <c r="A322" s="203">
        <f t="shared" si="6"/>
        <v>0</v>
      </c>
      <c r="B322" s="153" t="str">
        <v/>
      </c>
      <c r="C322" s="162">
        <v>0</v>
      </c>
      <c r="D322" s="156" t="str">
        <v/>
      </c>
    </row>
    <row r="323" spans="1:4" x14ac:dyDescent="0.2">
      <c r="A323" s="203">
        <f t="shared" si="6"/>
        <v>0</v>
      </c>
      <c r="B323" s="153" t="str">
        <v/>
      </c>
      <c r="C323" s="162">
        <v>0</v>
      </c>
      <c r="D323" s="156" t="str">
        <v/>
      </c>
    </row>
    <row r="324" spans="1:4" x14ac:dyDescent="0.2">
      <c r="A324" s="203">
        <f t="shared" si="6"/>
        <v>0</v>
      </c>
      <c r="B324" s="153" t="str">
        <v/>
      </c>
      <c r="C324" s="162">
        <v>0</v>
      </c>
      <c r="D324" s="156" t="str">
        <v/>
      </c>
    </row>
    <row r="325" spans="1:4" x14ac:dyDescent="0.2">
      <c r="A325" s="203">
        <f t="shared" si="6"/>
        <v>0</v>
      </c>
      <c r="B325" s="153" t="str">
        <v/>
      </c>
      <c r="C325" s="162">
        <v>0</v>
      </c>
      <c r="D325" s="156" t="str">
        <v/>
      </c>
    </row>
    <row r="326" spans="1:4" x14ac:dyDescent="0.2">
      <c r="A326" s="203">
        <f t="shared" si="6"/>
        <v>0</v>
      </c>
      <c r="B326" s="153" t="str">
        <v/>
      </c>
      <c r="C326" s="162">
        <v>0</v>
      </c>
      <c r="D326" s="156" t="str">
        <v/>
      </c>
    </row>
    <row r="327" spans="1:4" x14ac:dyDescent="0.2">
      <c r="A327" s="203">
        <f t="shared" si="6"/>
        <v>0</v>
      </c>
      <c r="B327" s="153" t="str">
        <v/>
      </c>
      <c r="C327" s="162">
        <v>0</v>
      </c>
      <c r="D327" s="156" t="str">
        <v/>
      </c>
    </row>
    <row r="328" spans="1:4" x14ac:dyDescent="0.2">
      <c r="A328" s="203">
        <f t="shared" si="6"/>
        <v>0</v>
      </c>
      <c r="B328" s="153" t="str">
        <v/>
      </c>
      <c r="C328" s="162">
        <v>0</v>
      </c>
      <c r="D328" s="156" t="str">
        <v/>
      </c>
    </row>
    <row r="329" spans="1:4" x14ac:dyDescent="0.2">
      <c r="A329" s="203">
        <f t="shared" si="6"/>
        <v>0</v>
      </c>
      <c r="B329" s="153" t="str">
        <v/>
      </c>
      <c r="C329" s="162">
        <v>0</v>
      </c>
      <c r="D329" s="156" t="str">
        <v/>
      </c>
    </row>
    <row r="330" spans="1:4" x14ac:dyDescent="0.2">
      <c r="A330" s="203">
        <f t="shared" si="6"/>
        <v>0</v>
      </c>
      <c r="B330" s="153" t="str">
        <v/>
      </c>
      <c r="C330" s="162">
        <v>0</v>
      </c>
      <c r="D330" s="156" t="str">
        <v/>
      </c>
    </row>
    <row r="331" spans="1:4" x14ac:dyDescent="0.2">
      <c r="A331" s="203">
        <f t="shared" si="6"/>
        <v>0</v>
      </c>
      <c r="B331" s="153" t="str">
        <v/>
      </c>
      <c r="C331" s="162">
        <v>0</v>
      </c>
      <c r="D331" s="156" t="str">
        <v/>
      </c>
    </row>
    <row r="332" spans="1:4" x14ac:dyDescent="0.2">
      <c r="A332" s="203">
        <f t="shared" si="6"/>
        <v>0</v>
      </c>
      <c r="B332" s="153" t="str">
        <v/>
      </c>
      <c r="C332" s="162">
        <v>0</v>
      </c>
      <c r="D332" s="156" t="str">
        <v/>
      </c>
    </row>
    <row r="333" spans="1:4" x14ac:dyDescent="0.2">
      <c r="A333" s="203">
        <f t="shared" si="6"/>
        <v>0</v>
      </c>
      <c r="B333" s="153" t="str">
        <v/>
      </c>
      <c r="C333" s="162">
        <v>0</v>
      </c>
      <c r="D333" s="156" t="str">
        <v/>
      </c>
    </row>
    <row r="334" spans="1:4" x14ac:dyDescent="0.2">
      <c r="A334" s="203">
        <f t="shared" si="6"/>
        <v>0</v>
      </c>
      <c r="B334" s="153" t="str">
        <v/>
      </c>
      <c r="C334" s="162">
        <v>0</v>
      </c>
      <c r="D334" s="156" t="str">
        <v/>
      </c>
    </row>
    <row r="335" spans="1:4" x14ac:dyDescent="0.2">
      <c r="A335" s="203">
        <f t="shared" si="6"/>
        <v>0</v>
      </c>
      <c r="B335" s="153" t="str">
        <v/>
      </c>
      <c r="C335" s="162">
        <v>0</v>
      </c>
      <c r="D335" s="156" t="str">
        <v/>
      </c>
    </row>
    <row r="336" spans="1:4" x14ac:dyDescent="0.2">
      <c r="A336" s="203">
        <f t="shared" si="6"/>
        <v>0</v>
      </c>
      <c r="B336" s="153" t="str">
        <v/>
      </c>
      <c r="C336" s="162">
        <v>0</v>
      </c>
      <c r="D336" s="156" t="str">
        <v/>
      </c>
    </row>
    <row r="337" spans="1:4" x14ac:dyDescent="0.2">
      <c r="A337" s="203">
        <f t="shared" si="6"/>
        <v>0</v>
      </c>
      <c r="B337" s="153" t="str">
        <v/>
      </c>
      <c r="C337" s="162">
        <v>0</v>
      </c>
      <c r="D337" s="156" t="str">
        <v/>
      </c>
    </row>
    <row r="338" spans="1:4" x14ac:dyDescent="0.2">
      <c r="A338" s="203">
        <f t="shared" si="6"/>
        <v>0</v>
      </c>
      <c r="B338" s="153" t="str">
        <v/>
      </c>
      <c r="C338" s="162">
        <v>0</v>
      </c>
      <c r="D338" s="156" t="str">
        <v/>
      </c>
    </row>
    <row r="339" spans="1:4" x14ac:dyDescent="0.2">
      <c r="A339" s="203">
        <f t="shared" si="6"/>
        <v>0</v>
      </c>
      <c r="B339" s="153" t="str">
        <v/>
      </c>
      <c r="C339" s="162">
        <v>0</v>
      </c>
      <c r="D339" s="156" t="str">
        <v/>
      </c>
    </row>
    <row r="340" spans="1:4" x14ac:dyDescent="0.2">
      <c r="A340" s="203">
        <f t="shared" si="6"/>
        <v>0</v>
      </c>
      <c r="B340" s="153" t="str">
        <v/>
      </c>
      <c r="C340" s="162">
        <v>0</v>
      </c>
      <c r="D340" s="156" t="str">
        <v/>
      </c>
    </row>
    <row r="341" spans="1:4" x14ac:dyDescent="0.2">
      <c r="A341" s="203">
        <f t="shared" si="6"/>
        <v>0</v>
      </c>
      <c r="B341" s="153" t="str">
        <v/>
      </c>
      <c r="C341" s="162">
        <v>0</v>
      </c>
      <c r="D341" s="156" t="str">
        <v/>
      </c>
    </row>
    <row r="342" spans="1:4" x14ac:dyDescent="0.2">
      <c r="A342" s="203">
        <f t="shared" si="6"/>
        <v>0</v>
      </c>
      <c r="B342" s="153" t="str">
        <v/>
      </c>
      <c r="C342" s="162">
        <v>0</v>
      </c>
      <c r="D342" s="156" t="str">
        <v/>
      </c>
    </row>
    <row r="343" spans="1:4" x14ac:dyDescent="0.2">
      <c r="A343" s="203">
        <f t="shared" si="6"/>
        <v>0</v>
      </c>
      <c r="B343" s="153" t="str">
        <v/>
      </c>
      <c r="C343" s="162">
        <v>0</v>
      </c>
      <c r="D343" s="156" t="str">
        <v/>
      </c>
    </row>
    <row r="344" spans="1:4" x14ac:dyDescent="0.2">
      <c r="A344" s="203">
        <f t="shared" si="6"/>
        <v>0</v>
      </c>
      <c r="B344" s="153" t="str">
        <v/>
      </c>
      <c r="C344" s="162">
        <v>0</v>
      </c>
      <c r="D344" s="156" t="str">
        <v/>
      </c>
    </row>
    <row r="345" spans="1:4" x14ac:dyDescent="0.2">
      <c r="A345" s="203">
        <f t="shared" si="6"/>
        <v>0</v>
      </c>
      <c r="B345" s="153" t="str">
        <v/>
      </c>
      <c r="C345" s="162">
        <v>0</v>
      </c>
      <c r="D345" s="156" t="str">
        <v/>
      </c>
    </row>
    <row r="346" spans="1:4" x14ac:dyDescent="0.2">
      <c r="A346" s="203">
        <f t="shared" si="6"/>
        <v>0</v>
      </c>
      <c r="B346" s="153" t="str">
        <v/>
      </c>
      <c r="C346" s="162">
        <v>0</v>
      </c>
      <c r="D346" s="156" t="str">
        <v/>
      </c>
    </row>
    <row r="347" spans="1:4" x14ac:dyDescent="0.2">
      <c r="A347" s="203">
        <f t="shared" si="6"/>
        <v>0</v>
      </c>
      <c r="B347" s="153" t="str">
        <v/>
      </c>
      <c r="C347" s="162">
        <v>0</v>
      </c>
      <c r="D347" s="156" t="str">
        <v/>
      </c>
    </row>
    <row r="348" spans="1:4" x14ac:dyDescent="0.2">
      <c r="A348" s="203">
        <f t="shared" si="6"/>
        <v>0</v>
      </c>
      <c r="B348" s="153" t="str">
        <v/>
      </c>
      <c r="C348" s="162">
        <v>0</v>
      </c>
      <c r="D348" s="156" t="str">
        <v/>
      </c>
    </row>
    <row r="349" spans="1:4" x14ac:dyDescent="0.2">
      <c r="A349" s="203">
        <f t="shared" si="6"/>
        <v>0</v>
      </c>
      <c r="B349" s="153" t="str">
        <v/>
      </c>
      <c r="C349" s="162">
        <v>0</v>
      </c>
      <c r="D349" s="156" t="str">
        <v/>
      </c>
    </row>
    <row r="350" spans="1:4" x14ac:dyDescent="0.2">
      <c r="A350" s="203">
        <f>IF(C350=0,0,1)</f>
        <v>0</v>
      </c>
      <c r="B350" s="153" t="str">
        <v/>
      </c>
      <c r="C350" s="162">
        <v>0</v>
      </c>
      <c r="D350" s="156" t="str">
        <v/>
      </c>
    </row>
    <row r="351" spans="1:4" x14ac:dyDescent="0.2">
      <c r="A351" s="203">
        <f t="shared" ref="A351" si="7">IF(C351=0,0,1)</f>
        <v>0</v>
      </c>
      <c r="B351" s="159" t="s">
        <v>493</v>
      </c>
      <c r="C351" s="162">
        <f>SUMIF(PVV!$E$9:$E$58,"Rígida",PVV!$I$9:$I$58)</f>
        <v>0</v>
      </c>
      <c r="D351" s="153"/>
    </row>
    <row r="352" spans="1:4" x14ac:dyDescent="0.2">
      <c r="A352" s="203">
        <v>1</v>
      </c>
      <c r="B352" s="153"/>
      <c r="C352" s="162"/>
      <c r="D352" s="153"/>
    </row>
    <row r="353" spans="1:4" x14ac:dyDescent="0.2">
      <c r="A353" s="203">
        <v>1</v>
      </c>
      <c r="B353" s="154" t="s">
        <v>316</v>
      </c>
      <c r="C353" s="154"/>
      <c r="D353" s="154"/>
    </row>
    <row r="354" spans="1:4" x14ac:dyDescent="0.2">
      <c r="A354" s="203">
        <v>1</v>
      </c>
      <c r="B354" s="153"/>
      <c r="C354" s="162"/>
      <c r="D354" s="153"/>
    </row>
    <row r="355" spans="1:4" x14ac:dyDescent="0.2">
      <c r="A355" s="203">
        <f t="shared" ref="A355:A403" si="8">IF(C355=0,0,1)</f>
        <v>0</v>
      </c>
      <c r="B355" s="153" t="str">
        <f t="array" ref="B355:B404">IF(TRANSPOSE(PVV!$O$60:$BL$60)="Flexível",TRANSPOSE(PVV!$O$61:$BL$61),"")</f>
        <v/>
      </c>
      <c r="C355" s="162">
        <f t="array" ref="C355:C404">IF(TRANSPOSE(PVV!$O$60:$BL$60)="Flexível",TRANSPOSE(PVV!$O$62:$BL$62),0)</f>
        <v>0</v>
      </c>
      <c r="D355" s="156" t="str">
        <f t="array" ref="D355:D404">IF(TRANSPOSE(PVV!$O$60:$BL$60)="Flexível",TRANSPOSE(PVV!$O$63:$BL$63),"")</f>
        <v/>
      </c>
    </row>
    <row r="356" spans="1:4" x14ac:dyDescent="0.2">
      <c r="A356" s="203">
        <f t="shared" si="8"/>
        <v>0</v>
      </c>
      <c r="B356" s="153" t="str">
        <v/>
      </c>
      <c r="C356" s="162">
        <v>0</v>
      </c>
      <c r="D356" s="156" t="str">
        <v/>
      </c>
    </row>
    <row r="357" spans="1:4" x14ac:dyDescent="0.2">
      <c r="A357" s="203">
        <f t="shared" si="8"/>
        <v>0</v>
      </c>
      <c r="B357" s="153" t="str">
        <v/>
      </c>
      <c r="C357" s="162">
        <v>0</v>
      </c>
      <c r="D357" s="156" t="str">
        <v/>
      </c>
    </row>
    <row r="358" spans="1:4" x14ac:dyDescent="0.2">
      <c r="A358" s="203">
        <f t="shared" si="8"/>
        <v>0</v>
      </c>
      <c r="B358" s="153" t="str">
        <v/>
      </c>
      <c r="C358" s="162">
        <v>0</v>
      </c>
      <c r="D358" s="156" t="str">
        <v/>
      </c>
    </row>
    <row r="359" spans="1:4" x14ac:dyDescent="0.2">
      <c r="A359" s="203">
        <f t="shared" si="8"/>
        <v>0</v>
      </c>
      <c r="B359" s="153" t="str">
        <v/>
      </c>
      <c r="C359" s="162">
        <v>0</v>
      </c>
      <c r="D359" s="156" t="str">
        <v/>
      </c>
    </row>
    <row r="360" spans="1:4" x14ac:dyDescent="0.2">
      <c r="A360" s="203">
        <f t="shared" si="8"/>
        <v>0</v>
      </c>
      <c r="B360" s="153" t="str">
        <v/>
      </c>
      <c r="C360" s="162">
        <v>0</v>
      </c>
      <c r="D360" s="156" t="str">
        <v/>
      </c>
    </row>
    <row r="361" spans="1:4" x14ac:dyDescent="0.2">
      <c r="A361" s="203">
        <f t="shared" si="8"/>
        <v>0</v>
      </c>
      <c r="B361" s="153" t="str">
        <v/>
      </c>
      <c r="C361" s="162">
        <v>0</v>
      </c>
      <c r="D361" s="156" t="str">
        <v/>
      </c>
    </row>
    <row r="362" spans="1:4" x14ac:dyDescent="0.2">
      <c r="A362" s="203">
        <f t="shared" si="8"/>
        <v>0</v>
      </c>
      <c r="B362" s="153" t="str">
        <v/>
      </c>
      <c r="C362" s="162">
        <v>0</v>
      </c>
      <c r="D362" s="156" t="str">
        <v/>
      </c>
    </row>
    <row r="363" spans="1:4" x14ac:dyDescent="0.2">
      <c r="A363" s="203">
        <f t="shared" si="8"/>
        <v>0</v>
      </c>
      <c r="B363" s="153" t="str">
        <v/>
      </c>
      <c r="C363" s="162">
        <v>0</v>
      </c>
      <c r="D363" s="156" t="str">
        <v/>
      </c>
    </row>
    <row r="364" spans="1:4" x14ac:dyDescent="0.2">
      <c r="A364" s="203">
        <f t="shared" si="8"/>
        <v>0</v>
      </c>
      <c r="B364" s="153" t="str">
        <v/>
      </c>
      <c r="C364" s="162">
        <v>0</v>
      </c>
      <c r="D364" s="156" t="str">
        <v/>
      </c>
    </row>
    <row r="365" spans="1:4" x14ac:dyDescent="0.2">
      <c r="A365" s="203">
        <f t="shared" si="8"/>
        <v>0</v>
      </c>
      <c r="B365" s="153" t="str">
        <v/>
      </c>
      <c r="C365" s="162">
        <v>0</v>
      </c>
      <c r="D365" s="156" t="str">
        <v/>
      </c>
    </row>
    <row r="366" spans="1:4" x14ac:dyDescent="0.2">
      <c r="A366" s="203">
        <f t="shared" si="8"/>
        <v>0</v>
      </c>
      <c r="B366" s="153" t="str">
        <v/>
      </c>
      <c r="C366" s="162">
        <v>0</v>
      </c>
      <c r="D366" s="156" t="str">
        <v/>
      </c>
    </row>
    <row r="367" spans="1:4" x14ac:dyDescent="0.2">
      <c r="A367" s="203">
        <f t="shared" si="8"/>
        <v>0</v>
      </c>
      <c r="B367" s="153" t="str">
        <v/>
      </c>
      <c r="C367" s="162">
        <v>0</v>
      </c>
      <c r="D367" s="156" t="str">
        <v/>
      </c>
    </row>
    <row r="368" spans="1:4" x14ac:dyDescent="0.2">
      <c r="A368" s="203">
        <f t="shared" si="8"/>
        <v>0</v>
      </c>
      <c r="B368" s="153" t="str">
        <v/>
      </c>
      <c r="C368" s="162">
        <v>0</v>
      </c>
      <c r="D368" s="156" t="str">
        <v/>
      </c>
    </row>
    <row r="369" spans="1:4" x14ac:dyDescent="0.2">
      <c r="A369" s="203">
        <f t="shared" si="8"/>
        <v>0</v>
      </c>
      <c r="B369" s="153" t="str">
        <v/>
      </c>
      <c r="C369" s="162">
        <v>0</v>
      </c>
      <c r="D369" s="156" t="str">
        <v/>
      </c>
    </row>
    <row r="370" spans="1:4" x14ac:dyDescent="0.2">
      <c r="A370" s="203">
        <f t="shared" si="8"/>
        <v>0</v>
      </c>
      <c r="B370" s="153" t="str">
        <v/>
      </c>
      <c r="C370" s="162">
        <v>0</v>
      </c>
      <c r="D370" s="156" t="str">
        <v/>
      </c>
    </row>
    <row r="371" spans="1:4" x14ac:dyDescent="0.2">
      <c r="A371" s="203">
        <f t="shared" si="8"/>
        <v>0</v>
      </c>
      <c r="B371" s="153" t="str">
        <v/>
      </c>
      <c r="C371" s="162">
        <v>0</v>
      </c>
      <c r="D371" s="156" t="str">
        <v/>
      </c>
    </row>
    <row r="372" spans="1:4" x14ac:dyDescent="0.2">
      <c r="A372" s="203">
        <f t="shared" si="8"/>
        <v>0</v>
      </c>
      <c r="B372" s="153" t="str">
        <v/>
      </c>
      <c r="C372" s="162">
        <v>0</v>
      </c>
      <c r="D372" s="156" t="str">
        <v/>
      </c>
    </row>
    <row r="373" spans="1:4" x14ac:dyDescent="0.2">
      <c r="A373" s="203">
        <f t="shared" si="8"/>
        <v>0</v>
      </c>
      <c r="B373" s="153" t="str">
        <v/>
      </c>
      <c r="C373" s="162">
        <v>0</v>
      </c>
      <c r="D373" s="156" t="str">
        <v/>
      </c>
    </row>
    <row r="374" spans="1:4" x14ac:dyDescent="0.2">
      <c r="A374" s="203">
        <f t="shared" si="8"/>
        <v>0</v>
      </c>
      <c r="B374" s="153" t="str">
        <v/>
      </c>
      <c r="C374" s="162">
        <v>0</v>
      </c>
      <c r="D374" s="156" t="str">
        <v/>
      </c>
    </row>
    <row r="375" spans="1:4" x14ac:dyDescent="0.2">
      <c r="A375" s="203">
        <f t="shared" si="8"/>
        <v>0</v>
      </c>
      <c r="B375" s="153" t="str">
        <v/>
      </c>
      <c r="C375" s="162">
        <v>0</v>
      </c>
      <c r="D375" s="156" t="str">
        <v/>
      </c>
    </row>
    <row r="376" spans="1:4" x14ac:dyDescent="0.2">
      <c r="A376" s="203">
        <f t="shared" si="8"/>
        <v>0</v>
      </c>
      <c r="B376" s="153" t="str">
        <v/>
      </c>
      <c r="C376" s="162">
        <v>0</v>
      </c>
      <c r="D376" s="156" t="str">
        <v/>
      </c>
    </row>
    <row r="377" spans="1:4" x14ac:dyDescent="0.2">
      <c r="A377" s="203">
        <f t="shared" si="8"/>
        <v>0</v>
      </c>
      <c r="B377" s="153" t="str">
        <v/>
      </c>
      <c r="C377" s="162">
        <v>0</v>
      </c>
      <c r="D377" s="156" t="str">
        <v/>
      </c>
    </row>
    <row r="378" spans="1:4" x14ac:dyDescent="0.2">
      <c r="A378" s="203">
        <f t="shared" si="8"/>
        <v>0</v>
      </c>
      <c r="B378" s="153" t="str">
        <v/>
      </c>
      <c r="C378" s="162">
        <v>0</v>
      </c>
      <c r="D378" s="156" t="str">
        <v/>
      </c>
    </row>
    <row r="379" spans="1:4" x14ac:dyDescent="0.2">
      <c r="A379" s="203">
        <f t="shared" si="8"/>
        <v>0</v>
      </c>
      <c r="B379" s="153" t="str">
        <v/>
      </c>
      <c r="C379" s="162">
        <v>0</v>
      </c>
      <c r="D379" s="156" t="str">
        <v/>
      </c>
    </row>
    <row r="380" spans="1:4" x14ac:dyDescent="0.2">
      <c r="A380" s="203">
        <f t="shared" si="8"/>
        <v>0</v>
      </c>
      <c r="B380" s="153" t="str">
        <v/>
      </c>
      <c r="C380" s="162">
        <v>0</v>
      </c>
      <c r="D380" s="156" t="str">
        <v/>
      </c>
    </row>
    <row r="381" spans="1:4" x14ac:dyDescent="0.2">
      <c r="A381" s="203">
        <f t="shared" si="8"/>
        <v>0</v>
      </c>
      <c r="B381" s="153" t="str">
        <v/>
      </c>
      <c r="C381" s="162">
        <v>0</v>
      </c>
      <c r="D381" s="156" t="str">
        <v/>
      </c>
    </row>
    <row r="382" spans="1:4" x14ac:dyDescent="0.2">
      <c r="A382" s="203">
        <f t="shared" si="8"/>
        <v>0</v>
      </c>
      <c r="B382" s="153" t="str">
        <v/>
      </c>
      <c r="C382" s="162">
        <v>0</v>
      </c>
      <c r="D382" s="156" t="str">
        <v/>
      </c>
    </row>
    <row r="383" spans="1:4" x14ac:dyDescent="0.2">
      <c r="A383" s="203">
        <f t="shared" si="8"/>
        <v>0</v>
      </c>
      <c r="B383" s="153" t="str">
        <v/>
      </c>
      <c r="C383" s="162">
        <v>0</v>
      </c>
      <c r="D383" s="156" t="str">
        <v/>
      </c>
    </row>
    <row r="384" spans="1:4" x14ac:dyDescent="0.2">
      <c r="A384" s="203">
        <f t="shared" si="8"/>
        <v>0</v>
      </c>
      <c r="B384" s="153" t="str">
        <v/>
      </c>
      <c r="C384" s="162">
        <v>0</v>
      </c>
      <c r="D384" s="156" t="str">
        <v/>
      </c>
    </row>
    <row r="385" spans="1:4" x14ac:dyDescent="0.2">
      <c r="A385" s="203">
        <f t="shared" si="8"/>
        <v>0</v>
      </c>
      <c r="B385" s="153" t="str">
        <v/>
      </c>
      <c r="C385" s="162">
        <v>0</v>
      </c>
      <c r="D385" s="156" t="str">
        <v/>
      </c>
    </row>
    <row r="386" spans="1:4" x14ac:dyDescent="0.2">
      <c r="A386" s="203">
        <f t="shared" si="8"/>
        <v>0</v>
      </c>
      <c r="B386" s="153" t="str">
        <v/>
      </c>
      <c r="C386" s="162">
        <v>0</v>
      </c>
      <c r="D386" s="156" t="str">
        <v/>
      </c>
    </row>
    <row r="387" spans="1:4" x14ac:dyDescent="0.2">
      <c r="A387" s="203">
        <f t="shared" si="8"/>
        <v>0</v>
      </c>
      <c r="B387" s="153" t="str">
        <v/>
      </c>
      <c r="C387" s="162">
        <v>0</v>
      </c>
      <c r="D387" s="156" t="str">
        <v/>
      </c>
    </row>
    <row r="388" spans="1:4" x14ac:dyDescent="0.2">
      <c r="A388" s="203">
        <f t="shared" si="8"/>
        <v>0</v>
      </c>
      <c r="B388" s="153" t="str">
        <v/>
      </c>
      <c r="C388" s="162">
        <v>0</v>
      </c>
      <c r="D388" s="156" t="str">
        <v/>
      </c>
    </row>
    <row r="389" spans="1:4" x14ac:dyDescent="0.2">
      <c r="A389" s="203">
        <f t="shared" si="8"/>
        <v>0</v>
      </c>
      <c r="B389" s="153" t="str">
        <v/>
      </c>
      <c r="C389" s="162">
        <v>0</v>
      </c>
      <c r="D389" s="156" t="str">
        <v/>
      </c>
    </row>
    <row r="390" spans="1:4" x14ac:dyDescent="0.2">
      <c r="A390" s="203">
        <f t="shared" si="8"/>
        <v>0</v>
      </c>
      <c r="B390" s="153" t="str">
        <v/>
      </c>
      <c r="C390" s="162">
        <v>0</v>
      </c>
      <c r="D390" s="156" t="str">
        <v/>
      </c>
    </row>
    <row r="391" spans="1:4" x14ac:dyDescent="0.2">
      <c r="A391" s="203">
        <f t="shared" si="8"/>
        <v>0</v>
      </c>
      <c r="B391" s="153" t="str">
        <v/>
      </c>
      <c r="C391" s="162">
        <v>0</v>
      </c>
      <c r="D391" s="156" t="str">
        <v/>
      </c>
    </row>
    <row r="392" spans="1:4" x14ac:dyDescent="0.2">
      <c r="A392" s="203">
        <f t="shared" si="8"/>
        <v>0</v>
      </c>
      <c r="B392" s="153" t="str">
        <v/>
      </c>
      <c r="C392" s="162">
        <v>0</v>
      </c>
      <c r="D392" s="156" t="str">
        <v/>
      </c>
    </row>
    <row r="393" spans="1:4" x14ac:dyDescent="0.2">
      <c r="A393" s="203">
        <f t="shared" si="8"/>
        <v>0</v>
      </c>
      <c r="B393" s="153" t="str">
        <v/>
      </c>
      <c r="C393" s="162">
        <v>0</v>
      </c>
      <c r="D393" s="156" t="str">
        <v/>
      </c>
    </row>
    <row r="394" spans="1:4" x14ac:dyDescent="0.2">
      <c r="A394" s="203">
        <f t="shared" si="8"/>
        <v>0</v>
      </c>
      <c r="B394" s="153" t="str">
        <v/>
      </c>
      <c r="C394" s="162">
        <v>0</v>
      </c>
      <c r="D394" s="156" t="str">
        <v/>
      </c>
    </row>
    <row r="395" spans="1:4" x14ac:dyDescent="0.2">
      <c r="A395" s="203">
        <f t="shared" si="8"/>
        <v>0</v>
      </c>
      <c r="B395" s="153" t="str">
        <v/>
      </c>
      <c r="C395" s="162">
        <v>0</v>
      </c>
      <c r="D395" s="156" t="str">
        <v/>
      </c>
    </row>
    <row r="396" spans="1:4" x14ac:dyDescent="0.2">
      <c r="A396" s="203">
        <f t="shared" si="8"/>
        <v>0</v>
      </c>
      <c r="B396" s="153" t="str">
        <v/>
      </c>
      <c r="C396" s="162">
        <v>0</v>
      </c>
      <c r="D396" s="156" t="str">
        <v/>
      </c>
    </row>
    <row r="397" spans="1:4" x14ac:dyDescent="0.2">
      <c r="A397" s="203">
        <f t="shared" si="8"/>
        <v>0</v>
      </c>
      <c r="B397" s="153" t="str">
        <v/>
      </c>
      <c r="C397" s="162">
        <v>0</v>
      </c>
      <c r="D397" s="156" t="str">
        <v/>
      </c>
    </row>
    <row r="398" spans="1:4" x14ac:dyDescent="0.2">
      <c r="A398" s="203">
        <f t="shared" si="8"/>
        <v>0</v>
      </c>
      <c r="B398" s="153" t="str">
        <v/>
      </c>
      <c r="C398" s="162">
        <v>0</v>
      </c>
      <c r="D398" s="156" t="str">
        <v/>
      </c>
    </row>
    <row r="399" spans="1:4" x14ac:dyDescent="0.2">
      <c r="A399" s="203">
        <f t="shared" si="8"/>
        <v>0</v>
      </c>
      <c r="B399" s="153" t="str">
        <v/>
      </c>
      <c r="C399" s="162">
        <v>0</v>
      </c>
      <c r="D399" s="156" t="str">
        <v/>
      </c>
    </row>
    <row r="400" spans="1:4" x14ac:dyDescent="0.2">
      <c r="A400" s="203">
        <f t="shared" si="8"/>
        <v>0</v>
      </c>
      <c r="B400" s="153" t="str">
        <v/>
      </c>
      <c r="C400" s="162">
        <v>0</v>
      </c>
      <c r="D400" s="156" t="str">
        <v/>
      </c>
    </row>
    <row r="401" spans="1:4" x14ac:dyDescent="0.2">
      <c r="A401" s="203">
        <f t="shared" si="8"/>
        <v>0</v>
      </c>
      <c r="B401" s="153" t="str">
        <v/>
      </c>
      <c r="C401" s="162">
        <v>0</v>
      </c>
      <c r="D401" s="156" t="str">
        <v/>
      </c>
    </row>
    <row r="402" spans="1:4" x14ac:dyDescent="0.2">
      <c r="A402" s="203">
        <f t="shared" si="8"/>
        <v>0</v>
      </c>
      <c r="B402" s="153" t="str">
        <v/>
      </c>
      <c r="C402" s="162">
        <v>0</v>
      </c>
      <c r="D402" s="156" t="str">
        <v/>
      </c>
    </row>
    <row r="403" spans="1:4" x14ac:dyDescent="0.2">
      <c r="A403" s="203">
        <f t="shared" si="8"/>
        <v>0</v>
      </c>
      <c r="B403" s="153" t="str">
        <v/>
      </c>
      <c r="C403" s="162">
        <v>0</v>
      </c>
      <c r="D403" s="156" t="str">
        <v/>
      </c>
    </row>
    <row r="404" spans="1:4" x14ac:dyDescent="0.2">
      <c r="A404" s="203">
        <f>IF(C404=0,0,1)</f>
        <v>0</v>
      </c>
      <c r="B404" s="153" t="str">
        <v/>
      </c>
      <c r="C404" s="162">
        <v>0</v>
      </c>
      <c r="D404" s="156" t="str">
        <v/>
      </c>
    </row>
    <row r="405" spans="1:4" x14ac:dyDescent="0.2">
      <c r="A405" s="203">
        <f t="shared" si="1"/>
        <v>0</v>
      </c>
      <c r="B405" s="159" t="s">
        <v>492</v>
      </c>
      <c r="C405" s="162">
        <f>SUMIF(PVV!$E$9:$E$58,"Flexível",PVV!$I$9:$I$58)</f>
        <v>0</v>
      </c>
      <c r="D405" s="153"/>
    </row>
    <row r="406" spans="1:4" x14ac:dyDescent="0.2">
      <c r="A406" s="203">
        <v>1</v>
      </c>
      <c r="B406" s="153"/>
      <c r="C406" s="162"/>
      <c r="D406" s="153"/>
    </row>
    <row r="407" spans="1:4" x14ac:dyDescent="0.2">
      <c r="A407" s="203">
        <v>1</v>
      </c>
      <c r="B407" s="154" t="s">
        <v>317</v>
      </c>
      <c r="C407" s="154"/>
      <c r="D407" s="154"/>
    </row>
    <row r="408" spans="1:4" x14ac:dyDescent="0.2">
      <c r="A408" s="203">
        <v>1</v>
      </c>
      <c r="B408" s="153"/>
      <c r="C408" s="162"/>
      <c r="D408" s="153"/>
    </row>
    <row r="409" spans="1:4" x14ac:dyDescent="0.2">
      <c r="A409" s="203">
        <f t="shared" ref="A409:A458" si="9">IF(C409=0,0,1)</f>
        <v>0</v>
      </c>
      <c r="B409" s="184" t="str">
        <f t="array" ref="B409:B458">IF(TRANSPOSE('PORTA FRIGORÍFICA'!$M$60:$BJ$60)="SILO",TRANSPOSE('PORTA FRIGORÍFICA'!$M$63:$BJ$63),"")</f>
        <v/>
      </c>
      <c r="C409" s="162">
        <f t="array" ref="C409:C458">IF(TRANSPOSE('PORTA FRIGORÍFICA'!$M$60:$BJ$60)="SILO",TRANSPOSE('PORTA FRIGORÍFICA'!$M$64:$BJ$64),0)</f>
        <v>0</v>
      </c>
      <c r="D409" s="156" t="str">
        <f t="array" ref="D409:D458">IF(TRANSPOSE('PORTA FRIGORÍFICA'!$M$60:$BJ$60)="SILO",TRANSPOSE('PORTA FRIGORÍFICA'!$M$65:$BJ$65),"")</f>
        <v/>
      </c>
    </row>
    <row r="410" spans="1:4" x14ac:dyDescent="0.2">
      <c r="A410" s="203">
        <f t="shared" si="9"/>
        <v>0</v>
      </c>
      <c r="B410" s="184" t="str">
        <v/>
      </c>
      <c r="C410" s="162">
        <v>0</v>
      </c>
      <c r="D410" s="156" t="str">
        <v/>
      </c>
    </row>
    <row r="411" spans="1:4" x14ac:dyDescent="0.2">
      <c r="A411" s="203">
        <f t="shared" si="9"/>
        <v>0</v>
      </c>
      <c r="B411" s="156" t="str">
        <v/>
      </c>
      <c r="C411" s="162">
        <v>0</v>
      </c>
      <c r="D411" s="153" t="str">
        <v/>
      </c>
    </row>
    <row r="412" spans="1:4" x14ac:dyDescent="0.2">
      <c r="A412" s="203">
        <f t="shared" si="9"/>
        <v>0</v>
      </c>
      <c r="B412" s="156" t="str">
        <v/>
      </c>
      <c r="C412" s="162">
        <v>0</v>
      </c>
      <c r="D412" s="153" t="str">
        <v/>
      </c>
    </row>
    <row r="413" spans="1:4" x14ac:dyDescent="0.2">
      <c r="A413" s="203">
        <f t="shared" si="9"/>
        <v>0</v>
      </c>
      <c r="B413" s="156" t="str">
        <v/>
      </c>
      <c r="C413" s="162">
        <v>0</v>
      </c>
      <c r="D413" s="153" t="str">
        <v/>
      </c>
    </row>
    <row r="414" spans="1:4" x14ac:dyDescent="0.2">
      <c r="A414" s="203">
        <f t="shared" si="9"/>
        <v>0</v>
      </c>
      <c r="B414" s="156" t="str">
        <v/>
      </c>
      <c r="C414" s="162">
        <v>0</v>
      </c>
      <c r="D414" s="153" t="str">
        <v/>
      </c>
    </row>
    <row r="415" spans="1:4" x14ac:dyDescent="0.2">
      <c r="A415" s="203">
        <f t="shared" si="9"/>
        <v>0</v>
      </c>
      <c r="B415" s="156" t="str">
        <v/>
      </c>
      <c r="C415" s="162">
        <v>0</v>
      </c>
      <c r="D415" s="153" t="str">
        <v/>
      </c>
    </row>
    <row r="416" spans="1:4" x14ac:dyDescent="0.2">
      <c r="A416" s="203">
        <f t="shared" si="9"/>
        <v>0</v>
      </c>
      <c r="B416" s="156" t="str">
        <v/>
      </c>
      <c r="C416" s="162">
        <v>0</v>
      </c>
      <c r="D416" s="153" t="str">
        <v/>
      </c>
    </row>
    <row r="417" spans="1:4" x14ac:dyDescent="0.2">
      <c r="A417" s="203">
        <f t="shared" si="9"/>
        <v>0</v>
      </c>
      <c r="B417" s="156" t="str">
        <v/>
      </c>
      <c r="C417" s="162">
        <v>0</v>
      </c>
      <c r="D417" s="153" t="str">
        <v/>
      </c>
    </row>
    <row r="418" spans="1:4" x14ac:dyDescent="0.2">
      <c r="A418" s="203">
        <f t="shared" si="9"/>
        <v>0</v>
      </c>
      <c r="B418" s="156" t="str">
        <v/>
      </c>
      <c r="C418" s="162">
        <v>0</v>
      </c>
      <c r="D418" s="153" t="str">
        <v/>
      </c>
    </row>
    <row r="419" spans="1:4" x14ac:dyDescent="0.2">
      <c r="A419" s="203">
        <f t="shared" si="9"/>
        <v>0</v>
      </c>
      <c r="B419" s="184" t="str">
        <v/>
      </c>
      <c r="C419" s="162">
        <v>0</v>
      </c>
      <c r="D419" s="156" t="str">
        <v/>
      </c>
    </row>
    <row r="420" spans="1:4" x14ac:dyDescent="0.2">
      <c r="A420" s="203">
        <f t="shared" si="9"/>
        <v>0</v>
      </c>
      <c r="B420" s="184" t="str">
        <v/>
      </c>
      <c r="C420" s="162">
        <v>0</v>
      </c>
      <c r="D420" s="156" t="str">
        <v/>
      </c>
    </row>
    <row r="421" spans="1:4" x14ac:dyDescent="0.2">
      <c r="A421" s="203">
        <f t="shared" si="9"/>
        <v>0</v>
      </c>
      <c r="B421" s="156" t="str">
        <v/>
      </c>
      <c r="C421" s="162">
        <v>0</v>
      </c>
      <c r="D421" s="153" t="str">
        <v/>
      </c>
    </row>
    <row r="422" spans="1:4" x14ac:dyDescent="0.2">
      <c r="A422" s="203">
        <f t="shared" si="9"/>
        <v>0</v>
      </c>
      <c r="B422" s="156" t="str">
        <v/>
      </c>
      <c r="C422" s="162">
        <v>0</v>
      </c>
      <c r="D422" s="153" t="str">
        <v/>
      </c>
    </row>
    <row r="423" spans="1:4" x14ac:dyDescent="0.2">
      <c r="A423" s="203">
        <f t="shared" si="9"/>
        <v>0</v>
      </c>
      <c r="B423" s="156" t="str">
        <v/>
      </c>
      <c r="C423" s="162">
        <v>0</v>
      </c>
      <c r="D423" s="153" t="str">
        <v/>
      </c>
    </row>
    <row r="424" spans="1:4" x14ac:dyDescent="0.2">
      <c r="A424" s="203">
        <f t="shared" si="9"/>
        <v>0</v>
      </c>
      <c r="B424" s="156" t="str">
        <v/>
      </c>
      <c r="C424" s="162">
        <v>0</v>
      </c>
      <c r="D424" s="153" t="str">
        <v/>
      </c>
    </row>
    <row r="425" spans="1:4" x14ac:dyDescent="0.2">
      <c r="A425" s="203">
        <f t="shared" si="9"/>
        <v>0</v>
      </c>
      <c r="B425" s="156" t="str">
        <v/>
      </c>
      <c r="C425" s="162">
        <v>0</v>
      </c>
      <c r="D425" s="153" t="str">
        <v/>
      </c>
    </row>
    <row r="426" spans="1:4" x14ac:dyDescent="0.2">
      <c r="A426" s="203">
        <f t="shared" si="9"/>
        <v>0</v>
      </c>
      <c r="B426" s="156" t="str">
        <v/>
      </c>
      <c r="C426" s="162">
        <v>0</v>
      </c>
      <c r="D426" s="153" t="str">
        <v/>
      </c>
    </row>
    <row r="427" spans="1:4" x14ac:dyDescent="0.2">
      <c r="A427" s="203">
        <f t="shared" si="9"/>
        <v>0</v>
      </c>
      <c r="B427" s="156" t="str">
        <v/>
      </c>
      <c r="C427" s="162">
        <v>0</v>
      </c>
      <c r="D427" s="153" t="str">
        <v/>
      </c>
    </row>
    <row r="428" spans="1:4" x14ac:dyDescent="0.2">
      <c r="A428" s="203">
        <f t="shared" si="9"/>
        <v>0</v>
      </c>
      <c r="B428" s="156" t="str">
        <v/>
      </c>
      <c r="C428" s="162">
        <v>0</v>
      </c>
      <c r="D428" s="153" t="str">
        <v/>
      </c>
    </row>
    <row r="429" spans="1:4" x14ac:dyDescent="0.2">
      <c r="A429" s="203">
        <f t="shared" si="9"/>
        <v>0</v>
      </c>
      <c r="B429" s="184" t="str">
        <v/>
      </c>
      <c r="C429" s="162">
        <v>0</v>
      </c>
      <c r="D429" s="156" t="str">
        <v/>
      </c>
    </row>
    <row r="430" spans="1:4" x14ac:dyDescent="0.2">
      <c r="A430" s="203">
        <f t="shared" si="9"/>
        <v>0</v>
      </c>
      <c r="B430" s="184" t="str">
        <v/>
      </c>
      <c r="C430" s="162">
        <v>0</v>
      </c>
      <c r="D430" s="156" t="str">
        <v/>
      </c>
    </row>
    <row r="431" spans="1:4" x14ac:dyDescent="0.2">
      <c r="A431" s="203">
        <f t="shared" si="9"/>
        <v>0</v>
      </c>
      <c r="B431" s="156" t="str">
        <v/>
      </c>
      <c r="C431" s="162">
        <v>0</v>
      </c>
      <c r="D431" s="153" t="str">
        <v/>
      </c>
    </row>
    <row r="432" spans="1:4" x14ac:dyDescent="0.2">
      <c r="A432" s="203">
        <f t="shared" si="9"/>
        <v>0</v>
      </c>
      <c r="B432" s="156" t="str">
        <v/>
      </c>
      <c r="C432" s="162">
        <v>0</v>
      </c>
      <c r="D432" s="153" t="str">
        <v/>
      </c>
    </row>
    <row r="433" spans="1:4" x14ac:dyDescent="0.2">
      <c r="A433" s="203">
        <f t="shared" si="9"/>
        <v>0</v>
      </c>
      <c r="B433" s="156" t="str">
        <v/>
      </c>
      <c r="C433" s="162">
        <v>0</v>
      </c>
      <c r="D433" s="153" t="str">
        <v/>
      </c>
    </row>
    <row r="434" spans="1:4" x14ac:dyDescent="0.2">
      <c r="A434" s="203">
        <f t="shared" si="9"/>
        <v>0</v>
      </c>
      <c r="B434" s="156" t="str">
        <v/>
      </c>
      <c r="C434" s="162">
        <v>0</v>
      </c>
      <c r="D434" s="153" t="str">
        <v/>
      </c>
    </row>
    <row r="435" spans="1:4" x14ac:dyDescent="0.2">
      <c r="A435" s="203">
        <f t="shared" si="9"/>
        <v>0</v>
      </c>
      <c r="B435" s="156" t="str">
        <v/>
      </c>
      <c r="C435" s="162">
        <v>0</v>
      </c>
      <c r="D435" s="153" t="str">
        <v/>
      </c>
    </row>
    <row r="436" spans="1:4" x14ac:dyDescent="0.2">
      <c r="A436" s="203">
        <f t="shared" si="9"/>
        <v>0</v>
      </c>
      <c r="B436" s="156" t="str">
        <v/>
      </c>
      <c r="C436" s="162">
        <v>0</v>
      </c>
      <c r="D436" s="153" t="str">
        <v/>
      </c>
    </row>
    <row r="437" spans="1:4" x14ac:dyDescent="0.2">
      <c r="A437" s="203">
        <f t="shared" si="9"/>
        <v>0</v>
      </c>
      <c r="B437" s="156" t="str">
        <v/>
      </c>
      <c r="C437" s="162">
        <v>0</v>
      </c>
      <c r="D437" s="153" t="str">
        <v/>
      </c>
    </row>
    <row r="438" spans="1:4" x14ac:dyDescent="0.2">
      <c r="A438" s="203">
        <f t="shared" si="9"/>
        <v>0</v>
      </c>
      <c r="B438" s="156" t="str">
        <v/>
      </c>
      <c r="C438" s="162">
        <v>0</v>
      </c>
      <c r="D438" s="153" t="str">
        <v/>
      </c>
    </row>
    <row r="439" spans="1:4" x14ac:dyDescent="0.2">
      <c r="A439" s="203">
        <f t="shared" si="9"/>
        <v>0</v>
      </c>
      <c r="B439" s="184" t="str">
        <v/>
      </c>
      <c r="C439" s="162">
        <v>0</v>
      </c>
      <c r="D439" s="156" t="str">
        <v/>
      </c>
    </row>
    <row r="440" spans="1:4" x14ac:dyDescent="0.2">
      <c r="A440" s="203">
        <f t="shared" si="9"/>
        <v>0</v>
      </c>
      <c r="B440" s="184" t="str">
        <v/>
      </c>
      <c r="C440" s="162">
        <v>0</v>
      </c>
      <c r="D440" s="156" t="str">
        <v/>
      </c>
    </row>
    <row r="441" spans="1:4" x14ac:dyDescent="0.2">
      <c r="A441" s="203">
        <f t="shared" si="9"/>
        <v>0</v>
      </c>
      <c r="B441" s="156" t="str">
        <v/>
      </c>
      <c r="C441" s="162">
        <v>0</v>
      </c>
      <c r="D441" s="153" t="str">
        <v/>
      </c>
    </row>
    <row r="442" spans="1:4" x14ac:dyDescent="0.2">
      <c r="A442" s="203">
        <f t="shared" si="9"/>
        <v>0</v>
      </c>
      <c r="B442" s="156" t="str">
        <v/>
      </c>
      <c r="C442" s="162">
        <v>0</v>
      </c>
      <c r="D442" s="153" t="str">
        <v/>
      </c>
    </row>
    <row r="443" spans="1:4" x14ac:dyDescent="0.2">
      <c r="A443" s="203">
        <f t="shared" si="9"/>
        <v>0</v>
      </c>
      <c r="B443" s="156" t="str">
        <v/>
      </c>
      <c r="C443" s="162">
        <v>0</v>
      </c>
      <c r="D443" s="153" t="str">
        <v/>
      </c>
    </row>
    <row r="444" spans="1:4" x14ac:dyDescent="0.2">
      <c r="A444" s="203">
        <f t="shared" si="9"/>
        <v>0</v>
      </c>
      <c r="B444" s="156" t="str">
        <v/>
      </c>
      <c r="C444" s="162">
        <v>0</v>
      </c>
      <c r="D444" s="153" t="str">
        <v/>
      </c>
    </row>
    <row r="445" spans="1:4" x14ac:dyDescent="0.2">
      <c r="A445" s="203">
        <f t="shared" si="9"/>
        <v>0</v>
      </c>
      <c r="B445" s="156" t="str">
        <v/>
      </c>
      <c r="C445" s="162">
        <v>0</v>
      </c>
      <c r="D445" s="153" t="str">
        <v/>
      </c>
    </row>
    <row r="446" spans="1:4" x14ac:dyDescent="0.2">
      <c r="A446" s="203">
        <f t="shared" si="9"/>
        <v>0</v>
      </c>
      <c r="B446" s="156" t="str">
        <v/>
      </c>
      <c r="C446" s="162">
        <v>0</v>
      </c>
      <c r="D446" s="153" t="str">
        <v/>
      </c>
    </row>
    <row r="447" spans="1:4" x14ac:dyDescent="0.2">
      <c r="A447" s="203">
        <f t="shared" si="9"/>
        <v>0</v>
      </c>
      <c r="B447" s="156" t="str">
        <v/>
      </c>
      <c r="C447" s="162">
        <v>0</v>
      </c>
      <c r="D447" s="153" t="str">
        <v/>
      </c>
    </row>
    <row r="448" spans="1:4" x14ac:dyDescent="0.2">
      <c r="A448" s="203">
        <f t="shared" si="9"/>
        <v>0</v>
      </c>
      <c r="B448" s="156" t="str">
        <v/>
      </c>
      <c r="C448" s="162">
        <v>0</v>
      </c>
      <c r="D448" s="153" t="str">
        <v/>
      </c>
    </row>
    <row r="449" spans="1:4" x14ac:dyDescent="0.2">
      <c r="A449" s="203">
        <f t="shared" si="9"/>
        <v>0</v>
      </c>
      <c r="B449" s="184" t="str">
        <v/>
      </c>
      <c r="C449" s="162">
        <v>0</v>
      </c>
      <c r="D449" s="156" t="str">
        <v/>
      </c>
    </row>
    <row r="450" spans="1:4" x14ac:dyDescent="0.2">
      <c r="A450" s="203">
        <f t="shared" si="9"/>
        <v>0</v>
      </c>
      <c r="B450" s="184" t="str">
        <v/>
      </c>
      <c r="C450" s="162">
        <v>0</v>
      </c>
      <c r="D450" s="156" t="str">
        <v/>
      </c>
    </row>
    <row r="451" spans="1:4" x14ac:dyDescent="0.2">
      <c r="A451" s="203">
        <f t="shared" si="9"/>
        <v>0</v>
      </c>
      <c r="B451" s="156" t="str">
        <v/>
      </c>
      <c r="C451" s="162">
        <v>0</v>
      </c>
      <c r="D451" s="153" t="str">
        <v/>
      </c>
    </row>
    <row r="452" spans="1:4" x14ac:dyDescent="0.2">
      <c r="A452" s="203">
        <f t="shared" si="9"/>
        <v>0</v>
      </c>
      <c r="B452" s="156" t="str">
        <v/>
      </c>
      <c r="C452" s="162">
        <v>0</v>
      </c>
      <c r="D452" s="153" t="str">
        <v/>
      </c>
    </row>
    <row r="453" spans="1:4" x14ac:dyDescent="0.2">
      <c r="A453" s="203">
        <f t="shared" si="9"/>
        <v>0</v>
      </c>
      <c r="B453" s="156" t="str">
        <v/>
      </c>
      <c r="C453" s="162">
        <v>0</v>
      </c>
      <c r="D453" s="153" t="str">
        <v/>
      </c>
    </row>
    <row r="454" spans="1:4" x14ac:dyDescent="0.2">
      <c r="A454" s="203">
        <f t="shared" si="9"/>
        <v>0</v>
      </c>
      <c r="B454" s="156" t="str">
        <v/>
      </c>
      <c r="C454" s="162">
        <v>0</v>
      </c>
      <c r="D454" s="153" t="str">
        <v/>
      </c>
    </row>
    <row r="455" spans="1:4" x14ac:dyDescent="0.2">
      <c r="A455" s="203">
        <f t="shared" si="9"/>
        <v>0</v>
      </c>
      <c r="B455" s="156" t="str">
        <v/>
      </c>
      <c r="C455" s="162">
        <v>0</v>
      </c>
      <c r="D455" s="153" t="str">
        <v/>
      </c>
    </row>
    <row r="456" spans="1:4" x14ac:dyDescent="0.2">
      <c r="A456" s="203">
        <f t="shared" si="9"/>
        <v>0</v>
      </c>
      <c r="B456" s="156" t="str">
        <v/>
      </c>
      <c r="C456" s="162">
        <v>0</v>
      </c>
      <c r="D456" s="153" t="str">
        <v/>
      </c>
    </row>
    <row r="457" spans="1:4" x14ac:dyDescent="0.2">
      <c r="A457" s="203">
        <f t="shared" si="9"/>
        <v>0</v>
      </c>
      <c r="B457" s="156" t="str">
        <v/>
      </c>
      <c r="C457" s="162">
        <v>0</v>
      </c>
      <c r="D457" s="153" t="str">
        <v/>
      </c>
    </row>
    <row r="458" spans="1:4" x14ac:dyDescent="0.2">
      <c r="A458" s="203">
        <f t="shared" si="9"/>
        <v>0</v>
      </c>
      <c r="B458" s="156" t="str">
        <v/>
      </c>
      <c r="C458" s="162">
        <v>0</v>
      </c>
      <c r="D458" s="153" t="str">
        <v/>
      </c>
    </row>
    <row r="459" spans="1:4" x14ac:dyDescent="0.2">
      <c r="A459" s="203">
        <v>1</v>
      </c>
      <c r="B459" s="153"/>
      <c r="C459" s="162"/>
      <c r="D459" s="153"/>
    </row>
    <row r="460" spans="1:4" x14ac:dyDescent="0.2">
      <c r="A460" s="203">
        <v>1</v>
      </c>
      <c r="B460" s="154" t="s">
        <v>322</v>
      </c>
      <c r="C460" s="154"/>
      <c r="D460" s="154"/>
    </row>
    <row r="461" spans="1:4" x14ac:dyDescent="0.2">
      <c r="A461" s="203">
        <v>1</v>
      </c>
      <c r="B461" s="153"/>
      <c r="C461" s="162"/>
      <c r="D461" s="153"/>
    </row>
    <row r="462" spans="1:4" x14ac:dyDescent="0.2">
      <c r="A462" s="203">
        <f t="shared" ref="A462:A511" si="10">IF(C462=0,0,1)</f>
        <v>0</v>
      </c>
      <c r="B462" s="153" t="str">
        <f t="array" ref="B462:B511">IF(TRANSPOSE('CORTINA FLEXTIRA'!$M$60:$BJ$60)="Intercalada",TRANSPOSE('CORTINA FLEXTIRA'!$M$61:$BJ$61),"")</f>
        <v/>
      </c>
      <c r="C462" s="162">
        <f t="array" ref="C462:C511">IF(TRANSPOSE('CORTINA FLEXTIRA'!$M$60:$BJ$60)="Intercalada",TRANSPOSE('CORTINA FLEXTIRA'!$M$62:$BJ$62),0)</f>
        <v>0</v>
      </c>
      <c r="D462" s="153" t="str">
        <f t="array" ref="D462:D511">IF(TRANSPOSE('CORTINA FLEXTIRA'!$M$60:$BJ$60)="Intercalada",TRANSPOSE('CORTINA FLEXTIRA'!$M$63:$BJ$63),"")</f>
        <v/>
      </c>
    </row>
    <row r="463" spans="1:4" x14ac:dyDescent="0.2">
      <c r="A463" s="203">
        <f t="shared" si="10"/>
        <v>0</v>
      </c>
      <c r="B463" s="153" t="str">
        <v/>
      </c>
      <c r="C463" s="162">
        <v>0</v>
      </c>
      <c r="D463" s="153" t="str">
        <v/>
      </c>
    </row>
    <row r="464" spans="1:4" x14ac:dyDescent="0.2">
      <c r="A464" s="203">
        <f t="shared" si="10"/>
        <v>0</v>
      </c>
      <c r="B464" s="153" t="str">
        <v/>
      </c>
      <c r="C464" s="162">
        <v>0</v>
      </c>
      <c r="D464" s="153" t="str">
        <v/>
      </c>
    </row>
    <row r="465" spans="1:4" x14ac:dyDescent="0.2">
      <c r="A465" s="203">
        <f t="shared" si="10"/>
        <v>0</v>
      </c>
      <c r="B465" s="153" t="str">
        <v/>
      </c>
      <c r="C465" s="162">
        <v>0</v>
      </c>
      <c r="D465" s="153" t="str">
        <v/>
      </c>
    </row>
    <row r="466" spans="1:4" x14ac:dyDescent="0.2">
      <c r="A466" s="203">
        <f t="shared" si="10"/>
        <v>0</v>
      </c>
      <c r="B466" s="153" t="str">
        <v/>
      </c>
      <c r="C466" s="162">
        <v>0</v>
      </c>
      <c r="D466" s="153" t="str">
        <v/>
      </c>
    </row>
    <row r="467" spans="1:4" x14ac:dyDescent="0.2">
      <c r="A467" s="203">
        <f t="shared" si="10"/>
        <v>0</v>
      </c>
      <c r="B467" s="153" t="str">
        <v/>
      </c>
      <c r="C467" s="162">
        <v>0</v>
      </c>
      <c r="D467" s="153" t="str">
        <v/>
      </c>
    </row>
    <row r="468" spans="1:4" x14ac:dyDescent="0.2">
      <c r="A468" s="203">
        <f t="shared" si="10"/>
        <v>0</v>
      </c>
      <c r="B468" s="153" t="str">
        <v/>
      </c>
      <c r="C468" s="162">
        <v>0</v>
      </c>
      <c r="D468" s="153" t="str">
        <v/>
      </c>
    </row>
    <row r="469" spans="1:4" x14ac:dyDescent="0.2">
      <c r="A469" s="203">
        <f t="shared" si="10"/>
        <v>0</v>
      </c>
      <c r="B469" s="153" t="str">
        <v/>
      </c>
      <c r="C469" s="162">
        <v>0</v>
      </c>
      <c r="D469" s="153" t="str">
        <v/>
      </c>
    </row>
    <row r="470" spans="1:4" x14ac:dyDescent="0.2">
      <c r="A470" s="203">
        <f t="shared" si="10"/>
        <v>0</v>
      </c>
      <c r="B470" s="153" t="str">
        <v/>
      </c>
      <c r="C470" s="162">
        <v>0</v>
      </c>
      <c r="D470" s="153" t="str">
        <v/>
      </c>
    </row>
    <row r="471" spans="1:4" x14ac:dyDescent="0.2">
      <c r="A471" s="203">
        <f t="shared" si="10"/>
        <v>0</v>
      </c>
      <c r="B471" s="153" t="str">
        <v/>
      </c>
      <c r="C471" s="162">
        <v>0</v>
      </c>
      <c r="D471" s="153" t="str">
        <v/>
      </c>
    </row>
    <row r="472" spans="1:4" x14ac:dyDescent="0.2">
      <c r="A472" s="203">
        <f t="shared" si="10"/>
        <v>0</v>
      </c>
      <c r="B472" s="153" t="str">
        <v/>
      </c>
      <c r="C472" s="162">
        <v>0</v>
      </c>
      <c r="D472" s="153" t="str">
        <v/>
      </c>
    </row>
    <row r="473" spans="1:4" x14ac:dyDescent="0.2">
      <c r="A473" s="203">
        <f t="shared" si="10"/>
        <v>0</v>
      </c>
      <c r="B473" s="153" t="str">
        <v/>
      </c>
      <c r="C473" s="162">
        <v>0</v>
      </c>
      <c r="D473" s="153" t="str">
        <v/>
      </c>
    </row>
    <row r="474" spans="1:4" x14ac:dyDescent="0.2">
      <c r="A474" s="203">
        <f t="shared" si="10"/>
        <v>0</v>
      </c>
      <c r="B474" s="153" t="str">
        <v/>
      </c>
      <c r="C474" s="162">
        <v>0</v>
      </c>
      <c r="D474" s="153" t="str">
        <v/>
      </c>
    </row>
    <row r="475" spans="1:4" x14ac:dyDescent="0.2">
      <c r="A475" s="203">
        <f t="shared" si="10"/>
        <v>0</v>
      </c>
      <c r="B475" s="153" t="str">
        <v/>
      </c>
      <c r="C475" s="162">
        <v>0</v>
      </c>
      <c r="D475" s="153" t="str">
        <v/>
      </c>
    </row>
    <row r="476" spans="1:4" x14ac:dyDescent="0.2">
      <c r="A476" s="203">
        <f t="shared" si="10"/>
        <v>0</v>
      </c>
      <c r="B476" s="153" t="str">
        <v/>
      </c>
      <c r="C476" s="162">
        <v>0</v>
      </c>
      <c r="D476" s="153" t="str">
        <v/>
      </c>
    </row>
    <row r="477" spans="1:4" x14ac:dyDescent="0.2">
      <c r="A477" s="203">
        <f t="shared" si="10"/>
        <v>0</v>
      </c>
      <c r="B477" s="153" t="str">
        <v/>
      </c>
      <c r="C477" s="162">
        <v>0</v>
      </c>
      <c r="D477" s="153" t="str">
        <v/>
      </c>
    </row>
    <row r="478" spans="1:4" x14ac:dyDescent="0.2">
      <c r="A478" s="203">
        <f t="shared" si="10"/>
        <v>0</v>
      </c>
      <c r="B478" s="153" t="str">
        <v/>
      </c>
      <c r="C478" s="162">
        <v>0</v>
      </c>
      <c r="D478" s="153" t="str">
        <v/>
      </c>
    </row>
    <row r="479" spans="1:4" x14ac:dyDescent="0.2">
      <c r="A479" s="203">
        <f t="shared" si="10"/>
        <v>0</v>
      </c>
      <c r="B479" s="153" t="str">
        <v/>
      </c>
      <c r="C479" s="162">
        <v>0</v>
      </c>
      <c r="D479" s="153" t="str">
        <v/>
      </c>
    </row>
    <row r="480" spans="1:4" x14ac:dyDescent="0.2">
      <c r="A480" s="203">
        <f t="shared" si="10"/>
        <v>0</v>
      </c>
      <c r="B480" s="153" t="str">
        <v/>
      </c>
      <c r="C480" s="162">
        <v>0</v>
      </c>
      <c r="D480" s="153" t="str">
        <v/>
      </c>
    </row>
    <row r="481" spans="1:4" x14ac:dyDescent="0.2">
      <c r="A481" s="203">
        <f t="shared" si="10"/>
        <v>0</v>
      </c>
      <c r="B481" s="153" t="str">
        <v/>
      </c>
      <c r="C481" s="162">
        <v>0</v>
      </c>
      <c r="D481" s="153" t="str">
        <v/>
      </c>
    </row>
    <row r="482" spans="1:4" x14ac:dyDescent="0.2">
      <c r="A482" s="203">
        <f t="shared" si="10"/>
        <v>0</v>
      </c>
      <c r="B482" s="153" t="str">
        <v/>
      </c>
      <c r="C482" s="162">
        <v>0</v>
      </c>
      <c r="D482" s="153" t="str">
        <v/>
      </c>
    </row>
    <row r="483" spans="1:4" x14ac:dyDescent="0.2">
      <c r="A483" s="203">
        <f t="shared" si="10"/>
        <v>0</v>
      </c>
      <c r="B483" s="153" t="str">
        <v/>
      </c>
      <c r="C483" s="162">
        <v>0</v>
      </c>
      <c r="D483" s="153" t="str">
        <v/>
      </c>
    </row>
    <row r="484" spans="1:4" x14ac:dyDescent="0.2">
      <c r="A484" s="203">
        <f t="shared" si="10"/>
        <v>0</v>
      </c>
      <c r="B484" s="153" t="str">
        <v/>
      </c>
      <c r="C484" s="162">
        <v>0</v>
      </c>
      <c r="D484" s="153" t="str">
        <v/>
      </c>
    </row>
    <row r="485" spans="1:4" x14ac:dyDescent="0.2">
      <c r="A485" s="203">
        <f t="shared" si="10"/>
        <v>0</v>
      </c>
      <c r="B485" s="153" t="str">
        <v/>
      </c>
      <c r="C485" s="162">
        <v>0</v>
      </c>
      <c r="D485" s="153" t="str">
        <v/>
      </c>
    </row>
    <row r="486" spans="1:4" x14ac:dyDescent="0.2">
      <c r="A486" s="203">
        <f t="shared" si="10"/>
        <v>0</v>
      </c>
      <c r="B486" s="153" t="str">
        <v/>
      </c>
      <c r="C486" s="162">
        <v>0</v>
      </c>
      <c r="D486" s="153" t="str">
        <v/>
      </c>
    </row>
    <row r="487" spans="1:4" x14ac:dyDescent="0.2">
      <c r="A487" s="203">
        <f t="shared" si="10"/>
        <v>0</v>
      </c>
      <c r="B487" s="153" t="str">
        <v/>
      </c>
      <c r="C487" s="162">
        <v>0</v>
      </c>
      <c r="D487" s="153" t="str">
        <v/>
      </c>
    </row>
    <row r="488" spans="1:4" x14ac:dyDescent="0.2">
      <c r="A488" s="203">
        <f t="shared" si="10"/>
        <v>0</v>
      </c>
      <c r="B488" s="153" t="str">
        <v/>
      </c>
      <c r="C488" s="162">
        <v>0</v>
      </c>
      <c r="D488" s="153" t="str">
        <v/>
      </c>
    </row>
    <row r="489" spans="1:4" x14ac:dyDescent="0.2">
      <c r="A489" s="203">
        <f t="shared" si="10"/>
        <v>0</v>
      </c>
      <c r="B489" s="153" t="str">
        <v/>
      </c>
      <c r="C489" s="162">
        <v>0</v>
      </c>
      <c r="D489" s="153" t="str">
        <v/>
      </c>
    </row>
    <row r="490" spans="1:4" x14ac:dyDescent="0.2">
      <c r="A490" s="203">
        <f t="shared" si="10"/>
        <v>0</v>
      </c>
      <c r="B490" s="153" t="str">
        <v/>
      </c>
      <c r="C490" s="162">
        <v>0</v>
      </c>
      <c r="D490" s="153" t="str">
        <v/>
      </c>
    </row>
    <row r="491" spans="1:4" x14ac:dyDescent="0.2">
      <c r="A491" s="203">
        <f t="shared" si="10"/>
        <v>0</v>
      </c>
      <c r="B491" s="153" t="str">
        <v/>
      </c>
      <c r="C491" s="162">
        <v>0</v>
      </c>
      <c r="D491" s="153" t="str">
        <v/>
      </c>
    </row>
    <row r="492" spans="1:4" x14ac:dyDescent="0.2">
      <c r="A492" s="203">
        <f t="shared" si="10"/>
        <v>0</v>
      </c>
      <c r="B492" s="153" t="str">
        <v/>
      </c>
      <c r="C492" s="162">
        <v>0</v>
      </c>
      <c r="D492" s="153" t="str">
        <v/>
      </c>
    </row>
    <row r="493" spans="1:4" x14ac:dyDescent="0.2">
      <c r="A493" s="203">
        <f t="shared" si="10"/>
        <v>0</v>
      </c>
      <c r="B493" s="153" t="str">
        <v/>
      </c>
      <c r="C493" s="162">
        <v>0</v>
      </c>
      <c r="D493" s="153" t="str">
        <v/>
      </c>
    </row>
    <row r="494" spans="1:4" x14ac:dyDescent="0.2">
      <c r="A494" s="203">
        <f t="shared" si="10"/>
        <v>0</v>
      </c>
      <c r="B494" s="153" t="str">
        <v/>
      </c>
      <c r="C494" s="162">
        <v>0</v>
      </c>
      <c r="D494" s="153" t="str">
        <v/>
      </c>
    </row>
    <row r="495" spans="1:4" x14ac:dyDescent="0.2">
      <c r="A495" s="203">
        <f t="shared" si="10"/>
        <v>0</v>
      </c>
      <c r="B495" s="153" t="str">
        <v/>
      </c>
      <c r="C495" s="162">
        <v>0</v>
      </c>
      <c r="D495" s="153" t="str">
        <v/>
      </c>
    </row>
    <row r="496" spans="1:4" x14ac:dyDescent="0.2">
      <c r="A496" s="203">
        <f t="shared" si="10"/>
        <v>0</v>
      </c>
      <c r="B496" s="153" t="str">
        <v/>
      </c>
      <c r="C496" s="162">
        <v>0</v>
      </c>
      <c r="D496" s="153" t="str">
        <v/>
      </c>
    </row>
    <row r="497" spans="1:4" x14ac:dyDescent="0.2">
      <c r="A497" s="203">
        <f t="shared" si="10"/>
        <v>0</v>
      </c>
      <c r="B497" s="153" t="str">
        <v/>
      </c>
      <c r="C497" s="162">
        <v>0</v>
      </c>
      <c r="D497" s="153" t="str">
        <v/>
      </c>
    </row>
    <row r="498" spans="1:4" x14ac:dyDescent="0.2">
      <c r="A498" s="203">
        <f t="shared" si="10"/>
        <v>0</v>
      </c>
      <c r="B498" s="153" t="str">
        <v/>
      </c>
      <c r="C498" s="162">
        <v>0</v>
      </c>
      <c r="D498" s="153" t="str">
        <v/>
      </c>
    </row>
    <row r="499" spans="1:4" x14ac:dyDescent="0.2">
      <c r="A499" s="203">
        <f t="shared" si="10"/>
        <v>0</v>
      </c>
      <c r="B499" s="153" t="str">
        <v/>
      </c>
      <c r="C499" s="162">
        <v>0</v>
      </c>
      <c r="D499" s="153" t="str">
        <v/>
      </c>
    </row>
    <row r="500" spans="1:4" x14ac:dyDescent="0.2">
      <c r="A500" s="203">
        <f t="shared" si="10"/>
        <v>0</v>
      </c>
      <c r="B500" s="153" t="str">
        <v/>
      </c>
      <c r="C500" s="162">
        <v>0</v>
      </c>
      <c r="D500" s="153" t="str">
        <v/>
      </c>
    </row>
    <row r="501" spans="1:4" x14ac:dyDescent="0.2">
      <c r="A501" s="203">
        <f t="shared" si="10"/>
        <v>0</v>
      </c>
      <c r="B501" s="153" t="str">
        <v/>
      </c>
      <c r="C501" s="162">
        <v>0</v>
      </c>
      <c r="D501" s="153" t="str">
        <v/>
      </c>
    </row>
    <row r="502" spans="1:4" x14ac:dyDescent="0.2">
      <c r="A502" s="203">
        <f t="shared" si="10"/>
        <v>0</v>
      </c>
      <c r="B502" s="153" t="str">
        <v/>
      </c>
      <c r="C502" s="162">
        <v>0</v>
      </c>
      <c r="D502" s="153" t="str">
        <v/>
      </c>
    </row>
    <row r="503" spans="1:4" x14ac:dyDescent="0.2">
      <c r="A503" s="203">
        <f t="shared" si="10"/>
        <v>0</v>
      </c>
      <c r="B503" s="153" t="str">
        <v/>
      </c>
      <c r="C503" s="162">
        <v>0</v>
      </c>
      <c r="D503" s="153" t="str">
        <v/>
      </c>
    </row>
    <row r="504" spans="1:4" x14ac:dyDescent="0.2">
      <c r="A504" s="203">
        <f t="shared" si="10"/>
        <v>0</v>
      </c>
      <c r="B504" s="153" t="str">
        <v/>
      </c>
      <c r="C504" s="162">
        <v>0</v>
      </c>
      <c r="D504" s="153" t="str">
        <v/>
      </c>
    </row>
    <row r="505" spans="1:4" x14ac:dyDescent="0.2">
      <c r="A505" s="203">
        <f t="shared" si="10"/>
        <v>0</v>
      </c>
      <c r="B505" s="153" t="str">
        <v/>
      </c>
      <c r="C505" s="162">
        <v>0</v>
      </c>
      <c r="D505" s="153" t="str">
        <v/>
      </c>
    </row>
    <row r="506" spans="1:4" x14ac:dyDescent="0.2">
      <c r="A506" s="203">
        <f t="shared" si="10"/>
        <v>0</v>
      </c>
      <c r="B506" s="153" t="str">
        <v/>
      </c>
      <c r="C506" s="162">
        <v>0</v>
      </c>
      <c r="D506" s="153" t="str">
        <v/>
      </c>
    </row>
    <row r="507" spans="1:4" x14ac:dyDescent="0.2">
      <c r="A507" s="203">
        <f t="shared" si="10"/>
        <v>0</v>
      </c>
      <c r="B507" s="153" t="str">
        <v/>
      </c>
      <c r="C507" s="162">
        <v>0</v>
      </c>
      <c r="D507" s="153" t="str">
        <v/>
      </c>
    </row>
    <row r="508" spans="1:4" x14ac:dyDescent="0.2">
      <c r="A508" s="203">
        <f t="shared" si="10"/>
        <v>0</v>
      </c>
      <c r="B508" s="153" t="str">
        <v/>
      </c>
      <c r="C508" s="162">
        <v>0</v>
      </c>
      <c r="D508" s="153" t="str">
        <v/>
      </c>
    </row>
    <row r="509" spans="1:4" x14ac:dyDescent="0.2">
      <c r="A509" s="203">
        <f t="shared" si="10"/>
        <v>0</v>
      </c>
      <c r="B509" s="153" t="str">
        <v/>
      </c>
      <c r="C509" s="162">
        <v>0</v>
      </c>
      <c r="D509" s="153" t="str">
        <v/>
      </c>
    </row>
    <row r="510" spans="1:4" x14ac:dyDescent="0.2">
      <c r="A510" s="203">
        <f t="shared" si="10"/>
        <v>0</v>
      </c>
      <c r="B510" s="153" t="str">
        <v/>
      </c>
      <c r="C510" s="162">
        <v>0</v>
      </c>
      <c r="D510" s="153" t="str">
        <v/>
      </c>
    </row>
    <row r="511" spans="1:4" x14ac:dyDescent="0.2">
      <c r="A511" s="203">
        <f t="shared" si="10"/>
        <v>0</v>
      </c>
      <c r="B511" s="153" t="str">
        <v/>
      </c>
      <c r="C511" s="162">
        <v>0</v>
      </c>
      <c r="D511" s="153" t="str">
        <v/>
      </c>
    </row>
    <row r="512" spans="1:4" x14ac:dyDescent="0.2">
      <c r="A512" s="203">
        <f t="shared" si="1"/>
        <v>0</v>
      </c>
      <c r="B512" s="153" t="s">
        <v>494</v>
      </c>
      <c r="C512" s="162">
        <f>SUMIF('CORTINA FLEXTIRA'!$D$9:$D$59,"Intercalada",'CORTINA FLEXTIRA'!$H$9:$H$59)</f>
        <v>0</v>
      </c>
      <c r="D512" s="153"/>
    </row>
    <row r="513" spans="1:4" x14ac:dyDescent="0.2">
      <c r="A513" s="203">
        <v>1</v>
      </c>
      <c r="B513" s="153"/>
      <c r="C513" s="162"/>
      <c r="D513" s="153"/>
    </row>
    <row r="514" spans="1:4" x14ac:dyDescent="0.2">
      <c r="A514" s="203">
        <v>1</v>
      </c>
      <c r="B514" s="154" t="s">
        <v>321</v>
      </c>
      <c r="C514" s="154"/>
      <c r="D514" s="154"/>
    </row>
    <row r="515" spans="1:4" x14ac:dyDescent="0.2">
      <c r="A515" s="203">
        <v>1</v>
      </c>
      <c r="B515" s="153"/>
      <c r="C515" s="162"/>
      <c r="D515" s="153"/>
    </row>
    <row r="516" spans="1:4" x14ac:dyDescent="0.2">
      <c r="A516" s="203">
        <f t="shared" ref="A516:A566" si="11">IF(C516=0,0,1)</f>
        <v>0</v>
      </c>
      <c r="B516" s="153" t="str">
        <f t="array" ref="B516:B565">IF(TRANSPOSE('CORTINA FLEXTIRA'!$M$60:$BJ$60)="Transparente",TRANSPOSE('CORTINA FLEXTIRA'!$M$61:$BJ$61),"")</f>
        <v/>
      </c>
      <c r="C516" s="162">
        <f t="array" ref="C516:C565">IF(TRANSPOSE('CORTINA FLEXTIRA'!$M$60:$BJ$60)="Transparente",TRANSPOSE('CORTINA FLEXTIRA'!$M$62:$BJ$62),0)</f>
        <v>0</v>
      </c>
      <c r="D516" s="153" t="str">
        <f t="array" ref="D516:D565">IF(TRANSPOSE('CORTINA FLEXTIRA'!$M$60:$BJ$60)="Transparente",TRANSPOSE('CORTINA FLEXTIRA'!$M$63:$BJ$63),"")</f>
        <v/>
      </c>
    </row>
    <row r="517" spans="1:4" x14ac:dyDescent="0.2">
      <c r="A517" s="203">
        <f t="shared" si="11"/>
        <v>0</v>
      </c>
      <c r="B517" s="153" t="str">
        <v/>
      </c>
      <c r="C517" s="162">
        <v>0</v>
      </c>
      <c r="D517" s="153" t="str">
        <v/>
      </c>
    </row>
    <row r="518" spans="1:4" x14ac:dyDescent="0.2">
      <c r="A518" s="203">
        <f t="shared" si="11"/>
        <v>0</v>
      </c>
      <c r="B518" s="153" t="str">
        <v/>
      </c>
      <c r="C518" s="162">
        <v>0</v>
      </c>
      <c r="D518" s="153" t="str">
        <v/>
      </c>
    </row>
    <row r="519" spans="1:4" x14ac:dyDescent="0.2">
      <c r="A519" s="203">
        <f t="shared" si="11"/>
        <v>0</v>
      </c>
      <c r="B519" s="153" t="str">
        <v/>
      </c>
      <c r="C519" s="162">
        <v>0</v>
      </c>
      <c r="D519" s="153" t="str">
        <v/>
      </c>
    </row>
    <row r="520" spans="1:4" x14ac:dyDescent="0.2">
      <c r="A520" s="203">
        <f t="shared" si="11"/>
        <v>0</v>
      </c>
      <c r="B520" s="153" t="str">
        <v/>
      </c>
      <c r="C520" s="162">
        <v>0</v>
      </c>
      <c r="D520" s="153" t="str">
        <v/>
      </c>
    </row>
    <row r="521" spans="1:4" x14ac:dyDescent="0.2">
      <c r="A521" s="203">
        <f t="shared" si="11"/>
        <v>0</v>
      </c>
      <c r="B521" s="153" t="str">
        <v/>
      </c>
      <c r="C521" s="162">
        <v>0</v>
      </c>
      <c r="D521" s="153" t="str">
        <v/>
      </c>
    </row>
    <row r="522" spans="1:4" x14ac:dyDescent="0.2">
      <c r="A522" s="203">
        <f t="shared" si="11"/>
        <v>0</v>
      </c>
      <c r="B522" s="153" t="str">
        <v/>
      </c>
      <c r="C522" s="162">
        <v>0</v>
      </c>
      <c r="D522" s="153" t="str">
        <v/>
      </c>
    </row>
    <row r="523" spans="1:4" x14ac:dyDescent="0.2">
      <c r="A523" s="203">
        <f t="shared" si="11"/>
        <v>0</v>
      </c>
      <c r="B523" s="153" t="str">
        <v/>
      </c>
      <c r="C523" s="162">
        <v>0</v>
      </c>
      <c r="D523" s="153" t="str">
        <v/>
      </c>
    </row>
    <row r="524" spans="1:4" x14ac:dyDescent="0.2">
      <c r="A524" s="203">
        <f t="shared" si="11"/>
        <v>0</v>
      </c>
      <c r="B524" s="153" t="str">
        <v/>
      </c>
      <c r="C524" s="162">
        <v>0</v>
      </c>
      <c r="D524" s="153" t="str">
        <v/>
      </c>
    </row>
    <row r="525" spans="1:4" x14ac:dyDescent="0.2">
      <c r="A525" s="203">
        <f t="shared" si="11"/>
        <v>0</v>
      </c>
      <c r="B525" s="153" t="str">
        <v/>
      </c>
      <c r="C525" s="162">
        <v>0</v>
      </c>
      <c r="D525" s="153" t="str">
        <v/>
      </c>
    </row>
    <row r="526" spans="1:4" x14ac:dyDescent="0.2">
      <c r="A526" s="203">
        <f t="shared" si="11"/>
        <v>0</v>
      </c>
      <c r="B526" s="153" t="str">
        <v/>
      </c>
      <c r="C526" s="162">
        <v>0</v>
      </c>
      <c r="D526" s="153" t="str">
        <v/>
      </c>
    </row>
    <row r="527" spans="1:4" x14ac:dyDescent="0.2">
      <c r="A527" s="203">
        <f t="shared" si="11"/>
        <v>0</v>
      </c>
      <c r="B527" s="153" t="str">
        <v/>
      </c>
      <c r="C527" s="162">
        <v>0</v>
      </c>
      <c r="D527" s="153" t="str">
        <v/>
      </c>
    </row>
    <row r="528" spans="1:4" x14ac:dyDescent="0.2">
      <c r="A528" s="203">
        <f t="shared" si="11"/>
        <v>0</v>
      </c>
      <c r="B528" s="153" t="str">
        <v/>
      </c>
      <c r="C528" s="162">
        <v>0</v>
      </c>
      <c r="D528" s="153" t="str">
        <v/>
      </c>
    </row>
    <row r="529" spans="1:4" x14ac:dyDescent="0.2">
      <c r="A529" s="203">
        <f t="shared" si="11"/>
        <v>0</v>
      </c>
      <c r="B529" s="153" t="str">
        <v/>
      </c>
      <c r="C529" s="162">
        <v>0</v>
      </c>
      <c r="D529" s="153" t="str">
        <v/>
      </c>
    </row>
    <row r="530" spans="1:4" x14ac:dyDescent="0.2">
      <c r="A530" s="203">
        <f t="shared" si="11"/>
        <v>0</v>
      </c>
      <c r="B530" s="153" t="str">
        <v/>
      </c>
      <c r="C530" s="162">
        <v>0</v>
      </c>
      <c r="D530" s="153" t="str">
        <v/>
      </c>
    </row>
    <row r="531" spans="1:4" x14ac:dyDescent="0.2">
      <c r="A531" s="203">
        <f t="shared" si="11"/>
        <v>0</v>
      </c>
      <c r="B531" s="153" t="str">
        <v/>
      </c>
      <c r="C531" s="162">
        <v>0</v>
      </c>
      <c r="D531" s="153" t="str">
        <v/>
      </c>
    </row>
    <row r="532" spans="1:4" x14ac:dyDescent="0.2">
      <c r="A532" s="203">
        <f t="shared" si="11"/>
        <v>0</v>
      </c>
      <c r="B532" s="153" t="str">
        <v/>
      </c>
      <c r="C532" s="162">
        <v>0</v>
      </c>
      <c r="D532" s="153" t="str">
        <v/>
      </c>
    </row>
    <row r="533" spans="1:4" x14ac:dyDescent="0.2">
      <c r="A533" s="203">
        <f t="shared" si="11"/>
        <v>0</v>
      </c>
      <c r="B533" s="153" t="str">
        <v/>
      </c>
      <c r="C533" s="162">
        <v>0</v>
      </c>
      <c r="D533" s="153" t="str">
        <v/>
      </c>
    </row>
    <row r="534" spans="1:4" x14ac:dyDescent="0.2">
      <c r="A534" s="203">
        <f t="shared" si="11"/>
        <v>0</v>
      </c>
      <c r="B534" s="153" t="str">
        <v/>
      </c>
      <c r="C534" s="162">
        <v>0</v>
      </c>
      <c r="D534" s="153" t="str">
        <v/>
      </c>
    </row>
    <row r="535" spans="1:4" x14ac:dyDescent="0.2">
      <c r="A535" s="203">
        <f t="shared" si="11"/>
        <v>0</v>
      </c>
      <c r="B535" s="153" t="str">
        <v/>
      </c>
      <c r="C535" s="162">
        <v>0</v>
      </c>
      <c r="D535" s="153" t="str">
        <v/>
      </c>
    </row>
    <row r="536" spans="1:4" x14ac:dyDescent="0.2">
      <c r="A536" s="203">
        <f t="shared" si="11"/>
        <v>0</v>
      </c>
      <c r="B536" s="153" t="str">
        <v/>
      </c>
      <c r="C536" s="162">
        <v>0</v>
      </c>
      <c r="D536" s="153" t="str">
        <v/>
      </c>
    </row>
    <row r="537" spans="1:4" x14ac:dyDescent="0.2">
      <c r="A537" s="203">
        <f t="shared" si="11"/>
        <v>0</v>
      </c>
      <c r="B537" s="153" t="str">
        <v/>
      </c>
      <c r="C537" s="162">
        <v>0</v>
      </c>
      <c r="D537" s="153" t="str">
        <v/>
      </c>
    </row>
    <row r="538" spans="1:4" x14ac:dyDescent="0.2">
      <c r="A538" s="203">
        <f t="shared" si="11"/>
        <v>0</v>
      </c>
      <c r="B538" s="153" t="str">
        <v/>
      </c>
      <c r="C538" s="162">
        <v>0</v>
      </c>
      <c r="D538" s="153" t="str">
        <v/>
      </c>
    </row>
    <row r="539" spans="1:4" x14ac:dyDescent="0.2">
      <c r="A539" s="203">
        <f t="shared" si="11"/>
        <v>0</v>
      </c>
      <c r="B539" s="153" t="str">
        <v/>
      </c>
      <c r="C539" s="162">
        <v>0</v>
      </c>
      <c r="D539" s="153" t="str">
        <v/>
      </c>
    </row>
    <row r="540" spans="1:4" x14ac:dyDescent="0.2">
      <c r="A540" s="203">
        <f t="shared" si="11"/>
        <v>0</v>
      </c>
      <c r="B540" s="153" t="str">
        <v/>
      </c>
      <c r="C540" s="162">
        <v>0</v>
      </c>
      <c r="D540" s="153" t="str">
        <v/>
      </c>
    </row>
    <row r="541" spans="1:4" x14ac:dyDescent="0.2">
      <c r="A541" s="203">
        <f t="shared" si="11"/>
        <v>0</v>
      </c>
      <c r="B541" s="153" t="str">
        <v/>
      </c>
      <c r="C541" s="162">
        <v>0</v>
      </c>
      <c r="D541" s="153" t="str">
        <v/>
      </c>
    </row>
    <row r="542" spans="1:4" x14ac:dyDescent="0.2">
      <c r="A542" s="203">
        <f t="shared" si="11"/>
        <v>0</v>
      </c>
      <c r="B542" s="153" t="str">
        <v/>
      </c>
      <c r="C542" s="162">
        <v>0</v>
      </c>
      <c r="D542" s="153" t="str">
        <v/>
      </c>
    </row>
    <row r="543" spans="1:4" x14ac:dyDescent="0.2">
      <c r="A543" s="203">
        <f t="shared" si="11"/>
        <v>0</v>
      </c>
      <c r="B543" s="153" t="str">
        <v/>
      </c>
      <c r="C543" s="162">
        <v>0</v>
      </c>
      <c r="D543" s="153" t="str">
        <v/>
      </c>
    </row>
    <row r="544" spans="1:4" x14ac:dyDescent="0.2">
      <c r="A544" s="203">
        <f t="shared" si="11"/>
        <v>0</v>
      </c>
      <c r="B544" s="153" t="str">
        <v/>
      </c>
      <c r="C544" s="162">
        <v>0</v>
      </c>
      <c r="D544" s="153" t="str">
        <v/>
      </c>
    </row>
    <row r="545" spans="1:4" x14ac:dyDescent="0.2">
      <c r="A545" s="203">
        <f t="shared" si="11"/>
        <v>0</v>
      </c>
      <c r="B545" s="153" t="str">
        <v/>
      </c>
      <c r="C545" s="162">
        <v>0</v>
      </c>
      <c r="D545" s="153" t="str">
        <v/>
      </c>
    </row>
    <row r="546" spans="1:4" x14ac:dyDescent="0.2">
      <c r="A546" s="203">
        <f t="shared" si="11"/>
        <v>0</v>
      </c>
      <c r="B546" s="153" t="str">
        <v/>
      </c>
      <c r="C546" s="162">
        <v>0</v>
      </c>
      <c r="D546" s="153" t="str">
        <v/>
      </c>
    </row>
    <row r="547" spans="1:4" x14ac:dyDescent="0.2">
      <c r="A547" s="203">
        <f t="shared" si="11"/>
        <v>0</v>
      </c>
      <c r="B547" s="153" t="str">
        <v/>
      </c>
      <c r="C547" s="162">
        <v>0</v>
      </c>
      <c r="D547" s="153" t="str">
        <v/>
      </c>
    </row>
    <row r="548" spans="1:4" x14ac:dyDescent="0.2">
      <c r="A548" s="203">
        <f t="shared" si="11"/>
        <v>0</v>
      </c>
      <c r="B548" s="153" t="str">
        <v/>
      </c>
      <c r="C548" s="162">
        <v>0</v>
      </c>
      <c r="D548" s="153" t="str">
        <v/>
      </c>
    </row>
    <row r="549" spans="1:4" x14ac:dyDescent="0.2">
      <c r="A549" s="203">
        <f t="shared" si="11"/>
        <v>0</v>
      </c>
      <c r="B549" s="153" t="str">
        <v/>
      </c>
      <c r="C549" s="162">
        <v>0</v>
      </c>
      <c r="D549" s="153" t="str">
        <v/>
      </c>
    </row>
    <row r="550" spans="1:4" x14ac:dyDescent="0.2">
      <c r="A550" s="203">
        <f t="shared" si="11"/>
        <v>0</v>
      </c>
      <c r="B550" s="153" t="str">
        <v/>
      </c>
      <c r="C550" s="162">
        <v>0</v>
      </c>
      <c r="D550" s="153" t="str">
        <v/>
      </c>
    </row>
    <row r="551" spans="1:4" x14ac:dyDescent="0.2">
      <c r="A551" s="203">
        <f t="shared" si="11"/>
        <v>0</v>
      </c>
      <c r="B551" s="153" t="str">
        <v/>
      </c>
      <c r="C551" s="162">
        <v>0</v>
      </c>
      <c r="D551" s="153" t="str">
        <v/>
      </c>
    </row>
    <row r="552" spans="1:4" x14ac:dyDescent="0.2">
      <c r="A552" s="203">
        <f t="shared" si="11"/>
        <v>0</v>
      </c>
      <c r="B552" s="153" t="str">
        <v/>
      </c>
      <c r="C552" s="162">
        <v>0</v>
      </c>
      <c r="D552" s="153" t="str">
        <v/>
      </c>
    </row>
    <row r="553" spans="1:4" x14ac:dyDescent="0.2">
      <c r="A553" s="203">
        <f t="shared" si="11"/>
        <v>0</v>
      </c>
      <c r="B553" s="153" t="str">
        <v/>
      </c>
      <c r="C553" s="162">
        <v>0</v>
      </c>
      <c r="D553" s="153" t="str">
        <v/>
      </c>
    </row>
    <row r="554" spans="1:4" x14ac:dyDescent="0.2">
      <c r="A554" s="203">
        <f t="shared" si="11"/>
        <v>0</v>
      </c>
      <c r="B554" s="153" t="str">
        <v/>
      </c>
      <c r="C554" s="162">
        <v>0</v>
      </c>
      <c r="D554" s="153" t="str">
        <v/>
      </c>
    </row>
    <row r="555" spans="1:4" x14ac:dyDescent="0.2">
      <c r="A555" s="203">
        <f t="shared" si="11"/>
        <v>0</v>
      </c>
      <c r="B555" s="153" t="str">
        <v/>
      </c>
      <c r="C555" s="162">
        <v>0</v>
      </c>
      <c r="D555" s="153" t="str">
        <v/>
      </c>
    </row>
    <row r="556" spans="1:4" x14ac:dyDescent="0.2">
      <c r="A556" s="203">
        <f t="shared" si="11"/>
        <v>0</v>
      </c>
      <c r="B556" s="153" t="str">
        <v/>
      </c>
      <c r="C556" s="162">
        <v>0</v>
      </c>
      <c r="D556" s="153" t="str">
        <v/>
      </c>
    </row>
    <row r="557" spans="1:4" x14ac:dyDescent="0.2">
      <c r="A557" s="203">
        <f t="shared" si="11"/>
        <v>0</v>
      </c>
      <c r="B557" s="153" t="str">
        <v/>
      </c>
      <c r="C557" s="162">
        <v>0</v>
      </c>
      <c r="D557" s="153" t="str">
        <v/>
      </c>
    </row>
    <row r="558" spans="1:4" x14ac:dyDescent="0.2">
      <c r="A558" s="203">
        <f t="shared" si="11"/>
        <v>0</v>
      </c>
      <c r="B558" s="153" t="str">
        <v/>
      </c>
      <c r="C558" s="162">
        <v>0</v>
      </c>
      <c r="D558" s="153" t="str">
        <v/>
      </c>
    </row>
    <row r="559" spans="1:4" x14ac:dyDescent="0.2">
      <c r="A559" s="203">
        <f t="shared" si="11"/>
        <v>0</v>
      </c>
      <c r="B559" s="153" t="str">
        <v/>
      </c>
      <c r="C559" s="162">
        <v>0</v>
      </c>
      <c r="D559" s="153" t="str">
        <v/>
      </c>
    </row>
    <row r="560" spans="1:4" x14ac:dyDescent="0.2">
      <c r="A560" s="203">
        <f t="shared" si="11"/>
        <v>0</v>
      </c>
      <c r="B560" s="153" t="str">
        <v/>
      </c>
      <c r="C560" s="162">
        <v>0</v>
      </c>
      <c r="D560" s="153" t="str">
        <v/>
      </c>
    </row>
    <row r="561" spans="1:4" x14ac:dyDescent="0.2">
      <c r="A561" s="203">
        <f t="shared" si="11"/>
        <v>0</v>
      </c>
      <c r="B561" s="153" t="str">
        <v/>
      </c>
      <c r="C561" s="162">
        <v>0</v>
      </c>
      <c r="D561" s="153" t="str">
        <v/>
      </c>
    </row>
    <row r="562" spans="1:4" x14ac:dyDescent="0.2">
      <c r="A562" s="203">
        <f t="shared" si="11"/>
        <v>0</v>
      </c>
      <c r="B562" s="153" t="str">
        <v/>
      </c>
      <c r="C562" s="162">
        <v>0</v>
      </c>
      <c r="D562" s="153" t="str">
        <v/>
      </c>
    </row>
    <row r="563" spans="1:4" x14ac:dyDescent="0.2">
      <c r="A563" s="203">
        <f t="shared" si="11"/>
        <v>0</v>
      </c>
      <c r="B563" s="153" t="str">
        <v/>
      </c>
      <c r="C563" s="162">
        <v>0</v>
      </c>
      <c r="D563" s="153" t="str">
        <v/>
      </c>
    </row>
    <row r="564" spans="1:4" x14ac:dyDescent="0.2">
      <c r="A564" s="203">
        <f t="shared" si="11"/>
        <v>0</v>
      </c>
      <c r="B564" s="153" t="str">
        <v/>
      </c>
      <c r="C564" s="162">
        <v>0</v>
      </c>
      <c r="D564" s="153" t="str">
        <v/>
      </c>
    </row>
    <row r="565" spans="1:4" x14ac:dyDescent="0.2">
      <c r="A565" s="203">
        <f t="shared" si="11"/>
        <v>0</v>
      </c>
      <c r="B565" s="153" t="str">
        <v/>
      </c>
      <c r="C565" s="162">
        <v>0</v>
      </c>
      <c r="D565" s="153" t="str">
        <v/>
      </c>
    </row>
    <row r="566" spans="1:4" x14ac:dyDescent="0.2">
      <c r="A566" s="203">
        <f t="shared" si="11"/>
        <v>0</v>
      </c>
      <c r="B566" s="153" t="s">
        <v>494</v>
      </c>
      <c r="C566" s="162">
        <f>SUMIF('CORTINA FLEXTIRA'!$D$9:$D$59,"Transparente",'CORTINA FLEXTIRA'!$H$9:$H$59)</f>
        <v>0</v>
      </c>
      <c r="D566" s="153"/>
    </row>
    <row r="567" spans="1:4" x14ac:dyDescent="0.2">
      <c r="A567" s="204">
        <v>1</v>
      </c>
      <c r="B567" s="161"/>
      <c r="C567" s="164"/>
      <c r="D567" s="161"/>
    </row>
    <row r="568" spans="1:4" x14ac:dyDescent="0.2">
      <c r="B568" s="206" t="s">
        <v>496</v>
      </c>
      <c r="C568" s="166"/>
      <c r="D568" s="165"/>
    </row>
  </sheetData>
  <autoFilter ref="A3:D568" xr:uid="{00000000-0009-0000-0000-000009000000}"/>
  <pageMargins left="0.511811024" right="0.511811024" top="0.78740157499999996" bottom="0.78740157499999996" header="0.31496062000000002" footer="0.31496062000000002"/>
  <pageSetup paperSize="9" orientation="portrait" r:id="rId1"/>
  <ignoredErrors>
    <ignoredError sqref="A81:A8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Filtrar_Linhas">
                <anchor moveWithCells="1" sizeWithCells="1">
                  <from>
                    <xdr:col>5</xdr:col>
                    <xdr:colOff>9525</xdr:colOff>
                    <xdr:row>0</xdr:row>
                    <xdr:rowOff>85725</xdr:rowOff>
                  </from>
                  <to>
                    <xdr:col>6</xdr:col>
                    <xdr:colOff>533400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Ordenar">
                <anchor moveWithCells="1" sizeWithCells="1">
                  <from>
                    <xdr:col>8</xdr:col>
                    <xdr:colOff>0</xdr:colOff>
                    <xdr:row>0</xdr:row>
                    <xdr:rowOff>85725</xdr:rowOff>
                  </from>
                  <to>
                    <xdr:col>11</xdr:col>
                    <xdr:colOff>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206F1-F153-45A2-86CC-619FA50062BA}">
  <sheetPr codeName="Plan10"/>
  <dimension ref="A2:C52"/>
  <sheetViews>
    <sheetView showGridLines="0" zoomScale="85" zoomScaleNormal="85" workbookViewId="0">
      <pane ySplit="3" topLeftCell="A16" activePane="bottomLeft" state="frozen"/>
      <selection pane="bottomLeft" activeCell="A41" sqref="A41"/>
    </sheetView>
  </sheetViews>
  <sheetFormatPr defaultRowHeight="12.75" x14ac:dyDescent="0.2"/>
  <cols>
    <col min="1" max="1" width="91.85546875" bestFit="1" customWidth="1"/>
    <col min="2" max="2" width="10.85546875" style="3" bestFit="1" customWidth="1"/>
    <col min="3" max="3" width="35.28515625" bestFit="1" customWidth="1"/>
    <col min="4" max="4" width="2.42578125" customWidth="1"/>
    <col min="5" max="6" width="8" customWidth="1"/>
    <col min="7" max="7" width="2.42578125" customWidth="1"/>
    <col min="8" max="10" width="8" customWidth="1"/>
  </cols>
  <sheetData>
    <row r="2" spans="1:3" x14ac:dyDescent="0.2">
      <c r="A2" s="208" t="s">
        <v>217</v>
      </c>
      <c r="B2" s="205"/>
      <c r="C2" s="207" t="s">
        <v>526</v>
      </c>
    </row>
    <row r="3" spans="1:3" x14ac:dyDescent="0.2">
      <c r="A3" s="152" t="s">
        <v>319</v>
      </c>
      <c r="B3" s="152" t="s">
        <v>318</v>
      </c>
      <c r="C3" s="152" t="s">
        <v>320</v>
      </c>
    </row>
    <row r="4" spans="1:3" x14ac:dyDescent="0.2">
      <c r="A4" s="153"/>
      <c r="B4" s="162"/>
      <c r="C4" s="153"/>
    </row>
    <row r="5" spans="1:3" x14ac:dyDescent="0.2">
      <c r="A5" s="154" t="s">
        <v>291</v>
      </c>
      <c r="B5" s="154"/>
      <c r="C5" s="154"/>
    </row>
    <row r="6" spans="1:3" x14ac:dyDescent="0.2">
      <c r="A6" s="153"/>
      <c r="B6" s="162"/>
      <c r="C6" s="153"/>
    </row>
    <row r="7" spans="1:3" x14ac:dyDescent="0.2">
      <c r="A7" s="153"/>
      <c r="B7" s="162"/>
      <c r="C7" s="153"/>
    </row>
    <row r="8" spans="1:3" x14ac:dyDescent="0.2">
      <c r="A8" s="154" t="s">
        <v>298</v>
      </c>
      <c r="B8" s="154"/>
      <c r="C8" s="154"/>
    </row>
    <row r="9" spans="1:3" x14ac:dyDescent="0.2">
      <c r="A9" s="153"/>
      <c r="B9" s="162"/>
      <c r="C9" s="153"/>
    </row>
    <row r="10" spans="1:3" x14ac:dyDescent="0.2">
      <c r="A10" s="153"/>
      <c r="B10" s="162"/>
      <c r="C10" s="153"/>
    </row>
    <row r="11" spans="1:3" x14ac:dyDescent="0.2">
      <c r="A11" s="154" t="s">
        <v>308</v>
      </c>
      <c r="B11" s="154"/>
      <c r="C11" s="154"/>
    </row>
    <row r="12" spans="1:3" x14ac:dyDescent="0.2">
      <c r="A12" s="157"/>
      <c r="B12" s="162"/>
      <c r="C12" s="153"/>
    </row>
    <row r="13" spans="1:3" x14ac:dyDescent="0.2">
      <c r="A13" s="153"/>
      <c r="B13" s="162"/>
      <c r="C13" s="153"/>
    </row>
    <row r="14" spans="1:3" x14ac:dyDescent="0.2">
      <c r="A14" s="154" t="s">
        <v>313</v>
      </c>
      <c r="B14" s="154"/>
      <c r="C14" s="154"/>
    </row>
    <row r="15" spans="1:3" x14ac:dyDescent="0.2">
      <c r="A15" s="156"/>
      <c r="B15" s="162"/>
      <c r="C15" s="153"/>
    </row>
    <row r="16" spans="1:3" x14ac:dyDescent="0.2">
      <c r="A16" s="154" t="s">
        <v>484</v>
      </c>
      <c r="B16" s="154"/>
      <c r="C16" s="154"/>
    </row>
    <row r="17" spans="1:3" x14ac:dyDescent="0.2">
      <c r="A17" s="157"/>
      <c r="B17" s="162"/>
      <c r="C17" s="153"/>
    </row>
    <row r="18" spans="1:3" x14ac:dyDescent="0.2">
      <c r="A18" s="153"/>
      <c r="B18" s="162"/>
      <c r="C18" s="153"/>
    </row>
    <row r="19" spans="1:3" x14ac:dyDescent="0.2">
      <c r="A19" s="154" t="s">
        <v>485</v>
      </c>
      <c r="B19" s="154"/>
      <c r="C19" s="154"/>
    </row>
    <row r="20" spans="1:3" x14ac:dyDescent="0.2">
      <c r="A20" s="153"/>
      <c r="B20" s="162"/>
      <c r="C20" s="153"/>
    </row>
    <row r="21" spans="1:3" x14ac:dyDescent="0.2">
      <c r="A21" s="153"/>
      <c r="B21" s="162"/>
      <c r="C21" s="153"/>
    </row>
    <row r="22" spans="1:3" x14ac:dyDescent="0.2">
      <c r="A22" s="154" t="s">
        <v>486</v>
      </c>
      <c r="B22" s="154"/>
      <c r="C22" s="154"/>
    </row>
    <row r="23" spans="1:3" x14ac:dyDescent="0.2">
      <c r="A23" s="153"/>
      <c r="B23" s="162"/>
      <c r="C23" s="153"/>
    </row>
    <row r="24" spans="1:3" x14ac:dyDescent="0.2">
      <c r="A24" s="153"/>
      <c r="B24" s="162"/>
      <c r="C24" s="153"/>
    </row>
    <row r="25" spans="1:3" x14ac:dyDescent="0.2">
      <c r="A25" s="154" t="s">
        <v>487</v>
      </c>
      <c r="B25" s="154"/>
      <c r="C25" s="154"/>
    </row>
    <row r="26" spans="1:3" x14ac:dyDescent="0.2">
      <c r="A26" s="153"/>
      <c r="B26" s="162"/>
      <c r="C26" s="153"/>
    </row>
    <row r="27" spans="1:3" x14ac:dyDescent="0.2">
      <c r="A27" s="184" t="s">
        <v>531</v>
      </c>
      <c r="B27" s="162">
        <v>1</v>
      </c>
      <c r="C27" s="156" t="s">
        <v>527</v>
      </c>
    </row>
    <row r="28" spans="1:3" x14ac:dyDescent="0.2">
      <c r="A28" s="156" t="s">
        <v>534</v>
      </c>
      <c r="B28" s="162">
        <v>1</v>
      </c>
      <c r="C28" s="153" t="s">
        <v>527</v>
      </c>
    </row>
    <row r="29" spans="1:3" x14ac:dyDescent="0.2">
      <c r="A29" s="156" t="s">
        <v>532</v>
      </c>
      <c r="B29" s="162">
        <v>1</v>
      </c>
      <c r="C29" s="153" t="s">
        <v>527</v>
      </c>
    </row>
    <row r="30" spans="1:3" x14ac:dyDescent="0.2">
      <c r="A30" s="156" t="s">
        <v>535</v>
      </c>
      <c r="B30" s="162">
        <v>1</v>
      </c>
      <c r="C30" s="153" t="s">
        <v>527</v>
      </c>
    </row>
    <row r="31" spans="1:3" x14ac:dyDescent="0.2">
      <c r="A31" s="184" t="s">
        <v>533</v>
      </c>
      <c r="B31" s="162">
        <v>1</v>
      </c>
      <c r="C31" s="156" t="s">
        <v>527</v>
      </c>
    </row>
    <row r="32" spans="1:3" x14ac:dyDescent="0.2">
      <c r="A32" s="156" t="s">
        <v>536</v>
      </c>
      <c r="B32" s="162">
        <v>1</v>
      </c>
      <c r="C32" s="153" t="s">
        <v>527</v>
      </c>
    </row>
    <row r="33" spans="1:3" x14ac:dyDescent="0.2">
      <c r="A33" s="156" t="s">
        <v>537</v>
      </c>
      <c r="B33" s="162">
        <v>1</v>
      </c>
      <c r="C33" s="153" t="s">
        <v>527</v>
      </c>
    </row>
    <row r="34" spans="1:3" x14ac:dyDescent="0.2">
      <c r="A34" s="156" t="s">
        <v>538</v>
      </c>
      <c r="B34" s="162">
        <v>1</v>
      </c>
      <c r="C34" s="153" t="s">
        <v>527</v>
      </c>
    </row>
    <row r="35" spans="1:3" x14ac:dyDescent="0.2">
      <c r="A35" s="153"/>
      <c r="B35" s="162"/>
      <c r="C35" s="153"/>
    </row>
    <row r="36" spans="1:3" x14ac:dyDescent="0.2">
      <c r="A36" s="154" t="s">
        <v>315</v>
      </c>
      <c r="B36" s="154"/>
      <c r="C36" s="154"/>
    </row>
    <row r="37" spans="1:3" x14ac:dyDescent="0.2">
      <c r="A37" s="153"/>
      <c r="B37" s="162"/>
      <c r="C37" s="153"/>
    </row>
    <row r="38" spans="1:3" x14ac:dyDescent="0.2">
      <c r="A38" s="153"/>
      <c r="B38" s="162"/>
      <c r="C38" s="153"/>
    </row>
    <row r="39" spans="1:3" x14ac:dyDescent="0.2">
      <c r="A39" s="154" t="s">
        <v>316</v>
      </c>
      <c r="B39" s="154"/>
      <c r="C39" s="154"/>
    </row>
    <row r="40" spans="1:3" x14ac:dyDescent="0.2">
      <c r="A40" s="153"/>
      <c r="B40" s="162"/>
      <c r="C40" s="153"/>
    </row>
    <row r="41" spans="1:3" x14ac:dyDescent="0.2">
      <c r="A41" s="153" t="s">
        <v>539</v>
      </c>
      <c r="B41" s="162">
        <v>1</v>
      </c>
      <c r="C41" s="156" t="s">
        <v>527</v>
      </c>
    </row>
    <row r="42" spans="1:3" x14ac:dyDescent="0.2">
      <c r="A42" s="153"/>
      <c r="B42" s="162"/>
      <c r="C42" s="153"/>
    </row>
    <row r="43" spans="1:3" x14ac:dyDescent="0.2">
      <c r="A43" s="154" t="s">
        <v>317</v>
      </c>
      <c r="B43" s="154"/>
      <c r="C43" s="154"/>
    </row>
    <row r="44" spans="1:3" x14ac:dyDescent="0.2">
      <c r="A44" s="153"/>
      <c r="B44" s="162"/>
      <c r="C44" s="153"/>
    </row>
    <row r="45" spans="1:3" x14ac:dyDescent="0.2">
      <c r="A45" s="153"/>
      <c r="B45" s="162"/>
      <c r="C45" s="153"/>
    </row>
    <row r="46" spans="1:3" x14ac:dyDescent="0.2">
      <c r="A46" s="154" t="s">
        <v>322</v>
      </c>
      <c r="B46" s="154"/>
      <c r="C46" s="154"/>
    </row>
    <row r="47" spans="1:3" x14ac:dyDescent="0.2">
      <c r="A47" s="153"/>
      <c r="B47" s="162"/>
      <c r="C47" s="153"/>
    </row>
    <row r="48" spans="1:3" x14ac:dyDescent="0.2">
      <c r="A48" s="153"/>
      <c r="B48" s="162"/>
      <c r="C48" s="153"/>
    </row>
    <row r="49" spans="1:3" x14ac:dyDescent="0.2">
      <c r="A49" s="154" t="s">
        <v>321</v>
      </c>
      <c r="B49" s="154"/>
      <c r="C49" s="154"/>
    </row>
    <row r="50" spans="1:3" x14ac:dyDescent="0.2">
      <c r="A50" s="153"/>
      <c r="B50" s="162"/>
      <c r="C50" s="153"/>
    </row>
    <row r="51" spans="1:3" x14ac:dyDescent="0.2">
      <c r="A51" s="161"/>
      <c r="B51" s="164"/>
      <c r="C51" s="161"/>
    </row>
    <row r="52" spans="1:3" x14ac:dyDescent="0.2">
      <c r="A52" s="206" t="s">
        <v>496</v>
      </c>
      <c r="B52" s="166"/>
      <c r="C52" s="16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6</vt:i4>
      </vt:variant>
    </vt:vector>
  </HeadingPairs>
  <TitlesOfParts>
    <vt:vector size="17" baseType="lpstr">
      <vt:lpstr>Atualizações</vt:lpstr>
      <vt:lpstr>CHAPA DE PROTEÇÃO</vt:lpstr>
      <vt:lpstr>PAREDE-TETO</vt:lpstr>
      <vt:lpstr>PISO</vt:lpstr>
      <vt:lpstr>PORTA FRIGORÍFICA</vt:lpstr>
      <vt:lpstr>PVV</vt:lpstr>
      <vt:lpstr>CORTINA FLEXTIRA</vt:lpstr>
      <vt:lpstr>VISOR</vt:lpstr>
      <vt:lpstr>VÁLVULAS DE ALÍVIO</vt:lpstr>
      <vt:lpstr>RESUMO</vt:lpstr>
      <vt:lpstr>RESUMO ORDENADO</vt:lpstr>
      <vt:lpstr>'CHAPA DE PROTEÇÃO'!Area_de_impressao</vt:lpstr>
      <vt:lpstr>'CORTINA FLEXTIRA'!Area_de_impressao</vt:lpstr>
      <vt:lpstr>'PAREDE-TETO'!Area_de_impressao</vt:lpstr>
      <vt:lpstr>PISO!Area_de_impressao</vt:lpstr>
      <vt:lpstr>'PORTA FRIGORÍFICA'!Area_de_impressao</vt:lpstr>
      <vt:lpstr>PVV!Area_de_impressao</vt:lpstr>
    </vt:vector>
  </TitlesOfParts>
  <Company>Plotter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Guilherme Jose Tonetti Assis | Plotter Racks</cp:lastModifiedBy>
  <cp:lastPrinted>2008-03-14T17:46:04Z</cp:lastPrinted>
  <dcterms:created xsi:type="dcterms:W3CDTF">2007-11-14T11:57:06Z</dcterms:created>
  <dcterms:modified xsi:type="dcterms:W3CDTF">2026-02-06T18:09:39Z</dcterms:modified>
</cp:coreProperties>
</file>